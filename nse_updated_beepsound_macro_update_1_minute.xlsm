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Equity" sheetId="1" r:id="rId1"/>
    <sheet name="Performance" sheetId="2" r:id="rId2"/>
    <sheet name="Sheet2" sheetId="3" r:id="rId3"/>
  </sheets>
  <definedNames>
    <definedName name="juniorNiftyStockWatch_1" localSheetId="0">Equity!$O$500:$O$501</definedName>
    <definedName name="niftyMidcap50StockWatch_1" localSheetId="0">Equity!$P$500:$P$501</definedName>
    <definedName name="niftyStockWatch_1" localSheetId="0">Equity!$N$500:$N$501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s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0" i="1" l="1"/>
  <c r="H13" i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<sst xmlns="http://schemas.openxmlformats.org/spreadsheetml/2006/main" count="199" uniqueCount="172">
  <si>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</si>
  <si>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</si>
  <si>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</si>
  <si>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</si>
  <si>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</si>
  <si>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</si>
  <si>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</si>
  <si>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</si>
  <si>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</si>
  <si>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</si>
  <si>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</si>
  <si>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</si>
  <si>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</si>
  <si>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</si>
  <si>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</si>
  <si>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</si>
  <si>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</si>
  <si>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</si>
  <si>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</si>
  <si>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</si>
  <si>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</si>
  <si>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</si>
  <si>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</si>
  <si>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</si>
  <si>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</si>
  <si>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</si>
  <si>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</si>
  <si>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</si>
  <si>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</si>
  <si>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</si>
  <si>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</si>
  <si>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</si>
  <si>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</si>
  <si>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</si>
  <si>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</si>
  <si>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</si>
  <si>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</si>
  <si>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</si>
  <si>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</si>
  <si>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</si>
  <si>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</si>
  <si>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</si>
  <si>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</si>
  <si>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</si>
  <si>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</si>
  <si>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</si>
  <si>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</si>
  <si>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</si>
  <si>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</si>
  <si>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</si>
  <si>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</si>
  <si>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</si>
  <si>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</si>
  <si>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</si>
  <si>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</si>
  <si>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</si>
  <si>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</si>
  <si>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</si>
  <si>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</si>
  <si>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</si>
  <si>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</si>
  <si>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</si>
  <si>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</si>
  <si>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</si>
  <si>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</si>
  <si>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</si>
  <si>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</si>
  <si>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</si>
  <si>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</si>
  <si>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</si>
  <si>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</si>
  <si>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</si>
  <si>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</si>
  <si>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</si>
  <si>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</si>
  <si>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</si>
  <si>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</si>
  <si>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</si>
  <si>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</si>
  <si>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</si>
  <si>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</si>
  <si>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</si>
  <si>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</si>
  <si>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</si>
  <si>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</si>
  <si>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</si>
  <si>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</si>
  <si>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</si>
  <si>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</si>
  <si>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</si>
  <si>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</si>
  <si>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</si>
  <si>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</si>
  <si>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</si>
  <si>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</si>
  <si>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</si>
  <si>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</si>
  <si>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</si>
  <si>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</si>
  <si>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</si>
  <si>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</si>
  <si>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</si>
  <si>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</si>
  <si>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</si>
  <si>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</si>
  <si>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</si>
  <si>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</si>
  <si>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</si>
  <si>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</si>
  <si>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</si>
  <si>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</si>
  <si>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</si>
  <si>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</si>
  <si>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</si>
  <si>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</si>
  <si>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</si>
  <si>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</si>
  <si>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</si>
  <si>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</si>
  <si>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</si>
  <si>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</si>
  <si>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</si>
  <si>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</si>
  <si>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</si>
  <si>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</si>
  <si>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</si>
  <si>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</si>
  <si>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</si>
  <si>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</si>
  <si>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</si>
  <si>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</si>
  <si>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</si>
  <si>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</si>
  <si>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</si>
  <si>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</si>
  <si>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</si>
  <si>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</si>
  <si>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</si>
  <si>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</si>
  <si>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</si>
  <si>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</si>
  <si>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</si>
  <si>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</si>
  <si>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</si>
  <si>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</si>
  <si>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</si>
  <si>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</si>
  <si>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</si>
  <si>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</si>
  <si>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</si>
  <si>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</si>
  <si>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</si>
  <si>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</si>
  <si>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</si>
  <si>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</si>
  <si>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</si>
  <si>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</si>
  <si>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</si>
  <si>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</si>
  <si>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</si>
  <si>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</si>
  <si>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</si>
  <si>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</si>
  <si>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</si>
  <si>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</si>
  <si>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</si>
  <si>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>Time</t>
  </si>
  <si>
    <t xml:space="preserve">{"trdVolumesumMil":"90.30","time":"May 30, 2016 16:00:00","latestData":[{"indexName":"NIFTY MIDCAP 50","open":"3,388.20","high":"3,396.20","low":"3,360.00","ltp":"3,387.80","ch":"16.90","per":"0.50","yCls":"1.29","mCls":"0.02","yHigh":"3,563.60","yLow":"2,633.10"}],"declines":22,"trdValueSum":"1,696.86","data":[{"symbol":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},{"symbol":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},{"symbol":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},{"symbol":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},{"symbol":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},{"symbol":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},{"symbol":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},{"symbol":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},{"symbol":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},{"symbol":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},{"symbol":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},{"symbol":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},{"symbol":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},{"symbol":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},{"symbol":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},{"symbol":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},{"symbol":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},{"symbol":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},{"symbol":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},{"symbol":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},{"symbol":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},{"symbol":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},{"symbol":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},{"symbol":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},{"symbol":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},{"symbol":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},{"symbol":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},{"symbol":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},{"symbol":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},{"symbol":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},{"symbol":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},{"symbol":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},{"symbol":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},{"symbol":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},{"symbol":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},{"symbol":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},{"symbol":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},{"symbol":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},{"symbol":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},{"symbol":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},{"symbol":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},{"symbol":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},{"symbol":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},{"symbol":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},{"symbol":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},{"symbol":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},{"symbol":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},{"symbol":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},{"symbol":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},{"symbol":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}],"trdValueSumMil":"16.97","unchanged":0,"trdVolumesum":"903.01","advances":28} </t>
  </si>
  <si>
    <t xml:space="preserve">{"trdVolumesumMil":"116.94","time":"May 30, 2016 16:00:00","latestData":[{"indexName":"NIFTY NEXT 50","open":"19,791.95","high":"19,843.55","low":"19,688.05","ltp":"19,801.80","ch":"85.65","per":"0.43","yCls":"10.66","mCls":"1.70","yHigh":"21,730.80","yLow":"16,607.80"}],"declines":21,"trdValueSum":"2,266.66","data":[{"symbol":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},{"symbol":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},{"symbol":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},{"symbol":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},{"symbol":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},{"symbol":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},{"symbol":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},{"symbol":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},{"symbol":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},{"symbol":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},{"symbol":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},{"symbol":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},{"symbol":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},{"symbol":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},{"symbol":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},{"symbol":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},{"symbol":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},{"symbol":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},{"symbol":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},{"symbol":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},{"symbol":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},{"symbol":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},{"symbol":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},{"symbol":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},{"symbol":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},{"symbol":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},{"symbol":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},{"symbol":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},{"symbol":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},{"symbol":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},{"symbol":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},{"symbol":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},{"symbol":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},{"symbol":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},{"symbol":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},{"symbol":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},{"symbol":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},{"symbol":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},{"symbol":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},{"symbol":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},{"symbol":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},{"symbol":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},{"symbol":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},{"symbol":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},{"symbol":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},{"symbol":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},{"symbol":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},{"symbol":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},{"symbol":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},{"symbol":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REVISED)","yPC":"-32.01","mPC":"-9.57"}],"trdValueSumMil":"22.67","unchanged":0,"trdVolumesum":"1,169.41","advances":29} </t>
  </si>
  <si>
    <t xml:space="preserve">{"trdVolumesumMil":"255.08","time":"May 30, 2016 16:00:00","latestData":[{"indexName":"NIFTY 50","open":"8,166.50","high":"8,200.00","low":"8,150.80","ltp":"8,178.50","ch":"21.85","per":"0.27","yCls":"-1.90","mCls":"2.49","yHigh":"8,654.75","yLow":"6,825.80"}],"declines":25,"trdValueSum":"9,199.28","data":[{"symbol":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},{"symbol":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},{"symbol":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},{"symbol":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},{"symbol":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},{"symbol":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},{"symbol":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},{"symbol":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},{"symbol":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},{"symbol":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},{"symbol":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},{"symbol":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},{"symbol":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},{"symbol":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},{"symbol":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},{"symbol":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},{"symbol":"LT","open":"1,469.90","high":"1,496.45","low":"1,466.15","ltP":"1,486.35","ptsC":"11.45","per":"0.78","trdVol":"23.25","trdVolM":"2.33","ntP":"344.69","mVal":"3.45","wkhi":"1,888.00","wklo":"1,016.05","wkhicm_adj":"1,776.60","wklocm_adj":"951.50","xDt":"31-DEC-2999","cAct":"-","yPC":"-8.63","mPC":"16.44"},{"symbol":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},{"symbol":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},{"symbol":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},{"symbol":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},{"symbol":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},{"symbol":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},{"symbol":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},{"symbol":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},{"symbol":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},{"symbol":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},{"symbol":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},{"symbol":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},{"symbol":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},{"symbol":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},{"symbol":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},{"symbol":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},{"symbol":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},{"symbol":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},{"symbol":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},{"symbol":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},{"symbol":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},{"symbol":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},{"symbol":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},{"symbol":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},{"symbol":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},{"symbol":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},{"symbol":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},{"symbol":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},{"symbol":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},{"symbol":"HDFC","open":"1,255.20","high":"1,259.00","low":"1,212.35","ltP":"1,235.00","ptsC":"-20.55","per":"-1.64","trdVol":"28.89","trdVolM":"2.89","ntP":"355.98","mVal":"3.56","wkhi":"1,372.40","wklo":"1,011.45","wkhicm_adj":"1,177.80","wklocm_adj":"755.00","xDt":"30-MAR-2016","cAct":"INTERIM DIVIDEND - RS 3\/- PER SHARE (PURPOSE REVISED)","yPC":"0.47","mPC":"10.12"},{"symbol":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},{"symbol":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},{"symbol":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},{"symbol":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}],"trdValueSumMil":"91.99","unchanged":1,"trdVolumesum":"2,550.84","advances":25} </t>
  </si>
  <si>
    <t>LTP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</si>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</sst>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  <xf numFmtId="19" fontId="0" fillId="0" borderId="0" xfId="0" applyNumberFormat="1"/>
    <xf numFmtId="0" fontId="2" fillId="0" borderId="1" xfId="0" applyFont="1" applyBorder="1" applyProtection="1"/>
    <xf numFmtId="0" fontId="0" fillId="0" borderId="1" xfId="0" applyBorder="1" applyProtection="1"/>
    <xf numFmtId="0" fontId="0" fillId="3" borderId="1" xfId="0" applyFill="1" applyBorder="1" applyAlignment="1" applyProtection="1">
      <alignment horizontal="center" vertical="top" wrapText="1"/>
    </xf>
    <xf numFmtId="0" fontId="0" fillId="3" borderId="1" xfId="0" applyFill="1" applyBorder="1" applyAlignment="1" applyProtection="1">
      <alignment vertical="top" wrapText="1"/>
    </xf>
    <xf numFmtId="164" fontId="0" fillId="0" borderId="1" xfId="0" applyNumberFormat="1" applyBorder="1" applyProtection="1"/>
    <xf numFmtId="10" fontId="0" fillId="0" borderId="1" xfId="1" applyNumberFormat="1" applyFont="1" applyBorder="1" applyProtection="1"/>
    <xf numFmtId="19" fontId="0" fillId="0" borderId="1" xfId="0" applyNumberFormat="1" applyBorder="1" applyProtection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abSelected="1" workbookViewId="0">
      <selection activeCell="E11" sqref="E11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9.140625" bestFit="1" customWidth="1"/>
    <col min="6" max="6" width="11" customWidth="1"/>
    <col min="7" max="7" width="9.140625" customWidth="1"/>
    <col min="8" max="8" width="8.2851562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3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</v>
      </c>
      <c r="C10" s="17" t="s">
        <v>9</v>
      </c>
      <c r="D10" s="18" t="str">
        <f t="shared" ref="D10:G31" si="0">MID($B10,FIND(D$9,$B10)+LEN(D$9)+3,FIND(CHAR(34),$B10,FIND(D$9,$B10)+LEN(D$9)+3)-(FIND(D$9,$B10)+LEN(D$9)+3))</f>
        <v>1,530.00</v>
      </c>
      <c r="E10" s="18" t="str">
        <f t="shared" si="0"/>
        <v>1,546.00</v>
      </c>
      <c r="F10" s="18" t="str">
        <f t="shared" si="0"/>
        <v>1,525.05</v>
      </c>
      <c r="G10" s="18" t="str">
        <f t="shared" si="0"/>
        <v>1,530.50</v>
      </c>
      <c r="H10" s="19" t="str">
        <f t="shared" ref="H10:H60" si="1">IF(AND(E10=0, F10=0, D10=0),"  ",IF(E10= D10,"SHORT ",IF(F10= D10,"LONG ",IF(E10&lt;&gt; F10&lt;&gt; D10,"   "))))</f>
        <v xml:space="preserve">   </v>
      </c>
      <c r="I10" s="20" t="str">
        <f>IF(AND(E10=0,F10=0,D10=0),"  ",IF(D10=F10,ROUND(((SQRT(F10) +0.0833) ^2),0),IF(E10=D10,ROUND(((SQRT(E10) -0.0833) ^2),0),IF(E10&lt;&gt;F10&lt;&gt;D10,"   "))))</f>
        <v xml:space="preserve">   </v>
      </c>
      <c r="J10" s="21" t="str">
        <f>IF(AND(E10=0, F10=0, D10=0),"  ",IF(E10= D10,D10+0.005*D10,IF(F10= D10,D10-0.005*D10,IF(E10&lt;&gt; F10&lt;&gt; D10,"   "))))</f>
        <v xml:space="preserve">   </v>
      </c>
      <c r="K10" s="22" t="str">
        <f>IF(AND(E10=0, F10=0, D10=0),"  ",IF(E10= D10,(I10-G10)/I10,IF(F10= D10,(G10-I10)/I10,IF(E10&lt;&gt; F10&lt;&gt; D10,"   "))))</f>
        <v xml:space="preserve">   </v>
      </c>
      <c r="L10" s="18"/>
      <c r="M10" s="10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</v>
      </c>
      <c r="C11" s="17" t="s">
        <v>60</v>
      </c>
      <c r="D11" s="18" t="str">
        <f t="shared" si="0"/>
        <v>192.70</v>
      </c>
      <c r="E11" s="18" t="str">
        <f t="shared" si="0"/>
        <v>194.00</v>
      </c>
      <c r="F11" s="18" t="str">
        <f t="shared" si="0"/>
        <v>185.45</v>
      </c>
      <c r="G11" s="18" t="str">
        <f t="shared" si="0"/>
        <v>189.25</v>
      </c>
      <c r="H11" s="19" t="str">
        <f t="shared" si="1"/>
        <v xml:space="preserve">   </v>
      </c>
      <c r="I11" s="20" t="str">
        <f>IF(AND(E11=0,F11=0,D11=0),"  ",IF(D11=F11,ROUND(((SQRT(F11) +0.0833) ^2),0),IF(E11=D11,ROUND(((SQRT(E11) -0.0833) ^2),0),IF(E11&lt;&gt;F11&lt;&gt;D11,"   "))))</f>
        <v xml:space="preserve">   </v>
      </c>
      <c r="J11" s="21" t="str">
        <f>IF(AND(E11=0, F11=0, D11=0),"  ",IF(E11= D11,D11+0.005*D11,IF(F11= D11,D11-0.005*D11,IF(E11&lt;&gt; F11&lt;&gt; D11,"   "))))</f>
        <v xml:space="preserve">   </v>
      </c>
      <c r="K11" s="22" t="str">
        <f>IF(AND(E11=0, F11=0, D11=0),"  ",IF(E11= D11,(I11-G11)/I11,IF(F11= D11,(G11-I11)/I11,IF(E11&lt;&gt; F11&lt;&gt; D11,"   "))))</f>
        <v xml:space="preserve">   </v>
      </c>
      <c r="L11" s="23"/>
      <c r="M11" s="10"/>
    </row>
    <row r="12" spans="1:13" x14ac:dyDescent="0.25">
      <c r="B12" t="str">
        <f t="shared" si="2"/>
        <v>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</v>
      </c>
      <c r="C12" s="17" t="s">
        <v>10</v>
      </c>
      <c r="D12" s="18" t="str">
        <f t="shared" si="0"/>
        <v>232.00</v>
      </c>
      <c r="E12" s="18" t="str">
        <f t="shared" si="0"/>
        <v>232.60</v>
      </c>
      <c r="F12" s="18" t="str">
        <f t="shared" si="0"/>
        <v>228.10</v>
      </c>
      <c r="G12" s="18" t="str">
        <f t="shared" si="0"/>
        <v>228.45</v>
      </c>
      <c r="H12" s="19" t="str">
        <f t="shared" si="1"/>
        <v xml:space="preserve">   </v>
      </c>
      <c r="I12" s="20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21" t="str">
        <f t="shared" ref="J12:J60" si="4">IF(AND(E12=0, F12=0, D12=0),"  ",IF(E12= D12,D12+0.005*D12,IF(F12= D12,D12-0.005*D12,IF(E12&lt;&gt; F12&lt;&gt; D12,"   "))))</f>
        <v xml:space="preserve">   </v>
      </c>
      <c r="K12" s="22" t="str">
        <f t="shared" ref="K12:K13" si="5">IF(AND(E12=0, F12=0, D12=0),"  ",IF(E12= D12,(I12-G12)/I12,IF(F12= D12,(G12-I12)/I12,IF(E12&lt;&gt; F12&lt;&gt; D12,"   "))))</f>
        <v xml:space="preserve">   </v>
      </c>
      <c r="L12" s="18"/>
      <c r="M12" s="11"/>
    </row>
    <row r="13" spans="1:13" x14ac:dyDescent="0.25">
      <c r="B13" t="str">
        <f t="shared" si="2"/>
        <v>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</v>
      </c>
      <c r="C13" s="17" t="s">
        <v>11</v>
      </c>
      <c r="D13" s="18" t="str">
        <f t="shared" si="0"/>
        <v>994.00</v>
      </c>
      <c r="E13" s="18" t="str">
        <f t="shared" si="0"/>
        <v>1,004.25</v>
      </c>
      <c r="F13" s="18" t="str">
        <f t="shared" si="0"/>
        <v>978.45</v>
      </c>
      <c r="G13" s="18" t="str">
        <f t="shared" si="0"/>
        <v>988.00</v>
      </c>
      <c r="H13" s="19" t="str">
        <f t="shared" si="1"/>
        <v xml:space="preserve">   </v>
      </c>
      <c r="I13" s="20" t="str">
        <f t="shared" si="3"/>
        <v xml:space="preserve">   </v>
      </c>
      <c r="J13" s="21" t="str">
        <f t="shared" si="4"/>
        <v xml:space="preserve">   </v>
      </c>
      <c r="K13" s="22" t="str">
        <f t="shared" si="5"/>
        <v xml:space="preserve">   </v>
      </c>
      <c r="L13" s="18"/>
      <c r="M13" s="11"/>
    </row>
    <row r="14" spans="1:13" x14ac:dyDescent="0.25">
      <c r="B14" t="str">
        <f t="shared" si="2"/>
        <v>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</v>
      </c>
      <c r="C14" s="17" t="s">
        <v>61</v>
      </c>
      <c r="D14" s="18" t="str">
        <f t="shared" si="0"/>
        <v>769.95</v>
      </c>
      <c r="E14" s="18" t="str">
        <f t="shared" si="0"/>
        <v>775.00</v>
      </c>
      <c r="F14" s="18" t="str">
        <f t="shared" si="0"/>
        <v>750.00</v>
      </c>
      <c r="G14" s="18" t="str">
        <f t="shared" si="0"/>
        <v>750.70</v>
      </c>
      <c r="H14" s="19" t="str">
        <f t="shared" si="1"/>
        <v xml:space="preserve">   </v>
      </c>
      <c r="I14" s="20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21" t="str">
        <f t="shared" ref="J14" si="7">IF(AND(E14=0, F14=0, D14=0),"  ",IF(E14= D14,D14+0.005*D14,IF(F14= D14,D14-0.005*D14,IF(E14&lt;&gt; F14&lt;&gt; D14,"   "))))</f>
        <v xml:space="preserve">   </v>
      </c>
      <c r="K14" s="22" t="str">
        <f t="shared" ref="K14" si="8">IF(AND(E14=0, F14=0, D14=0),"  ",IF(E14= D14,(I14-G14)/I14,IF(F14= D14,(G14-I14)/I14,IF(E14&lt;&gt; F14&lt;&gt; D14,"   "))))</f>
        <v xml:space="preserve">   </v>
      </c>
      <c r="L14" s="18"/>
      <c r="M14" s="11"/>
    </row>
    <row r="15" spans="1:13" x14ac:dyDescent="0.25">
      <c r="B15" t="str">
        <f t="shared" si="2"/>
        <v>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</v>
      </c>
      <c r="C15" s="17" t="s">
        <v>12</v>
      </c>
      <c r="D15" s="18" t="str">
        <f t="shared" si="0"/>
        <v>513.95</v>
      </c>
      <c r="E15" s="18" t="str">
        <f t="shared" si="0"/>
        <v>522.05</v>
      </c>
      <c r="F15" s="18" t="str">
        <f t="shared" si="0"/>
        <v>512.50</v>
      </c>
      <c r="G15" s="18" t="str">
        <f t="shared" si="0"/>
        <v>512.75</v>
      </c>
      <c r="H15" s="19" t="str">
        <f t="shared" si="1"/>
        <v xml:space="preserve">   </v>
      </c>
      <c r="I15" s="20" t="str">
        <f t="shared" si="3"/>
        <v xml:space="preserve">   </v>
      </c>
      <c r="J15" s="21" t="str">
        <f t="shared" si="4"/>
        <v xml:space="preserve">   </v>
      </c>
      <c r="K15" s="22" t="str">
        <f t="shared" ref="K15:K21" si="9">IF(AND(E15=0, F15=0, D15=0),"  ",IF(E15= D15,(I15-G15)/I15,IF(F15= D15,(G15-I15)/I15,IF(E15&lt;&gt; F15&lt;&gt; D15,"   "))))</f>
        <v xml:space="preserve">   </v>
      </c>
      <c r="L15" s="18"/>
      <c r="M15" s="11"/>
    </row>
    <row r="16" spans="1:13" x14ac:dyDescent="0.25">
      <c r="B16" t="str">
        <f t="shared" si="2"/>
        <v>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</v>
      </c>
      <c r="C16" s="17" t="s">
        <v>13</v>
      </c>
      <c r="D16" s="18" t="str">
        <f t="shared" si="0"/>
        <v>2,583.00</v>
      </c>
      <c r="E16" s="18" t="str">
        <f t="shared" si="0"/>
        <v>2,614.95</v>
      </c>
      <c r="F16" s="18" t="str">
        <f t="shared" si="0"/>
        <v>2,570.60</v>
      </c>
      <c r="G16" s="18" t="str">
        <f t="shared" si="0"/>
        <v>2,601.60</v>
      </c>
      <c r="H16" s="19" t="str">
        <f t="shared" si="1"/>
        <v xml:space="preserve">   </v>
      </c>
      <c r="I16" s="20" t="str">
        <f t="shared" si="3"/>
        <v xml:space="preserve">   </v>
      </c>
      <c r="J16" s="21" t="str">
        <f t="shared" si="4"/>
        <v xml:space="preserve">   </v>
      </c>
      <c r="K16" s="22" t="str">
        <f t="shared" si="9"/>
        <v xml:space="preserve">   </v>
      </c>
      <c r="L16" s="18"/>
      <c r="M16" s="11"/>
    </row>
    <row r="17" spans="2:13" x14ac:dyDescent="0.25">
      <c r="B17" t="str">
        <f t="shared" si="2"/>
        <v>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</v>
      </c>
      <c r="C17" s="17" t="s">
        <v>14</v>
      </c>
      <c r="D17" s="18" t="str">
        <f t="shared" si="0"/>
        <v>141.00</v>
      </c>
      <c r="E17" s="18" t="str">
        <f t="shared" si="0"/>
        <v>141.40</v>
      </c>
      <c r="F17" s="18" t="str">
        <f t="shared" si="0"/>
        <v>136.50</v>
      </c>
      <c r="G17" s="18" t="str">
        <f t="shared" si="0"/>
        <v>138.00</v>
      </c>
      <c r="H17" s="19" t="str">
        <f t="shared" si="1"/>
        <v xml:space="preserve">   </v>
      </c>
      <c r="I17" s="20" t="str">
        <f t="shared" si="3"/>
        <v xml:space="preserve">   </v>
      </c>
      <c r="J17" s="21" t="str">
        <f t="shared" si="4"/>
        <v xml:space="preserve">   </v>
      </c>
      <c r="K17" s="22" t="str">
        <f t="shared" si="9"/>
        <v xml:space="preserve">   </v>
      </c>
      <c r="L17" s="18"/>
      <c r="M17" s="11"/>
    </row>
    <row r="18" spans="2:13" x14ac:dyDescent="0.25">
      <c r="B18" t="str">
        <f t="shared" si="2"/>
        <v>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</v>
      </c>
      <c r="C18" s="17" t="s">
        <v>15</v>
      </c>
      <c r="D18" s="18" t="str">
        <f t="shared" si="0"/>
        <v>353.10</v>
      </c>
      <c r="E18" s="18" t="str">
        <f t="shared" si="0"/>
        <v>357.20</v>
      </c>
      <c r="F18" s="18" t="str">
        <f t="shared" si="0"/>
        <v>352.25</v>
      </c>
      <c r="G18" s="18" t="str">
        <f t="shared" si="0"/>
        <v>356.30</v>
      </c>
      <c r="H18" s="19" t="str">
        <f t="shared" si="1"/>
        <v xml:space="preserve">   </v>
      </c>
      <c r="I18" s="20" t="str">
        <f t="shared" si="3"/>
        <v xml:space="preserve">   </v>
      </c>
      <c r="J18" s="21" t="str">
        <f t="shared" si="4"/>
        <v xml:space="preserve">   </v>
      </c>
      <c r="K18" s="22" t="str">
        <f t="shared" si="9"/>
        <v xml:space="preserve">   </v>
      </c>
      <c r="L18" s="18"/>
      <c r="M18" s="11"/>
    </row>
    <row r="19" spans="2:13" x14ac:dyDescent="0.25">
      <c r="B19" t="str">
        <f t="shared" si="2"/>
        <v>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</v>
      </c>
      <c r="C19" s="17" t="s">
        <v>16</v>
      </c>
      <c r="D19" s="18" t="str">
        <f t="shared" si="0"/>
        <v>122.90</v>
      </c>
      <c r="E19" s="18" t="str">
        <f t="shared" si="0"/>
        <v>125.80</v>
      </c>
      <c r="F19" s="18" t="str">
        <f t="shared" si="0"/>
        <v>120.20</v>
      </c>
      <c r="G19" s="18" t="str">
        <f t="shared" si="0"/>
        <v>120.55</v>
      </c>
      <c r="H19" s="19" t="str">
        <f t="shared" si="1"/>
        <v xml:space="preserve">   </v>
      </c>
      <c r="I19" s="20" t="str">
        <f t="shared" si="3"/>
        <v xml:space="preserve">   </v>
      </c>
      <c r="J19" s="21" t="str">
        <f t="shared" si="4"/>
        <v xml:space="preserve">   </v>
      </c>
      <c r="K19" s="22" t="str">
        <f t="shared" si="9"/>
        <v xml:space="preserve">   </v>
      </c>
      <c r="L19" s="18"/>
      <c r="M19" s="11"/>
    </row>
    <row r="20" spans="2:13" x14ac:dyDescent="0.25">
      <c r="B20" t="str">
        <f t="shared" si="2"/>
        <v>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20" s="17" t="s">
        <v>17</v>
      </c>
      <c r="D20" s="18" t="str">
        <f t="shared" si="0"/>
        <v>21,811.00</v>
      </c>
      <c r="E20" s="18" t="str">
        <f t="shared" si="0"/>
        <v>22,399.90</v>
      </c>
      <c r="F20" s="18" t="str">
        <f t="shared" si="0"/>
        <v>21,811.00</v>
      </c>
      <c r="G20" s="18" t="str">
        <f t="shared" si="0"/>
        <v>22,200.00</v>
      </c>
      <c r="H20" s="19" t="str">
        <f t="shared" si="1"/>
        <v xml:space="preserve">LONG </v>
      </c>
      <c r="I20" s="20">
        <f t="shared" si="3"/>
        <v>21836</v>
      </c>
      <c r="J20" s="21">
        <f t="shared" si="4"/>
        <v>21701.945</v>
      </c>
      <c r="K20" s="22">
        <f t="shared" si="9"/>
        <v>1.6669719728888074E-2</v>
      </c>
      <c r="L20" s="18"/>
      <c r="M20" s="11"/>
    </row>
    <row r="21" spans="2:13" x14ac:dyDescent="0.25">
      <c r="B21" t="str">
        <f t="shared" si="2"/>
        <v>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</v>
      </c>
      <c r="C21" s="17" t="s">
        <v>18</v>
      </c>
      <c r="D21" s="18" t="str">
        <f t="shared" si="0"/>
        <v>1,020.00</v>
      </c>
      <c r="E21" s="18" t="str">
        <f t="shared" si="0"/>
        <v>1,023.95</v>
      </c>
      <c r="F21" s="18" t="str">
        <f t="shared" si="0"/>
        <v>993.60</v>
      </c>
      <c r="G21" s="18" t="str">
        <f t="shared" si="0"/>
        <v>999.70</v>
      </c>
      <c r="H21" s="19" t="str">
        <f t="shared" si="1"/>
        <v xml:space="preserve">   </v>
      </c>
      <c r="I21" s="20" t="str">
        <f t="shared" si="3"/>
        <v xml:space="preserve">   </v>
      </c>
      <c r="J21" s="21" t="str">
        <f t="shared" si="4"/>
        <v xml:space="preserve">   </v>
      </c>
      <c r="K21" s="22" t="str">
        <f t="shared" si="9"/>
        <v xml:space="preserve">   </v>
      </c>
      <c r="L21" s="18"/>
      <c r="M21" s="11"/>
    </row>
    <row r="22" spans="2:13" x14ac:dyDescent="0.25">
      <c r="B22" t="str">
        <f t="shared" si="2"/>
        <v>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</v>
      </c>
      <c r="C22" s="17" t="s">
        <v>20</v>
      </c>
      <c r="D22" s="18" t="str">
        <f t="shared" si="0"/>
        <v>476.95</v>
      </c>
      <c r="E22" s="18" t="str">
        <f t="shared" si="0"/>
        <v>478.50</v>
      </c>
      <c r="F22" s="18" t="str">
        <f t="shared" si="0"/>
        <v>470.00</v>
      </c>
      <c r="G22" s="18" t="str">
        <f t="shared" si="0"/>
        <v>473.60</v>
      </c>
      <c r="H22" s="19" t="str">
        <f t="shared" si="1"/>
        <v xml:space="preserve">   </v>
      </c>
      <c r="I22" s="20" t="str">
        <f t="shared" si="3"/>
        <v xml:space="preserve">   </v>
      </c>
      <c r="J22" s="21" t="str">
        <f t="shared" si="4"/>
        <v xml:space="preserve">   </v>
      </c>
      <c r="K22" s="22" t="str">
        <f t="shared" ref="K22:K60" si="10">IF(AND(E22=0, F22=0, D22=0),"  ",IF(E22= D22,(I22-G22)/I22,IF(F22= D22,(G22-I22)/I22,IF(E22&lt;&gt; F22&lt;&gt; D22,"   "))))</f>
        <v xml:space="preserve">   </v>
      </c>
      <c r="L22" s="18"/>
      <c r="M22" s="11"/>
    </row>
    <row r="23" spans="2:13" x14ac:dyDescent="0.25">
      <c r="B23" t="str">
        <f t="shared" si="2"/>
        <v>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</v>
      </c>
      <c r="C23" s="17" t="s">
        <v>21</v>
      </c>
      <c r="D23" s="18" t="str">
        <f t="shared" si="0"/>
        <v>289.25</v>
      </c>
      <c r="E23" s="18" t="str">
        <f t="shared" si="0"/>
        <v>295.95</v>
      </c>
      <c r="F23" s="18" t="str">
        <f t="shared" si="0"/>
        <v>288.50</v>
      </c>
      <c r="G23" s="18" t="str">
        <f t="shared" si="0"/>
        <v>292.30</v>
      </c>
      <c r="H23" s="19" t="str">
        <f t="shared" si="1"/>
        <v xml:space="preserve">   </v>
      </c>
      <c r="I23" s="20" t="str">
        <f t="shared" si="3"/>
        <v xml:space="preserve">   </v>
      </c>
      <c r="J23" s="21" t="str">
        <f t="shared" si="4"/>
        <v xml:space="preserve">   </v>
      </c>
      <c r="K23" s="22" t="str">
        <f t="shared" si="10"/>
        <v xml:space="preserve">   </v>
      </c>
      <c r="L23" s="18"/>
      <c r="M23" s="11"/>
    </row>
    <row r="24" spans="2:13" x14ac:dyDescent="0.25">
      <c r="B24" t="str">
        <f t="shared" si="2"/>
        <v>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</v>
      </c>
      <c r="C24" s="17" t="s">
        <v>22</v>
      </c>
      <c r="D24" s="18" t="str">
        <f t="shared" si="0"/>
        <v>3,112.00</v>
      </c>
      <c r="E24" s="18" t="str">
        <f t="shared" si="0"/>
        <v>3,176.35</v>
      </c>
      <c r="F24" s="18" t="str">
        <f t="shared" si="0"/>
        <v>3,112.00</v>
      </c>
      <c r="G24" s="18" t="str">
        <f t="shared" si="0"/>
        <v>3,172.00</v>
      </c>
      <c r="H24" s="19" t="str">
        <f t="shared" si="1"/>
        <v xml:space="preserve">LONG </v>
      </c>
      <c r="I24" s="20">
        <f t="shared" si="3"/>
        <v>3121</v>
      </c>
      <c r="J24" s="21">
        <f t="shared" si="4"/>
        <v>3096.44</v>
      </c>
      <c r="K24" s="22">
        <f t="shared" si="10"/>
        <v>1.6340916372957384E-2</v>
      </c>
      <c r="L24" s="18"/>
      <c r="M24" s="11"/>
    </row>
    <row r="25" spans="2:13" x14ac:dyDescent="0.25">
      <c r="B25" t="str">
        <f t="shared" si="2"/>
        <v>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</v>
      </c>
      <c r="C25" s="17" t="s">
        <v>62</v>
      </c>
      <c r="D25" s="18" t="str">
        <f t="shared" si="0"/>
        <v>18,711.00</v>
      </c>
      <c r="E25" s="18" t="str">
        <f t="shared" si="0"/>
        <v>18,811.00</v>
      </c>
      <c r="F25" s="18" t="str">
        <f t="shared" si="0"/>
        <v>18,600.00</v>
      </c>
      <c r="G25" s="18" t="str">
        <f t="shared" si="0"/>
        <v>18,620.00</v>
      </c>
      <c r="H25" s="19" t="str">
        <f t="shared" si="1"/>
        <v xml:space="preserve">   </v>
      </c>
      <c r="I25" s="20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21" t="str">
        <f t="shared" ref="J25" si="12">IF(AND(E25=0, F25=0, D25=0),"  ",IF(E25= D25,D25+0.005*D25,IF(F25= D25,D25-0.005*D25,IF(E25&lt;&gt; F25&lt;&gt; D25,"   "))))</f>
        <v xml:space="preserve">   </v>
      </c>
      <c r="K25" s="22" t="str">
        <f t="shared" ref="K25" si="13">IF(AND(E25=0, F25=0, D25=0),"  ",IF(E25= D25,(I25-G25)/I25,IF(F25= D25,(G25-I25)/I25,IF(E25&lt;&gt; F25&lt;&gt; D25,"   "))))</f>
        <v xml:space="preserve">   </v>
      </c>
      <c r="L25" s="18"/>
      <c r="M25" s="11"/>
    </row>
    <row r="26" spans="2:13" x14ac:dyDescent="0.25">
      <c r="B26" t="str">
        <f t="shared" si="2"/>
        <v>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</v>
      </c>
      <c r="C26" s="17" t="s">
        <v>23</v>
      </c>
      <c r="D26" s="18" t="str">
        <f t="shared" si="0"/>
        <v>382.45</v>
      </c>
      <c r="E26" s="18" t="str">
        <f t="shared" si="0"/>
        <v>384.80</v>
      </c>
      <c r="F26" s="18" t="str">
        <f t="shared" si="0"/>
        <v>377.10</v>
      </c>
      <c r="G26" s="18" t="str">
        <f t="shared" si="0"/>
        <v>378.65</v>
      </c>
      <c r="H26" s="19" t="str">
        <f t="shared" si="1"/>
        <v xml:space="preserve">   </v>
      </c>
      <c r="I26" s="20" t="str">
        <f t="shared" si="3"/>
        <v xml:space="preserve">   </v>
      </c>
      <c r="J26" s="21" t="str">
        <f t="shared" si="4"/>
        <v xml:space="preserve">   </v>
      </c>
      <c r="K26" s="22" t="str">
        <f t="shared" si="10"/>
        <v xml:space="preserve">   </v>
      </c>
      <c r="L26" s="18"/>
      <c r="M26" s="11"/>
    </row>
    <row r="27" spans="2:13" x14ac:dyDescent="0.25">
      <c r="B27" t="str">
        <f t="shared" si="2"/>
        <v>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</v>
      </c>
      <c r="C27" s="17" t="s">
        <v>24</v>
      </c>
      <c r="D27" s="18" t="str">
        <f t="shared" si="0"/>
        <v>4,372.25</v>
      </c>
      <c r="E27" s="18" t="str">
        <f t="shared" si="0"/>
        <v>4,404.35</v>
      </c>
      <c r="F27" s="18" t="str">
        <f t="shared" si="0"/>
        <v>4,341.00</v>
      </c>
      <c r="G27" s="18" t="str">
        <f t="shared" si="0"/>
        <v>4,341.00</v>
      </c>
      <c r="H27" s="19" t="str">
        <f t="shared" si="1"/>
        <v xml:space="preserve">   </v>
      </c>
      <c r="I27" s="20" t="str">
        <f t="shared" si="3"/>
        <v xml:space="preserve">   </v>
      </c>
      <c r="J27" s="21" t="str">
        <f t="shared" si="4"/>
        <v xml:space="preserve">   </v>
      </c>
      <c r="K27" s="22" t="str">
        <f t="shared" si="10"/>
        <v xml:space="preserve">   </v>
      </c>
      <c r="L27" s="18"/>
      <c r="M27" s="11"/>
    </row>
    <row r="28" spans="2:13" x14ac:dyDescent="0.25">
      <c r="B28" t="str">
        <f t="shared" si="2"/>
        <v>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</v>
      </c>
      <c r="C28" s="17" t="s">
        <v>25</v>
      </c>
      <c r="D28" s="18" t="str">
        <f t="shared" si="0"/>
        <v>761.10</v>
      </c>
      <c r="E28" s="18" t="str">
        <f t="shared" si="0"/>
        <v>763.70</v>
      </c>
      <c r="F28" s="18" t="str">
        <f t="shared" si="0"/>
        <v>745.20</v>
      </c>
      <c r="G28" s="18" t="str">
        <f t="shared" si="0"/>
        <v>748.00</v>
      </c>
      <c r="H28" s="19" t="str">
        <f t="shared" si="1"/>
        <v xml:space="preserve">   </v>
      </c>
      <c r="I28" s="20" t="str">
        <f t="shared" si="3"/>
        <v xml:space="preserve">   </v>
      </c>
      <c r="J28" s="21" t="str">
        <f t="shared" si="4"/>
        <v xml:space="preserve">   </v>
      </c>
      <c r="K28" s="22" t="str">
        <f t="shared" si="10"/>
        <v xml:space="preserve">   </v>
      </c>
      <c r="L28" s="18"/>
      <c r="M28" s="11"/>
    </row>
    <row r="29" spans="2:13" x14ac:dyDescent="0.25">
      <c r="B29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29" s="17" t="s">
        <v>26</v>
      </c>
      <c r="D29" s="18" t="str">
        <f t="shared" si="0"/>
        <v>1,187.00</v>
      </c>
      <c r="E29" s="18" t="str">
        <f t="shared" si="0"/>
        <v>1,195.00</v>
      </c>
      <c r="F29" s="18" t="str">
        <f t="shared" si="0"/>
        <v>1,178.10</v>
      </c>
      <c r="G29" s="18" t="str">
        <f t="shared" si="0"/>
        <v>1,179.00</v>
      </c>
      <c r="H29" s="19" t="str">
        <f t="shared" si="1"/>
        <v xml:space="preserve">   </v>
      </c>
      <c r="I29" s="20" t="str">
        <f t="shared" si="3"/>
        <v xml:space="preserve">   </v>
      </c>
      <c r="J29" s="21" t="str">
        <f t="shared" si="4"/>
        <v xml:space="preserve">   </v>
      </c>
      <c r="K29" s="22" t="str">
        <f t="shared" si="10"/>
        <v xml:space="preserve">   </v>
      </c>
      <c r="L29" s="18"/>
      <c r="M29" s="11"/>
    </row>
    <row r="30" spans="2:13" x14ac:dyDescent="0.25">
      <c r="B30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30" s="17" t="s">
        <v>27</v>
      </c>
      <c r="D30" s="18" t="str">
        <f t="shared" si="0"/>
        <v>1,187.00</v>
      </c>
      <c r="E30" s="18" t="str">
        <f t="shared" si="0"/>
        <v>1,195.00</v>
      </c>
      <c r="F30" s="18" t="str">
        <f t="shared" si="0"/>
        <v>1,178.10</v>
      </c>
      <c r="G30" s="18" t="str">
        <f t="shared" si="0"/>
        <v>1,179.00</v>
      </c>
      <c r="H30" s="19" t="str">
        <f t="shared" si="1"/>
        <v xml:space="preserve">   </v>
      </c>
      <c r="I30" s="20" t="str">
        <f t="shared" si="3"/>
        <v xml:space="preserve">   </v>
      </c>
      <c r="J30" s="21" t="str">
        <f t="shared" si="4"/>
        <v xml:space="preserve">   </v>
      </c>
      <c r="K30" s="22" t="str">
        <f t="shared" si="10"/>
        <v xml:space="preserve">   </v>
      </c>
      <c r="L30" s="18"/>
      <c r="M30" s="11"/>
    </row>
    <row r="31" spans="2:13" x14ac:dyDescent="0.25">
      <c r="B31" t="str">
        <f t="shared" si="2"/>
        <v>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</v>
      </c>
      <c r="C31" s="17" t="s">
        <v>28</v>
      </c>
      <c r="D31" s="18" t="str">
        <f t="shared" si="0"/>
        <v>3,011.00</v>
      </c>
      <c r="E31" s="18" t="str">
        <f t="shared" si="0"/>
        <v>3,107.50</v>
      </c>
      <c r="F31" s="18" t="str">
        <f t="shared" si="0"/>
        <v>3,003.00</v>
      </c>
      <c r="G31" s="18" t="str">
        <f t="shared" si="0"/>
        <v>3,088.00</v>
      </c>
      <c r="H31" s="19" t="str">
        <f t="shared" si="1"/>
        <v xml:space="preserve">   </v>
      </c>
      <c r="I31" s="20" t="str">
        <f t="shared" si="3"/>
        <v xml:space="preserve">   </v>
      </c>
      <c r="J31" s="21" t="str">
        <f t="shared" si="4"/>
        <v xml:space="preserve">   </v>
      </c>
      <c r="K31" s="22" t="str">
        <f t="shared" si="10"/>
        <v xml:space="preserve">   </v>
      </c>
      <c r="L31" s="18"/>
      <c r="M31" s="11"/>
    </row>
    <row r="32" spans="2:13" x14ac:dyDescent="0.25">
      <c r="B32" t="str">
        <f t="shared" si="2"/>
        <v>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</v>
      </c>
      <c r="C32" s="17" t="s">
        <v>29</v>
      </c>
      <c r="D32" s="18" t="str">
        <f t="shared" ref="D32:G52" si="14">MID($B32,FIND(D$9,$B32)+LEN(D$9)+3,FIND(CHAR(34),$B32,FIND(D$9,$B32)+LEN(D$9)+3)-(FIND(D$9,$B32)+LEN(D$9)+3))</f>
        <v>100.00</v>
      </c>
      <c r="E32" s="18" t="str">
        <f t="shared" si="14"/>
        <v>103.50</v>
      </c>
      <c r="F32" s="18" t="str">
        <f t="shared" si="14"/>
        <v>98.15</v>
      </c>
      <c r="G32" s="18" t="str">
        <f t="shared" si="14"/>
        <v>102.80</v>
      </c>
      <c r="H32" s="19" t="str">
        <f t="shared" si="1"/>
        <v xml:space="preserve">   </v>
      </c>
      <c r="I32" s="20" t="str">
        <f t="shared" si="3"/>
        <v xml:space="preserve">   </v>
      </c>
      <c r="J32" s="21" t="str">
        <f t="shared" si="4"/>
        <v xml:space="preserve">   </v>
      </c>
      <c r="K32" s="22" t="str">
        <f t="shared" si="10"/>
        <v xml:space="preserve">   </v>
      </c>
      <c r="L32" s="18"/>
      <c r="M32" s="11"/>
    </row>
    <row r="33" spans="2:13" x14ac:dyDescent="0.25">
      <c r="B33" t="str">
        <f t="shared" si="2"/>
        <v>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</v>
      </c>
      <c r="C33" s="17" t="s">
        <v>30</v>
      </c>
      <c r="D33" s="18" t="str">
        <f t="shared" si="14"/>
        <v>864.00</v>
      </c>
      <c r="E33" s="18" t="str">
        <f t="shared" si="14"/>
        <v>867.20</v>
      </c>
      <c r="F33" s="18" t="str">
        <f t="shared" si="14"/>
        <v>849.75</v>
      </c>
      <c r="G33" s="18" t="str">
        <f t="shared" si="14"/>
        <v>853.00</v>
      </c>
      <c r="H33" s="19" t="str">
        <f t="shared" si="1"/>
        <v xml:space="preserve">   </v>
      </c>
      <c r="I33" s="20" t="str">
        <f t="shared" si="3"/>
        <v xml:space="preserve">   </v>
      </c>
      <c r="J33" s="21" t="str">
        <f t="shared" si="4"/>
        <v xml:space="preserve">   </v>
      </c>
      <c r="K33" s="22" t="str">
        <f t="shared" si="10"/>
        <v xml:space="preserve">   </v>
      </c>
      <c r="L33" s="18"/>
      <c r="M33" s="11"/>
    </row>
    <row r="34" spans="2:13" x14ac:dyDescent="0.25">
      <c r="B34" t="str">
        <f t="shared" si="2"/>
        <v>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</v>
      </c>
      <c r="C34" s="17" t="s">
        <v>31</v>
      </c>
      <c r="D34" s="18" t="str">
        <f t="shared" si="14"/>
        <v>243.25</v>
      </c>
      <c r="E34" s="18" t="str">
        <f t="shared" si="14"/>
        <v>246.60</v>
      </c>
      <c r="F34" s="18" t="str">
        <f t="shared" si="14"/>
        <v>238.80</v>
      </c>
      <c r="G34" s="18" t="str">
        <f t="shared" si="14"/>
        <v>244.25</v>
      </c>
      <c r="H34" s="19" t="str">
        <f t="shared" si="1"/>
        <v xml:space="preserve">   </v>
      </c>
      <c r="I34" s="20" t="str">
        <f t="shared" si="3"/>
        <v xml:space="preserve">   </v>
      </c>
      <c r="J34" s="21" t="str">
        <f t="shared" si="4"/>
        <v xml:space="preserve">   </v>
      </c>
      <c r="K34" s="22" t="str">
        <f t="shared" si="10"/>
        <v xml:space="preserve">   </v>
      </c>
      <c r="L34" s="18"/>
      <c r="M34" s="11"/>
    </row>
    <row r="35" spans="2:13" x14ac:dyDescent="0.25">
      <c r="B35" t="str">
        <f t="shared" si="2"/>
        <v>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</v>
      </c>
      <c r="C35" s="17" t="s">
        <v>32</v>
      </c>
      <c r="D35" s="18" t="str">
        <f t="shared" si="14"/>
        <v>112.80</v>
      </c>
      <c r="E35" s="18" t="str">
        <f t="shared" si="14"/>
        <v>117.35</v>
      </c>
      <c r="F35" s="18" t="str">
        <f t="shared" si="14"/>
        <v>112.00</v>
      </c>
      <c r="G35" s="18" t="str">
        <f t="shared" si="14"/>
        <v>113.30</v>
      </c>
      <c r="H35" s="19" t="str">
        <f t="shared" si="1"/>
        <v xml:space="preserve">   </v>
      </c>
      <c r="I35" s="20" t="str">
        <f t="shared" si="3"/>
        <v xml:space="preserve">   </v>
      </c>
      <c r="J35" s="21" t="str">
        <f t="shared" si="4"/>
        <v xml:space="preserve">   </v>
      </c>
      <c r="K35" s="22" t="str">
        <f t="shared" si="10"/>
        <v xml:space="preserve">   </v>
      </c>
      <c r="L35" s="18"/>
      <c r="M35" s="11"/>
    </row>
    <row r="36" spans="2:13" x14ac:dyDescent="0.25">
      <c r="B36" t="str">
        <f t="shared" si="2"/>
        <v>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</v>
      </c>
      <c r="C36" s="17" t="s">
        <v>33</v>
      </c>
      <c r="D36" s="18" t="str">
        <f t="shared" si="14"/>
        <v>1,106.20</v>
      </c>
      <c r="E36" s="18" t="str">
        <f t="shared" si="14"/>
        <v>1,113.55</v>
      </c>
      <c r="F36" s="18" t="str">
        <f t="shared" si="14"/>
        <v>1,096.90</v>
      </c>
      <c r="G36" s="18" t="str">
        <f t="shared" si="14"/>
        <v>1,098.15</v>
      </c>
      <c r="H36" s="19" t="str">
        <f t="shared" si="1"/>
        <v xml:space="preserve">   </v>
      </c>
      <c r="I36" s="20" t="str">
        <f t="shared" si="3"/>
        <v xml:space="preserve">   </v>
      </c>
      <c r="J36" s="21" t="str">
        <f t="shared" si="4"/>
        <v xml:space="preserve">   </v>
      </c>
      <c r="K36" s="22" t="str">
        <f t="shared" si="10"/>
        <v xml:space="preserve">   </v>
      </c>
      <c r="L36" s="18"/>
      <c r="M36" s="11"/>
    </row>
    <row r="37" spans="2:13" x14ac:dyDescent="0.25">
      <c r="B37" t="str">
        <f t="shared" si="2"/>
        <v>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</v>
      </c>
      <c r="C37" s="17" t="s">
        <v>63</v>
      </c>
      <c r="D37" s="18" t="str">
        <f t="shared" si="14"/>
        <v>387.80</v>
      </c>
      <c r="E37" s="18" t="str">
        <f t="shared" si="14"/>
        <v>392.00</v>
      </c>
      <c r="F37" s="18" t="str">
        <f t="shared" si="14"/>
        <v>384.50</v>
      </c>
      <c r="G37" s="18" t="str">
        <f t="shared" si="14"/>
        <v>385.75</v>
      </c>
      <c r="H37" s="19" t="str">
        <f t="shared" si="1"/>
        <v xml:space="preserve">   </v>
      </c>
      <c r="I37" s="20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21" t="str">
        <f t="shared" ref="J37" si="16">IF(AND(E37=0, F37=0, D37=0),"  ",IF(E37= D37,D37+0.005*D37,IF(F37= D37,D37-0.005*D37,IF(E37&lt;&gt; F37&lt;&gt; D37,"   "))))</f>
        <v xml:space="preserve">   </v>
      </c>
      <c r="K37" s="22" t="str">
        <f t="shared" ref="K37" si="17">IF(AND(E37=0, F37=0, D37=0),"  ",IF(E37= D37,(I37-G37)/I37,IF(F37= D37,(G37-I37)/I37,IF(E37&lt;&gt; F37&lt;&gt; D37,"   "))))</f>
        <v xml:space="preserve">   </v>
      </c>
      <c r="L37" s="18"/>
      <c r="M37" s="11"/>
    </row>
    <row r="38" spans="2:13" x14ac:dyDescent="0.25">
      <c r="B38" t="str">
        <f t="shared" si="2"/>
        <v>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</v>
      </c>
      <c r="C38" s="17" t="s">
        <v>34</v>
      </c>
      <c r="D38" s="18" t="str">
        <f t="shared" si="14"/>
        <v>1,241.50</v>
      </c>
      <c r="E38" s="18" t="str">
        <f t="shared" si="14"/>
        <v>1,272.00</v>
      </c>
      <c r="F38" s="18" t="str">
        <f t="shared" si="14"/>
        <v>1,241.50</v>
      </c>
      <c r="G38" s="18" t="str">
        <f t="shared" si="14"/>
        <v>1,267.00</v>
      </c>
      <c r="H38" s="19" t="str">
        <f t="shared" si="1"/>
        <v xml:space="preserve">LONG </v>
      </c>
      <c r="I38" s="20">
        <f t="shared" si="3"/>
        <v>1247</v>
      </c>
      <c r="J38" s="21">
        <f t="shared" si="4"/>
        <v>1235.2925</v>
      </c>
      <c r="K38" s="22">
        <f t="shared" si="10"/>
        <v>1.6038492381716118E-2</v>
      </c>
      <c r="L38" s="18"/>
      <c r="M38" s="11"/>
    </row>
    <row r="39" spans="2:13" x14ac:dyDescent="0.25">
      <c r="B39" t="str">
        <f t="shared" si="2"/>
        <v>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</v>
      </c>
      <c r="C39" s="17" t="s">
        <v>35</v>
      </c>
      <c r="D39" s="18" t="str">
        <f t="shared" si="14"/>
        <v>353.40</v>
      </c>
      <c r="E39" s="18" t="str">
        <f t="shared" si="14"/>
        <v>358.50</v>
      </c>
      <c r="F39" s="18" t="str">
        <f t="shared" si="14"/>
        <v>352.80</v>
      </c>
      <c r="G39" s="18" t="str">
        <f t="shared" si="14"/>
        <v>356.00</v>
      </c>
      <c r="H39" s="19" t="str">
        <f t="shared" si="1"/>
        <v xml:space="preserve">   </v>
      </c>
      <c r="I39" s="20" t="str">
        <f t="shared" si="3"/>
        <v xml:space="preserve">   </v>
      </c>
      <c r="J39" s="21" t="str">
        <f t="shared" si="4"/>
        <v xml:space="preserve">   </v>
      </c>
      <c r="K39" s="22" t="str">
        <f t="shared" si="10"/>
        <v xml:space="preserve">   </v>
      </c>
      <c r="L39" s="18"/>
      <c r="M39" s="11"/>
    </row>
    <row r="40" spans="2:13" x14ac:dyDescent="0.25">
      <c r="B40" t="str">
        <f t="shared" si="2"/>
        <v>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</v>
      </c>
      <c r="C40" s="17" t="s">
        <v>36</v>
      </c>
      <c r="D40" s="18" t="str">
        <f t="shared" si="14"/>
        <v>748.70</v>
      </c>
      <c r="E40" s="18" t="str">
        <f t="shared" si="14"/>
        <v>754.50</v>
      </c>
      <c r="F40" s="18" t="str">
        <f t="shared" si="14"/>
        <v>740.05</v>
      </c>
      <c r="G40" s="18" t="str">
        <f t="shared" si="14"/>
        <v>741.00</v>
      </c>
      <c r="H40" s="19" t="str">
        <f t="shared" si="1"/>
        <v xml:space="preserve">   </v>
      </c>
      <c r="I40" s="20" t="str">
        <f t="shared" si="3"/>
        <v xml:space="preserve">   </v>
      </c>
      <c r="J40" s="21" t="str">
        <f t="shared" si="4"/>
        <v xml:space="preserve">   </v>
      </c>
      <c r="K40" s="22" t="str">
        <f t="shared" si="10"/>
        <v xml:space="preserve">   </v>
      </c>
      <c r="L40" s="18"/>
      <c r="M40" s="11"/>
    </row>
    <row r="41" spans="2:13" x14ac:dyDescent="0.25">
      <c r="B41" t="str">
        <f t="shared" si="2"/>
        <v>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41" s="17" t="s">
        <v>37</v>
      </c>
      <c r="D41" s="18" t="str">
        <f t="shared" si="14"/>
        <v>21,811.00</v>
      </c>
      <c r="E41" s="18" t="str">
        <f t="shared" si="14"/>
        <v>22,399.90</v>
      </c>
      <c r="F41" s="18" t="str">
        <f t="shared" si="14"/>
        <v>21,811.00</v>
      </c>
      <c r="G41" s="18" t="str">
        <f t="shared" si="14"/>
        <v>22,200.00</v>
      </c>
      <c r="H41" s="19" t="str">
        <f t="shared" si="1"/>
        <v xml:space="preserve">LONG </v>
      </c>
      <c r="I41" s="20">
        <f t="shared" si="3"/>
        <v>21836</v>
      </c>
      <c r="J41" s="21">
        <f t="shared" si="4"/>
        <v>21701.945</v>
      </c>
      <c r="K41" s="22">
        <f t="shared" si="10"/>
        <v>1.6669719728888074E-2</v>
      </c>
      <c r="L41" s="18"/>
      <c r="M41" s="11"/>
    </row>
    <row r="42" spans="2:13" x14ac:dyDescent="0.25">
      <c r="B42" t="str">
        <f t="shared" si="2"/>
        <v>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</v>
      </c>
      <c r="C42" s="17" t="s">
        <v>38</v>
      </c>
      <c r="D42" s="18" t="str">
        <f t="shared" si="14"/>
        <v>1,489.95</v>
      </c>
      <c r="E42" s="18" t="str">
        <f t="shared" si="14"/>
        <v>1,493.70</v>
      </c>
      <c r="F42" s="18" t="str">
        <f t="shared" si="14"/>
        <v>1,454.10</v>
      </c>
      <c r="G42" s="18" t="str">
        <f t="shared" si="14"/>
        <v>1,465.10</v>
      </c>
      <c r="H42" s="19" t="str">
        <f t="shared" si="1"/>
        <v xml:space="preserve">   </v>
      </c>
      <c r="I42" s="20" t="str">
        <f t="shared" si="3"/>
        <v xml:space="preserve">   </v>
      </c>
      <c r="J42" s="21" t="str">
        <f t="shared" si="4"/>
        <v xml:space="preserve">   </v>
      </c>
      <c r="K42" s="22" t="str">
        <f t="shared" si="10"/>
        <v xml:space="preserve">   </v>
      </c>
      <c r="L42" s="18"/>
      <c r="M42" s="11"/>
    </row>
    <row r="43" spans="2:13" x14ac:dyDescent="0.25">
      <c r="B43" t="str">
        <f t="shared" si="2"/>
        <v>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</v>
      </c>
      <c r="C43" s="17" t="s">
        <v>39</v>
      </c>
      <c r="D43" s="18" t="str">
        <f t="shared" si="14"/>
        <v>1,334.00</v>
      </c>
      <c r="E43" s="18" t="str">
        <f t="shared" si="14"/>
        <v>1,351.70</v>
      </c>
      <c r="F43" s="18" t="str">
        <f t="shared" si="14"/>
        <v>1,312.80</v>
      </c>
      <c r="G43" s="18" t="str">
        <f t="shared" si="14"/>
        <v>1,329.60</v>
      </c>
      <c r="H43" s="19" t="str">
        <f t="shared" si="1"/>
        <v xml:space="preserve">   </v>
      </c>
      <c r="I43" s="20" t="str">
        <f t="shared" si="3"/>
        <v xml:space="preserve">   </v>
      </c>
      <c r="J43" s="21" t="str">
        <f t="shared" si="4"/>
        <v xml:space="preserve">   </v>
      </c>
      <c r="K43" s="22" t="str">
        <f t="shared" si="10"/>
        <v xml:space="preserve">   </v>
      </c>
      <c r="L43" s="18"/>
      <c r="M43" s="11"/>
    </row>
    <row r="44" spans="2:13" x14ac:dyDescent="0.25">
      <c r="B44" t="str">
        <f t="shared" si="2"/>
        <v>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</v>
      </c>
      <c r="C44" s="17" t="s">
        <v>40</v>
      </c>
      <c r="D44" s="18" t="str">
        <f t="shared" si="14"/>
        <v>4,132.00</v>
      </c>
      <c r="E44" s="18" t="str">
        <f t="shared" si="14"/>
        <v>4,155.20</v>
      </c>
      <c r="F44" s="18" t="str">
        <f t="shared" si="14"/>
        <v>4,054.00</v>
      </c>
      <c r="G44" s="18" t="str">
        <f t="shared" si="14"/>
        <v>4,069.15</v>
      </c>
      <c r="H44" s="19" t="str">
        <f t="shared" si="1"/>
        <v xml:space="preserve">   </v>
      </c>
      <c r="I44" s="20" t="str">
        <f t="shared" si="3"/>
        <v xml:space="preserve">   </v>
      </c>
      <c r="J44" s="21" t="str">
        <f t="shared" si="4"/>
        <v xml:space="preserve">   </v>
      </c>
      <c r="K44" s="22" t="str">
        <f t="shared" si="10"/>
        <v xml:space="preserve">   </v>
      </c>
      <c r="L44" s="18"/>
      <c r="M44" s="11"/>
    </row>
    <row r="45" spans="2:13" x14ac:dyDescent="0.25">
      <c r="B45" t="str">
        <f t="shared" si="2"/>
        <v>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</v>
      </c>
      <c r="C45" s="17" t="s">
        <v>41</v>
      </c>
      <c r="D45" s="18" t="str">
        <f t="shared" si="14"/>
        <v>140.35</v>
      </c>
      <c r="E45" s="18" t="str">
        <f t="shared" si="14"/>
        <v>145.80</v>
      </c>
      <c r="F45" s="18" t="str">
        <f t="shared" si="14"/>
        <v>137.65</v>
      </c>
      <c r="G45" s="18" t="str">
        <f t="shared" si="14"/>
        <v>144.50</v>
      </c>
      <c r="H45" s="19" t="str">
        <f t="shared" si="1"/>
        <v xml:space="preserve">   </v>
      </c>
      <c r="I45" s="20" t="str">
        <f t="shared" si="3"/>
        <v xml:space="preserve">   </v>
      </c>
      <c r="J45" s="21" t="str">
        <f t="shared" si="4"/>
        <v xml:space="preserve">   </v>
      </c>
      <c r="K45" s="22" t="str">
        <f t="shared" si="10"/>
        <v xml:space="preserve">   </v>
      </c>
      <c r="L45" s="18"/>
      <c r="M45" s="11"/>
    </row>
    <row r="46" spans="2:13" x14ac:dyDescent="0.25">
      <c r="B46" t="str">
        <f t="shared" si="2"/>
        <v>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</v>
      </c>
      <c r="C46" s="17" t="s">
        <v>42</v>
      </c>
      <c r="D46" s="18" t="str">
        <f t="shared" si="14"/>
        <v>214.00</v>
      </c>
      <c r="E46" s="18" t="str">
        <f t="shared" si="14"/>
        <v>215.70</v>
      </c>
      <c r="F46" s="18" t="str">
        <f t="shared" si="14"/>
        <v>213.00</v>
      </c>
      <c r="G46" s="18" t="str">
        <f t="shared" si="14"/>
        <v>213.00</v>
      </c>
      <c r="H46" s="19" t="str">
        <f t="shared" si="1"/>
        <v xml:space="preserve">   </v>
      </c>
      <c r="I46" s="20" t="str">
        <f t="shared" si="3"/>
        <v xml:space="preserve">   </v>
      </c>
      <c r="J46" s="21" t="str">
        <f t="shared" si="4"/>
        <v xml:space="preserve">   </v>
      </c>
      <c r="K46" s="22" t="str">
        <f t="shared" si="10"/>
        <v xml:space="preserve">   </v>
      </c>
      <c r="L46" s="18"/>
      <c r="M46" s="11"/>
    </row>
    <row r="47" spans="2:13" x14ac:dyDescent="0.25">
      <c r="B47" t="str">
        <f t="shared" si="2"/>
        <v>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</v>
      </c>
      <c r="C47" s="17" t="s">
        <v>44</v>
      </c>
      <c r="D47" s="18" t="str">
        <f t="shared" si="14"/>
        <v>151.10</v>
      </c>
      <c r="E47" s="18" t="str">
        <f t="shared" si="14"/>
        <v>152.95</v>
      </c>
      <c r="F47" s="18" t="str">
        <f t="shared" si="14"/>
        <v>149.35</v>
      </c>
      <c r="G47" s="18" t="str">
        <f t="shared" si="14"/>
        <v>152.00</v>
      </c>
      <c r="H47" s="19" t="str">
        <f t="shared" si="1"/>
        <v xml:space="preserve">   </v>
      </c>
      <c r="I47" s="20" t="str">
        <f t="shared" si="3"/>
        <v xml:space="preserve">   </v>
      </c>
      <c r="J47" s="21" t="str">
        <f t="shared" si="4"/>
        <v xml:space="preserve">   </v>
      </c>
      <c r="K47" s="22" t="str">
        <f t="shared" si="10"/>
        <v xml:space="preserve">   </v>
      </c>
      <c r="L47" s="18"/>
      <c r="M47" s="11"/>
    </row>
    <row r="48" spans="2:13" x14ac:dyDescent="0.25">
      <c r="B48" t="str">
        <f t="shared" si="2"/>
        <v>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</v>
      </c>
      <c r="C48" s="17" t="s">
        <v>45</v>
      </c>
      <c r="D48" s="18" t="str">
        <f t="shared" si="14"/>
        <v>976.40</v>
      </c>
      <c r="E48" s="18" t="str">
        <f t="shared" si="14"/>
        <v>981.50</v>
      </c>
      <c r="F48" s="18" t="str">
        <f t="shared" si="14"/>
        <v>965.00</v>
      </c>
      <c r="G48" s="18" t="str">
        <f t="shared" si="14"/>
        <v>965.80</v>
      </c>
      <c r="H48" s="19" t="str">
        <f t="shared" si="1"/>
        <v xml:space="preserve">   </v>
      </c>
      <c r="I48" s="20" t="str">
        <f t="shared" si="3"/>
        <v xml:space="preserve">   </v>
      </c>
      <c r="J48" s="21" t="str">
        <f t="shared" si="4"/>
        <v xml:space="preserve">   </v>
      </c>
      <c r="K48" s="22" t="str">
        <f t="shared" si="10"/>
        <v xml:space="preserve">   </v>
      </c>
      <c r="L48" s="18"/>
      <c r="M48" s="11"/>
    </row>
    <row r="49" spans="2:13" x14ac:dyDescent="0.25">
      <c r="B49" t="str">
        <f t="shared" si="2"/>
        <v>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</v>
      </c>
      <c r="C49" s="17" t="s">
        <v>46</v>
      </c>
      <c r="D49" s="18" t="str">
        <f t="shared" si="14"/>
        <v>200.20</v>
      </c>
      <c r="E49" s="18" t="str">
        <f t="shared" si="14"/>
        <v>203.90</v>
      </c>
      <c r="F49" s="18" t="str">
        <f t="shared" si="14"/>
        <v>194.60</v>
      </c>
      <c r="G49" s="18" t="str">
        <f t="shared" si="14"/>
        <v>197.80</v>
      </c>
      <c r="H49" s="19" t="str">
        <f t="shared" si="1"/>
        <v xml:space="preserve">   </v>
      </c>
      <c r="I49" s="20" t="str">
        <f t="shared" si="3"/>
        <v xml:space="preserve">   </v>
      </c>
      <c r="J49" s="21" t="str">
        <f t="shared" si="4"/>
        <v xml:space="preserve">   </v>
      </c>
      <c r="K49" s="22" t="str">
        <f t="shared" si="10"/>
        <v xml:space="preserve">   </v>
      </c>
      <c r="L49" s="18"/>
      <c r="M49" s="11"/>
    </row>
    <row r="50" spans="2:13" x14ac:dyDescent="0.25">
      <c r="B50" t="str">
        <f t="shared" si="2"/>
        <v>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</v>
      </c>
      <c r="C50" s="17" t="s">
        <v>47</v>
      </c>
      <c r="D50" s="18" t="str">
        <f t="shared" si="14"/>
        <v>831.00</v>
      </c>
      <c r="E50" s="18" t="str">
        <f t="shared" si="14"/>
        <v>842.00</v>
      </c>
      <c r="F50" s="18" t="str">
        <f t="shared" si="14"/>
        <v>808.25</v>
      </c>
      <c r="G50" s="18" t="str">
        <f t="shared" si="14"/>
        <v>815.70</v>
      </c>
      <c r="H50" s="19" t="str">
        <f t="shared" si="1"/>
        <v xml:space="preserve">   </v>
      </c>
      <c r="I50" s="20" t="str">
        <f t="shared" si="3"/>
        <v xml:space="preserve">   </v>
      </c>
      <c r="J50" s="21" t="str">
        <f t="shared" si="4"/>
        <v xml:space="preserve">   </v>
      </c>
      <c r="K50" s="22" t="str">
        <f t="shared" si="10"/>
        <v xml:space="preserve">   </v>
      </c>
      <c r="L50" s="18"/>
      <c r="M50" s="11"/>
    </row>
    <row r="51" spans="2:13" x14ac:dyDescent="0.25">
      <c r="B51" t="str">
        <f t="shared" si="2"/>
        <v>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</v>
      </c>
      <c r="C51" s="17" t="s">
        <v>48</v>
      </c>
      <c r="D51" s="18" t="str">
        <f t="shared" si="14"/>
        <v>404.80</v>
      </c>
      <c r="E51" s="18" t="str">
        <f t="shared" si="14"/>
        <v>423.60</v>
      </c>
      <c r="F51" s="18" t="str">
        <f t="shared" si="14"/>
        <v>401.30</v>
      </c>
      <c r="G51" s="18" t="str">
        <f t="shared" si="14"/>
        <v>423.00</v>
      </c>
      <c r="H51" s="19" t="str">
        <f t="shared" si="1"/>
        <v xml:space="preserve">   </v>
      </c>
      <c r="I51" s="20" t="str">
        <f t="shared" si="3"/>
        <v xml:space="preserve">   </v>
      </c>
      <c r="J51" s="21" t="str">
        <f t="shared" si="4"/>
        <v xml:space="preserve">   </v>
      </c>
      <c r="K51" s="22" t="str">
        <f t="shared" si="10"/>
        <v xml:space="preserve">   </v>
      </c>
      <c r="L51" s="18"/>
      <c r="M51" s="11"/>
    </row>
    <row r="52" spans="2:13" x14ac:dyDescent="0.25">
      <c r="B52" t="str">
        <f t="shared" si="2"/>
        <v>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</v>
      </c>
      <c r="C52" s="17" t="s">
        <v>64</v>
      </c>
      <c r="D52" s="18" t="str">
        <f t="shared" si="14"/>
        <v>272.95</v>
      </c>
      <c r="E52" s="18" t="str">
        <f t="shared" si="14"/>
        <v>282.35</v>
      </c>
      <c r="F52" s="18" t="str">
        <f t="shared" si="14"/>
        <v>272.95</v>
      </c>
      <c r="G52" s="18" t="str">
        <f t="shared" si="14"/>
        <v>281.60</v>
      </c>
      <c r="H52" s="19" t="str">
        <f t="shared" si="1"/>
        <v xml:space="preserve">LONG </v>
      </c>
      <c r="I52" s="20">
        <f t="shared" ref="I52" si="18">IF(AND(E52=0,F52=0,D52=0),"  ",IF(D52=F52,ROUND(((SQRT(F52) +0.0833) ^2),0),IF(E52=D52,ROUND(((SQRT(E52) -0.0833) ^2),0),IF(E52&lt;&gt;F52&lt;&gt;D52,"   "))))</f>
        <v>276</v>
      </c>
      <c r="J52" s="21">
        <f t="shared" ref="J52" si="19">IF(AND(E52=0, F52=0, D52=0),"  ",IF(E52= D52,D52+0.005*D52,IF(F52= D52,D52-0.005*D52,IF(E52&lt;&gt; F52&lt;&gt; D52,"   "))))</f>
        <v>271.58524999999997</v>
      </c>
      <c r="K52" s="22">
        <f t="shared" ref="K52" si="20">IF(AND(E52=0, F52=0, D52=0),"  ",IF(E52= D52,(I52-G52)/I52,IF(F52= D52,(G52-I52)/I52,IF(E52&lt;&gt; F52&lt;&gt; D52,"   "))))</f>
        <v>2.028985507246385E-2</v>
      </c>
      <c r="L52" s="18"/>
      <c r="M52" s="11"/>
    </row>
    <row r="53" spans="2:13" x14ac:dyDescent="0.25">
      <c r="B53" t="str">
        <f t="shared" si="2"/>
        <v>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</v>
      </c>
      <c r="C53" s="17" t="s">
        <v>49</v>
      </c>
      <c r="D53" s="18" t="str">
        <f t="shared" ref="D53:G60" si="21">MID($B53,FIND(D$9,$B53)+LEN(D$9)+3,FIND(CHAR(34),$B53,FIND(D$9,$B53)+LEN(D$9)+3)-(FIND(D$9,$B53)+LEN(D$9)+3))</f>
        <v>72.90</v>
      </c>
      <c r="E53" s="18" t="str">
        <f t="shared" si="21"/>
        <v>76.00</v>
      </c>
      <c r="F53" s="18" t="str">
        <f t="shared" si="21"/>
        <v>72.30</v>
      </c>
      <c r="G53" s="18" t="str">
        <f t="shared" si="21"/>
        <v>75.45</v>
      </c>
      <c r="H53" s="19" t="str">
        <f t="shared" si="1"/>
        <v xml:space="preserve">   </v>
      </c>
      <c r="I53" s="20" t="str">
        <f t="shared" si="3"/>
        <v xml:space="preserve">   </v>
      </c>
      <c r="J53" s="21" t="str">
        <f t="shared" si="4"/>
        <v xml:space="preserve">   </v>
      </c>
      <c r="K53" s="22" t="str">
        <f t="shared" si="10"/>
        <v xml:space="preserve">   </v>
      </c>
      <c r="L53" s="18"/>
      <c r="M53" s="11"/>
    </row>
    <row r="54" spans="2:13" x14ac:dyDescent="0.25">
      <c r="B54" t="str">
        <f t="shared" si="2"/>
        <v>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</v>
      </c>
      <c r="C54" s="17" t="s">
        <v>50</v>
      </c>
      <c r="D54" s="18" t="str">
        <f t="shared" si="21"/>
        <v>332.05</v>
      </c>
      <c r="E54" s="18" t="str">
        <f t="shared" si="21"/>
        <v>334.60</v>
      </c>
      <c r="F54" s="18" t="str">
        <f t="shared" si="21"/>
        <v>321.45</v>
      </c>
      <c r="G54" s="18" t="str">
        <f t="shared" si="21"/>
        <v>321.90</v>
      </c>
      <c r="H54" s="19" t="str">
        <f t="shared" si="1"/>
        <v xml:space="preserve">   </v>
      </c>
      <c r="I54" s="20" t="str">
        <f t="shared" si="3"/>
        <v xml:space="preserve">   </v>
      </c>
      <c r="J54" s="21" t="str">
        <f t="shared" si="4"/>
        <v xml:space="preserve">   </v>
      </c>
      <c r="K54" s="22" t="str">
        <f t="shared" si="10"/>
        <v xml:space="preserve">   </v>
      </c>
      <c r="L54" s="18"/>
      <c r="M54" s="11"/>
    </row>
    <row r="55" spans="2:13" x14ac:dyDescent="0.25">
      <c r="B55" t="str">
        <f t="shared" si="2"/>
        <v>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</v>
      </c>
      <c r="C55" s="17" t="s">
        <v>51</v>
      </c>
      <c r="D55" s="18" t="str">
        <f t="shared" si="21"/>
        <v>2,583.00</v>
      </c>
      <c r="E55" s="18" t="str">
        <f t="shared" si="21"/>
        <v>2,641.95</v>
      </c>
      <c r="F55" s="18" t="str">
        <f t="shared" si="21"/>
        <v>2,582.00</v>
      </c>
      <c r="G55" s="18" t="str">
        <f t="shared" si="21"/>
        <v>2,636.05</v>
      </c>
      <c r="H55" s="19" t="str">
        <f t="shared" si="1"/>
        <v xml:space="preserve">   </v>
      </c>
      <c r="I55" s="20" t="str">
        <f t="shared" si="3"/>
        <v xml:space="preserve">   </v>
      </c>
      <c r="J55" s="21" t="str">
        <f t="shared" si="4"/>
        <v xml:space="preserve">   </v>
      </c>
      <c r="K55" s="22" t="str">
        <f t="shared" si="10"/>
        <v xml:space="preserve">   </v>
      </c>
      <c r="L55" s="18"/>
      <c r="M55" s="11"/>
    </row>
    <row r="56" spans="2:13" x14ac:dyDescent="0.25">
      <c r="B56" t="str">
        <f t="shared" si="2"/>
        <v>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</v>
      </c>
      <c r="C56" s="17" t="s">
        <v>52</v>
      </c>
      <c r="D56" s="18" t="str">
        <f t="shared" si="21"/>
        <v>535.80</v>
      </c>
      <c r="E56" s="18" t="str">
        <f t="shared" si="21"/>
        <v>564.00</v>
      </c>
      <c r="F56" s="18" t="str">
        <f t="shared" si="21"/>
        <v>535.00</v>
      </c>
      <c r="G56" s="18" t="str">
        <f t="shared" si="21"/>
        <v>543.00</v>
      </c>
      <c r="H56" s="19" t="str">
        <f t="shared" si="1"/>
        <v xml:space="preserve">   </v>
      </c>
      <c r="I56" s="20" t="str">
        <f t="shared" si="3"/>
        <v xml:space="preserve">   </v>
      </c>
      <c r="J56" s="21" t="str">
        <f t="shared" si="4"/>
        <v xml:space="preserve">   </v>
      </c>
      <c r="K56" s="22" t="str">
        <f t="shared" si="10"/>
        <v xml:space="preserve">   </v>
      </c>
      <c r="L56" s="18"/>
      <c r="M56" s="11"/>
    </row>
    <row r="57" spans="2:13" x14ac:dyDescent="0.25">
      <c r="B57" t="str">
        <f t="shared" si="2"/>
        <v>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</v>
      </c>
      <c r="C57" s="17" t="s">
        <v>53</v>
      </c>
      <c r="D57" s="18" t="str">
        <f t="shared" si="21"/>
        <v>3,257.10</v>
      </c>
      <c r="E57" s="18" t="str">
        <f t="shared" si="21"/>
        <v>3,257.10</v>
      </c>
      <c r="F57" s="18" t="str">
        <f t="shared" si="21"/>
        <v>3,192.05</v>
      </c>
      <c r="G57" s="18" t="str">
        <f t="shared" si="21"/>
        <v>3,209.65</v>
      </c>
      <c r="H57" s="19" t="str">
        <f t="shared" si="1"/>
        <v xml:space="preserve">SHORT </v>
      </c>
      <c r="I57" s="20">
        <f t="shared" si="3"/>
        <v>3248</v>
      </c>
      <c r="J57" s="21">
        <f t="shared" si="4"/>
        <v>3273.3854999999999</v>
      </c>
      <c r="K57" s="22">
        <f t="shared" si="10"/>
        <v>1.1807266009852189E-2</v>
      </c>
      <c r="L57" s="18"/>
      <c r="M57" s="11"/>
    </row>
    <row r="58" spans="2:13" x14ac:dyDescent="0.25">
      <c r="B58" t="str">
        <f t="shared" si="2"/>
        <v>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</v>
      </c>
      <c r="C58" s="17" t="s">
        <v>55</v>
      </c>
      <c r="D58" s="18" t="str">
        <f t="shared" si="21"/>
        <v>547.20</v>
      </c>
      <c r="E58" s="18" t="str">
        <f t="shared" si="21"/>
        <v>552.50</v>
      </c>
      <c r="F58" s="18" t="str">
        <f t="shared" si="21"/>
        <v>544.45</v>
      </c>
      <c r="G58" s="18" t="str">
        <f t="shared" si="21"/>
        <v>551.50</v>
      </c>
      <c r="H58" s="19" t="str">
        <f t="shared" si="1"/>
        <v xml:space="preserve">   </v>
      </c>
      <c r="I58" s="20" t="str">
        <f t="shared" si="3"/>
        <v xml:space="preserve">   </v>
      </c>
      <c r="J58" s="21" t="str">
        <f t="shared" si="4"/>
        <v xml:space="preserve">   </v>
      </c>
      <c r="K58" s="22" t="str">
        <f t="shared" si="10"/>
        <v xml:space="preserve">   </v>
      </c>
      <c r="L58" s="18"/>
      <c r="M58" s="11"/>
    </row>
    <row r="59" spans="2:13" x14ac:dyDescent="0.25">
      <c r="B59" t="str">
        <f t="shared" si="2"/>
        <v>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</v>
      </c>
      <c r="C59" s="17" t="s">
        <v>56</v>
      </c>
      <c r="D59" s="18" t="str">
        <f t="shared" si="21"/>
        <v>1,024.40</v>
      </c>
      <c r="E59" s="18" t="str">
        <f t="shared" si="21"/>
        <v>1,034.85</v>
      </c>
      <c r="F59" s="18" t="str">
        <f t="shared" si="21"/>
        <v>1,021.30</v>
      </c>
      <c r="G59" s="18" t="str">
        <f t="shared" si="21"/>
        <v>1,026.15</v>
      </c>
      <c r="H59" s="19" t="str">
        <f t="shared" si="1"/>
        <v xml:space="preserve">   </v>
      </c>
      <c r="I59" s="20" t="str">
        <f t="shared" si="3"/>
        <v xml:space="preserve">   </v>
      </c>
      <c r="J59" s="21" t="str">
        <f t="shared" si="4"/>
        <v xml:space="preserve">   </v>
      </c>
      <c r="K59" s="22" t="str">
        <f t="shared" si="10"/>
        <v xml:space="preserve">   </v>
      </c>
      <c r="L59" s="18"/>
      <c r="M59" s="11"/>
    </row>
    <row r="60" spans="2:13" x14ac:dyDescent="0.25">
      <c r="B60" t="str">
        <f t="shared" si="2"/>
        <v>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</v>
      </c>
      <c r="C60" s="17" t="s">
        <v>57</v>
      </c>
      <c r="D60" s="18" t="str">
        <f t="shared" si="21"/>
        <v>456.50</v>
      </c>
      <c r="E60" s="18" t="str">
        <f t="shared" si="21"/>
        <v>456.50</v>
      </c>
      <c r="F60" s="18" t="str">
        <f t="shared" si="21"/>
        <v>441.60</v>
      </c>
      <c r="G60" s="18" t="str">
        <f t="shared" si="21"/>
        <v>443.30</v>
      </c>
      <c r="H60" s="19" t="str">
        <f t="shared" si="1"/>
        <v xml:space="preserve">SHORT </v>
      </c>
      <c r="I60" s="20">
        <f t="shared" si="3"/>
        <v>453</v>
      </c>
      <c r="J60" s="21">
        <f t="shared" si="4"/>
        <v>458.78250000000003</v>
      </c>
      <c r="K60" s="22">
        <f t="shared" si="10"/>
        <v>2.1412803532008806E-2</v>
      </c>
      <c r="L60" s="18"/>
      <c r="M60" s="11"/>
    </row>
    <row r="61" spans="2:13" x14ac:dyDescent="0.25">
      <c r="M61" s="11"/>
    </row>
    <row r="64" spans="2:13" x14ac:dyDescent="0.25">
      <c r="C64" s="13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</v>
      </c>
      <c r="C66" s="12" t="s">
        <v>67</v>
      </c>
      <c r="D66" s="5" t="str">
        <f t="shared" ref="D66:G85" si="22">MID($B66,FIND(D$9,$B66)+LEN(D$9)+3,FIND(CHAR(34),$B66,FIND(D$9,$B66)+LEN(D$9)+3)-(FIND(D$9,$B66)+LEN(D$9)+3))</f>
        <v>1,259.30</v>
      </c>
      <c r="E66" s="5" t="str">
        <f t="shared" si="22"/>
        <v>1,259.30</v>
      </c>
      <c r="F66" s="5" t="str">
        <f t="shared" si="22"/>
        <v>1,208.00</v>
      </c>
      <c r="G66" s="5" t="str">
        <f t="shared" si="22"/>
        <v>1,213.00</v>
      </c>
      <c r="H66" s="6" t="str">
        <f t="shared" ref="H66" si="23">IF(AND(E66=0, F66=0, D66=0),"  ",IF(E66= D66,"SHORT ",IF(F66= D66,"LONG ",IF(E66&lt;&gt; F66&lt;&gt; D66,"   "))))</f>
        <v xml:space="preserve">SHORT </v>
      </c>
      <c r="I66" s="7">
        <f t="shared" ref="I66" si="24">IF(AND(E66=0,F66=0,D66=0),"  ",IF(D66=F66,ROUND(((SQRT(F66) +0.0833) ^2),0),IF(E66=D66,ROUND(((SQRT(E66) -0.0833) ^2),0),IF(E66&lt;&gt;F66&lt;&gt;D66,"   "))))</f>
        <v>1253</v>
      </c>
      <c r="J66" s="8">
        <f t="shared" ref="J66" si="25">IF(AND(E66=0, F66=0, D66=0),"  ",IF(E66= D66,D66+0.005*D66,IF(F66= D66,D66-0.005*D66,IF(E66&lt;&gt; F66&lt;&gt; D66,"   "))))</f>
        <v>1265.5964999999999</v>
      </c>
      <c r="K66" s="9">
        <f t="shared" ref="K66" si="26">IF(AND(E66=0, F66=0, D66=0),"  ",IF(E66= D66,(I66-G66)/I66,IF(F66= D66,(G66-I66)/I66,IF(E66&lt;&gt; F66&lt;&gt; D66,"   "))))</f>
        <v>3.192338387869114E-2</v>
      </c>
      <c r="L66" s="5"/>
    </row>
    <row r="67" spans="2:12" x14ac:dyDescent="0.25">
      <c r="B67" t="str">
        <f t="shared" ref="B67:B115" si="27">MID($O$500,FIND(C67,$O$500)-1,FIND("}",$O$500,FIND(C67,$O$500))-FIND(C67,$O$500)+1)</f>
        <v>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</v>
      </c>
      <c r="C67" s="12" t="s">
        <v>68</v>
      </c>
      <c r="D67" s="5" t="str">
        <f t="shared" si="22"/>
        <v>1,348.75</v>
      </c>
      <c r="E67" s="5" t="str">
        <f t="shared" si="22"/>
        <v>1,406.40</v>
      </c>
      <c r="F67" s="5" t="str">
        <f t="shared" si="22"/>
        <v>1,348.20</v>
      </c>
      <c r="G67" s="5" t="str">
        <f t="shared" si="22"/>
        <v>1,403.00</v>
      </c>
      <c r="H67" s="6" t="str">
        <f t="shared" ref="H67:H115" si="28">IF(AND(E67=0, F67=0, D67=0),"  ",IF(E67= D67,"SHORT ",IF(F67= D67,"LONG ",IF(E67&lt;&gt; F67&lt;&gt; D67,"   "))))</f>
        <v xml:space="preserve">   </v>
      </c>
      <c r="I67" s="7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8" t="str">
        <f t="shared" ref="J67:J115" si="30">IF(AND(E67=0, F67=0, D67=0),"  ",IF(E67= D67,D67+0.005*D67,IF(F67= D67,D67-0.005*D67,IF(E67&lt;&gt; F67&lt;&gt; D67,"   "))))</f>
        <v xml:space="preserve">   </v>
      </c>
      <c r="K67" s="9" t="str">
        <f t="shared" ref="K67:K115" si="31">IF(AND(E67=0, F67=0, D67=0),"  ",IF(E67= D67,(I67-G67)/I67,IF(F67= D67,(G67-I67)/I67,IF(E67&lt;&gt; F67&lt;&gt; D67,"   "))))</f>
        <v xml:space="preserve">   </v>
      </c>
      <c r="L67" s="14"/>
    </row>
    <row r="68" spans="2:12" x14ac:dyDescent="0.25">
      <c r="B68" t="str">
        <f t="shared" si="27"/>
        <v>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</v>
      </c>
      <c r="C68" s="12" t="s">
        <v>69</v>
      </c>
      <c r="D68" s="5" t="str">
        <f t="shared" si="22"/>
        <v>107.30</v>
      </c>
      <c r="E68" s="5" t="str">
        <f t="shared" si="22"/>
        <v>107.45</v>
      </c>
      <c r="F68" s="5" t="str">
        <f t="shared" si="22"/>
        <v>105.10</v>
      </c>
      <c r="G68" s="5" t="str">
        <f t="shared" si="22"/>
        <v>106.10</v>
      </c>
      <c r="H68" s="6" t="str">
        <f t="shared" si="28"/>
        <v xml:space="preserve">   </v>
      </c>
      <c r="I68" s="7" t="str">
        <f t="shared" si="29"/>
        <v xml:space="preserve">   </v>
      </c>
      <c r="J68" s="8" t="str">
        <f t="shared" si="30"/>
        <v xml:space="preserve">   </v>
      </c>
      <c r="K68" s="9" t="str">
        <f t="shared" si="31"/>
        <v xml:space="preserve">   </v>
      </c>
      <c r="L68" s="5"/>
    </row>
    <row r="69" spans="2:12" x14ac:dyDescent="0.25">
      <c r="B69" t="str">
        <f t="shared" si="27"/>
        <v>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</v>
      </c>
      <c r="C69" s="12" t="s">
        <v>70</v>
      </c>
      <c r="D69" s="5" t="str">
        <f t="shared" si="22"/>
        <v>1,838.00</v>
      </c>
      <c r="E69" s="5" t="str">
        <f t="shared" si="22"/>
        <v>1,864.85</v>
      </c>
      <c r="F69" s="5" t="str">
        <f t="shared" si="22"/>
        <v>1,828.25</v>
      </c>
      <c r="G69" s="5" t="str">
        <f t="shared" si="22"/>
        <v>1,840.00</v>
      </c>
      <c r="H69" s="6" t="str">
        <f t="shared" si="28"/>
        <v xml:space="preserve">   </v>
      </c>
      <c r="I69" s="7" t="str">
        <f t="shared" si="29"/>
        <v xml:space="preserve">   </v>
      </c>
      <c r="J69" s="8" t="str">
        <f t="shared" si="30"/>
        <v xml:space="preserve">   </v>
      </c>
      <c r="K69" s="9" t="str">
        <f t="shared" si="31"/>
        <v xml:space="preserve">   </v>
      </c>
      <c r="L69" s="5"/>
    </row>
    <row r="70" spans="2:12" x14ac:dyDescent="0.25">
      <c r="B70" t="str">
        <f t="shared" si="27"/>
        <v>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</v>
      </c>
      <c r="C70" s="12" t="s">
        <v>71</v>
      </c>
      <c r="D70" s="5" t="str">
        <f t="shared" si="22"/>
        <v>7,700.00</v>
      </c>
      <c r="E70" s="5" t="str">
        <f t="shared" si="22"/>
        <v>7,720.00</v>
      </c>
      <c r="F70" s="5" t="str">
        <f t="shared" si="22"/>
        <v>7,559.40</v>
      </c>
      <c r="G70" s="5" t="str">
        <f t="shared" si="22"/>
        <v>7,630.00</v>
      </c>
      <c r="H70" s="6" t="str">
        <f t="shared" si="28"/>
        <v xml:space="preserve">   </v>
      </c>
      <c r="I70" s="7" t="str">
        <f t="shared" si="29"/>
        <v xml:space="preserve">   </v>
      </c>
      <c r="J70" s="8" t="str">
        <f t="shared" si="30"/>
        <v xml:space="preserve">   </v>
      </c>
      <c r="K70" s="9" t="str">
        <f t="shared" si="31"/>
        <v xml:space="preserve">   </v>
      </c>
      <c r="L70" s="5"/>
    </row>
    <row r="71" spans="2:12" x14ac:dyDescent="0.25">
      <c r="B71" t="str">
        <f t="shared" si="27"/>
        <v>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</v>
      </c>
      <c r="C71" s="12" t="s">
        <v>72</v>
      </c>
      <c r="D71" s="5" t="str">
        <f t="shared" si="22"/>
        <v>1,195.00</v>
      </c>
      <c r="E71" s="5" t="str">
        <f t="shared" si="22"/>
        <v>1,199.00</v>
      </c>
      <c r="F71" s="5" t="str">
        <f t="shared" si="22"/>
        <v>1,170.00</v>
      </c>
      <c r="G71" s="5" t="str">
        <f t="shared" si="22"/>
        <v>1,193.00</v>
      </c>
      <c r="H71" s="6" t="str">
        <f t="shared" si="28"/>
        <v xml:space="preserve">   </v>
      </c>
      <c r="I71" s="7" t="str">
        <f t="shared" si="29"/>
        <v xml:space="preserve">   </v>
      </c>
      <c r="J71" s="8" t="str">
        <f t="shared" si="30"/>
        <v xml:space="preserve">   </v>
      </c>
      <c r="K71" s="9" t="str">
        <f t="shared" si="31"/>
        <v xml:space="preserve">   </v>
      </c>
      <c r="L71" s="5"/>
    </row>
    <row r="72" spans="2:12" x14ac:dyDescent="0.25">
      <c r="B72" t="str">
        <f t="shared" si="27"/>
        <v>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</v>
      </c>
      <c r="C72" s="12" t="s">
        <v>73</v>
      </c>
      <c r="D72" s="5" t="str">
        <f t="shared" si="22"/>
        <v>751.50</v>
      </c>
      <c r="E72" s="5" t="str">
        <f t="shared" si="22"/>
        <v>752.95</v>
      </c>
      <c r="F72" s="5" t="str">
        <f t="shared" si="22"/>
        <v>735.50</v>
      </c>
      <c r="G72" s="5" t="str">
        <f t="shared" si="22"/>
        <v>750.00</v>
      </c>
      <c r="H72" s="6" t="str">
        <f t="shared" si="28"/>
        <v xml:space="preserve">   </v>
      </c>
      <c r="I72" s="7" t="str">
        <f t="shared" si="29"/>
        <v xml:space="preserve">   </v>
      </c>
      <c r="J72" s="8" t="str">
        <f t="shared" si="30"/>
        <v xml:space="preserve">   </v>
      </c>
      <c r="K72" s="9" t="str">
        <f t="shared" si="31"/>
        <v xml:space="preserve">   </v>
      </c>
      <c r="L72" s="5"/>
    </row>
    <row r="73" spans="2:12" x14ac:dyDescent="0.25">
      <c r="B73" t="str">
        <f t="shared" si="27"/>
        <v>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</v>
      </c>
      <c r="C73" s="12" t="s">
        <v>74</v>
      </c>
      <c r="D73" s="5" t="str">
        <f t="shared" si="22"/>
        <v>2,720.00</v>
      </c>
      <c r="E73" s="5" t="str">
        <f t="shared" si="22"/>
        <v>2,758.00</v>
      </c>
      <c r="F73" s="5" t="str">
        <f t="shared" si="22"/>
        <v>2,720.00</v>
      </c>
      <c r="G73" s="5" t="str">
        <f t="shared" si="22"/>
        <v>2,747.00</v>
      </c>
      <c r="H73" s="6" t="str">
        <f t="shared" si="28"/>
        <v xml:space="preserve">LONG </v>
      </c>
      <c r="I73" s="7">
        <f t="shared" si="29"/>
        <v>2729</v>
      </c>
      <c r="J73" s="8">
        <f t="shared" si="30"/>
        <v>2706.4</v>
      </c>
      <c r="K73" s="9">
        <f t="shared" si="31"/>
        <v>6.5958226456577498E-3</v>
      </c>
      <c r="L73" s="5"/>
    </row>
    <row r="74" spans="2:12" x14ac:dyDescent="0.25">
      <c r="B74" t="str">
        <f t="shared" si="27"/>
        <v>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</v>
      </c>
      <c r="C74" s="12" t="s">
        <v>75</v>
      </c>
      <c r="D74" s="5" t="str">
        <f t="shared" si="22"/>
        <v>329.25</v>
      </c>
      <c r="E74" s="5" t="str">
        <f t="shared" si="22"/>
        <v>335.00</v>
      </c>
      <c r="F74" s="5" t="str">
        <f t="shared" si="22"/>
        <v>326.10</v>
      </c>
      <c r="G74" s="5" t="str">
        <f t="shared" si="22"/>
        <v>334.50</v>
      </c>
      <c r="H74" s="6" t="str">
        <f t="shared" si="28"/>
        <v xml:space="preserve">   </v>
      </c>
      <c r="I74" s="7" t="str">
        <f t="shared" si="29"/>
        <v xml:space="preserve">   </v>
      </c>
      <c r="J74" s="8" t="str">
        <f t="shared" si="30"/>
        <v xml:space="preserve">   </v>
      </c>
      <c r="K74" s="9" t="str">
        <f t="shared" si="31"/>
        <v xml:space="preserve">   </v>
      </c>
      <c r="L74" s="5"/>
    </row>
    <row r="75" spans="2:12" x14ac:dyDescent="0.25">
      <c r="B75" t="str">
        <f t="shared" si="27"/>
        <v>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</v>
      </c>
      <c r="C75" s="12" t="s">
        <v>19</v>
      </c>
      <c r="D75" s="5" t="str">
        <f t="shared" si="22"/>
        <v>139.20</v>
      </c>
      <c r="E75" s="5" t="str">
        <f t="shared" si="22"/>
        <v>144.80</v>
      </c>
      <c r="F75" s="5" t="str">
        <f t="shared" si="22"/>
        <v>139.20</v>
      </c>
      <c r="G75" s="5" t="str">
        <f t="shared" si="22"/>
        <v>144.30</v>
      </c>
      <c r="H75" s="6" t="str">
        <f t="shared" si="28"/>
        <v xml:space="preserve">LONG </v>
      </c>
      <c r="I75" s="7">
        <f t="shared" si="29"/>
        <v>141</v>
      </c>
      <c r="J75" s="8">
        <f t="shared" si="30"/>
        <v>138.50399999999999</v>
      </c>
      <c r="K75" s="9">
        <f t="shared" si="31"/>
        <v>2.3404255319149019E-2</v>
      </c>
      <c r="L75" s="5"/>
    </row>
    <row r="76" spans="2:12" x14ac:dyDescent="0.25">
      <c r="B76" t="str">
        <f t="shared" si="27"/>
        <v>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</v>
      </c>
      <c r="C76" s="12" t="s">
        <v>76</v>
      </c>
      <c r="D76" s="5" t="str">
        <f t="shared" si="22"/>
        <v>376.05</v>
      </c>
      <c r="E76" s="5" t="str">
        <f t="shared" si="22"/>
        <v>379.45</v>
      </c>
      <c r="F76" s="5" t="str">
        <f t="shared" si="22"/>
        <v>372.80</v>
      </c>
      <c r="G76" s="5" t="str">
        <f t="shared" si="22"/>
        <v>375.65</v>
      </c>
      <c r="H76" s="6" t="str">
        <f t="shared" si="28"/>
        <v xml:space="preserve">   </v>
      </c>
      <c r="I76" s="7" t="str">
        <f t="shared" si="29"/>
        <v xml:space="preserve">   </v>
      </c>
      <c r="J76" s="8" t="str">
        <f t="shared" si="30"/>
        <v xml:space="preserve">   </v>
      </c>
      <c r="K76" s="9" t="str">
        <f t="shared" si="31"/>
        <v xml:space="preserve">   </v>
      </c>
      <c r="L76" s="5"/>
    </row>
    <row r="77" spans="2:12" x14ac:dyDescent="0.25">
      <c r="B77" t="str">
        <f t="shared" si="27"/>
        <v>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</v>
      </c>
      <c r="C77" s="12" t="s">
        <v>77</v>
      </c>
      <c r="D77" s="5" t="str">
        <f t="shared" si="22"/>
        <v>838.00</v>
      </c>
      <c r="E77" s="5" t="str">
        <f t="shared" si="22"/>
        <v>857.90</v>
      </c>
      <c r="F77" s="5" t="str">
        <f t="shared" si="22"/>
        <v>835.80</v>
      </c>
      <c r="G77" s="5" t="str">
        <f t="shared" si="22"/>
        <v>854.65</v>
      </c>
      <c r="H77" s="6" t="str">
        <f t="shared" si="28"/>
        <v xml:space="preserve">   </v>
      </c>
      <c r="I77" s="7" t="str">
        <f t="shared" si="29"/>
        <v xml:space="preserve">   </v>
      </c>
      <c r="J77" s="8" t="str">
        <f t="shared" si="30"/>
        <v xml:space="preserve">   </v>
      </c>
      <c r="K77" s="9" t="str">
        <f t="shared" si="31"/>
        <v xml:space="preserve">   </v>
      </c>
      <c r="L77" s="5"/>
    </row>
    <row r="78" spans="2:12" x14ac:dyDescent="0.25">
      <c r="B78" t="str">
        <f t="shared" si="27"/>
        <v>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</v>
      </c>
      <c r="C78" s="12" t="s">
        <v>78</v>
      </c>
      <c r="D78" s="5" t="str">
        <f t="shared" si="22"/>
        <v>1,385.05</v>
      </c>
      <c r="E78" s="5" t="str">
        <f t="shared" si="22"/>
        <v>1,448.00</v>
      </c>
      <c r="F78" s="5" t="str">
        <f t="shared" si="22"/>
        <v>1,385.05</v>
      </c>
      <c r="G78" s="5" t="str">
        <f t="shared" si="22"/>
        <v>1,438.00</v>
      </c>
      <c r="H78" s="6" t="str">
        <f t="shared" si="28"/>
        <v xml:space="preserve">LONG </v>
      </c>
      <c r="I78" s="7">
        <f t="shared" si="29"/>
        <v>1391</v>
      </c>
      <c r="J78" s="8">
        <f t="shared" si="30"/>
        <v>1378.1247499999999</v>
      </c>
      <c r="K78" s="9">
        <f t="shared" si="31"/>
        <v>3.3788641265276781E-2</v>
      </c>
      <c r="L78" s="5"/>
    </row>
    <row r="79" spans="2:12" x14ac:dyDescent="0.25">
      <c r="B79" t="str">
        <f t="shared" si="27"/>
        <v>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</v>
      </c>
      <c r="C79" s="12" t="s">
        <v>79</v>
      </c>
      <c r="D79" s="5" t="str">
        <f t="shared" si="22"/>
        <v>778.00</v>
      </c>
      <c r="E79" s="5" t="str">
        <f t="shared" si="22"/>
        <v>793.90</v>
      </c>
      <c r="F79" s="5" t="str">
        <f t="shared" si="22"/>
        <v>778.00</v>
      </c>
      <c r="G79" s="5" t="str">
        <f t="shared" si="22"/>
        <v>790.00</v>
      </c>
      <c r="H79" s="6" t="str">
        <f t="shared" si="28"/>
        <v xml:space="preserve">LONG </v>
      </c>
      <c r="I79" s="7">
        <f t="shared" si="29"/>
        <v>783</v>
      </c>
      <c r="J79" s="8">
        <f t="shared" si="30"/>
        <v>774.11</v>
      </c>
      <c r="K79" s="9">
        <f t="shared" si="31"/>
        <v>8.9399744572158362E-3</v>
      </c>
      <c r="L79" s="5"/>
    </row>
    <row r="80" spans="2:12" x14ac:dyDescent="0.25">
      <c r="B80" t="str">
        <f t="shared" si="27"/>
        <v>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</v>
      </c>
      <c r="C80" s="12" t="s">
        <v>80</v>
      </c>
      <c r="D80" s="5" t="str">
        <f t="shared" si="22"/>
        <v>295.55</v>
      </c>
      <c r="E80" s="5" t="str">
        <f t="shared" si="22"/>
        <v>299.90</v>
      </c>
      <c r="F80" s="5" t="str">
        <f t="shared" si="22"/>
        <v>292.00</v>
      </c>
      <c r="G80" s="5" t="str">
        <f t="shared" si="22"/>
        <v>297.05</v>
      </c>
      <c r="H80" s="6" t="str">
        <f t="shared" si="28"/>
        <v xml:space="preserve">   </v>
      </c>
      <c r="I80" s="7" t="str">
        <f t="shared" si="29"/>
        <v xml:space="preserve">   </v>
      </c>
      <c r="J80" s="8" t="str">
        <f t="shared" si="30"/>
        <v xml:space="preserve">   </v>
      </c>
      <c r="K80" s="9" t="str">
        <f t="shared" si="31"/>
        <v xml:space="preserve">   </v>
      </c>
      <c r="L80" s="5"/>
    </row>
    <row r="81" spans="2:12" x14ac:dyDescent="0.25">
      <c r="B81" t="str">
        <f t="shared" si="27"/>
        <v>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</v>
      </c>
      <c r="C81" s="12" t="s">
        <v>81</v>
      </c>
      <c r="D81" s="5" t="str">
        <f t="shared" si="22"/>
        <v>1,120.65</v>
      </c>
      <c r="E81" s="5" t="str">
        <f t="shared" si="22"/>
        <v>1,120.80</v>
      </c>
      <c r="F81" s="5" t="str">
        <f t="shared" si="22"/>
        <v>1,081.00</v>
      </c>
      <c r="G81" s="5" t="str">
        <f t="shared" si="22"/>
        <v>1,116.00</v>
      </c>
      <c r="H81" s="6" t="str">
        <f t="shared" si="28"/>
        <v xml:space="preserve">   </v>
      </c>
      <c r="I81" s="7" t="str">
        <f t="shared" si="29"/>
        <v xml:space="preserve">   </v>
      </c>
      <c r="J81" s="8" t="str">
        <f t="shared" si="30"/>
        <v xml:space="preserve">   </v>
      </c>
      <c r="K81" s="9" t="str">
        <f t="shared" si="31"/>
        <v xml:space="preserve">   </v>
      </c>
      <c r="L81" s="5"/>
    </row>
    <row r="82" spans="2:12" x14ac:dyDescent="0.25">
      <c r="B82" t="str">
        <f t="shared" si="27"/>
        <v>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</v>
      </c>
      <c r="C82" s="12" t="s">
        <v>82</v>
      </c>
      <c r="D82" s="5" t="str">
        <f t="shared" si="22"/>
        <v>129.00</v>
      </c>
      <c r="E82" s="5" t="str">
        <f t="shared" si="22"/>
        <v>133.90</v>
      </c>
      <c r="F82" s="5" t="str">
        <f t="shared" si="22"/>
        <v>126.05</v>
      </c>
      <c r="G82" s="5" t="str">
        <f t="shared" si="22"/>
        <v>126.15</v>
      </c>
      <c r="H82" s="6" t="str">
        <f t="shared" si="28"/>
        <v xml:space="preserve">   </v>
      </c>
      <c r="I82" s="7" t="str">
        <f t="shared" si="29"/>
        <v xml:space="preserve">   </v>
      </c>
      <c r="J82" s="8" t="str">
        <f t="shared" si="30"/>
        <v xml:space="preserve">   </v>
      </c>
      <c r="K82" s="9" t="str">
        <f t="shared" si="31"/>
        <v xml:space="preserve">   </v>
      </c>
      <c r="L82" s="5"/>
    </row>
    <row r="83" spans="2:12" x14ac:dyDescent="0.25">
      <c r="B83" t="str">
        <f t="shared" si="27"/>
        <v>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</v>
      </c>
      <c r="C83" s="12" t="s">
        <v>83</v>
      </c>
      <c r="D83" s="5" t="str">
        <f t="shared" si="22"/>
        <v>1,016.20</v>
      </c>
      <c r="E83" s="5" t="str">
        <f t="shared" si="22"/>
        <v>1,032.00</v>
      </c>
      <c r="F83" s="5" t="str">
        <f t="shared" si="22"/>
        <v>1,007.50</v>
      </c>
      <c r="G83" s="5" t="str">
        <f t="shared" si="22"/>
        <v>1,017.80</v>
      </c>
      <c r="H83" s="6" t="str">
        <f t="shared" si="28"/>
        <v xml:space="preserve">   </v>
      </c>
      <c r="I83" s="7" t="str">
        <f t="shared" si="29"/>
        <v xml:space="preserve">   </v>
      </c>
      <c r="J83" s="8" t="str">
        <f t="shared" si="30"/>
        <v xml:space="preserve">   </v>
      </c>
      <c r="K83" s="9" t="str">
        <f t="shared" si="31"/>
        <v xml:space="preserve">   </v>
      </c>
      <c r="L83" s="5"/>
    </row>
    <row r="84" spans="2:12" x14ac:dyDescent="0.25">
      <c r="B84" t="str">
        <f t="shared" si="27"/>
        <v>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</v>
      </c>
      <c r="C84" s="12" t="s">
        <v>84</v>
      </c>
      <c r="D84" s="5" t="str">
        <f t="shared" si="22"/>
        <v>3,482.00</v>
      </c>
      <c r="E84" s="5" t="str">
        <f t="shared" si="22"/>
        <v>3,594.00</v>
      </c>
      <c r="F84" s="5" t="str">
        <f t="shared" si="22"/>
        <v>3,482.00</v>
      </c>
      <c r="G84" s="5" t="str">
        <f t="shared" si="22"/>
        <v>3,559.00</v>
      </c>
      <c r="H84" s="6" t="str">
        <f t="shared" si="28"/>
        <v xml:space="preserve">LONG </v>
      </c>
      <c r="I84" s="7">
        <f t="shared" si="29"/>
        <v>3492</v>
      </c>
      <c r="J84" s="8">
        <f t="shared" si="30"/>
        <v>3464.59</v>
      </c>
      <c r="K84" s="9">
        <f t="shared" si="31"/>
        <v>1.9186712485681559E-2</v>
      </c>
      <c r="L84" s="5"/>
    </row>
    <row r="85" spans="2:12" x14ac:dyDescent="0.25">
      <c r="B85" t="str">
        <f t="shared" si="27"/>
        <v>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</v>
      </c>
      <c r="C85" s="12" t="s">
        <v>85</v>
      </c>
      <c r="D85" s="5" t="str">
        <f t="shared" si="22"/>
        <v>876.50</v>
      </c>
      <c r="E85" s="5" t="str">
        <f t="shared" si="22"/>
        <v>887.35</v>
      </c>
      <c r="F85" s="5" t="str">
        <f t="shared" si="22"/>
        <v>873.45</v>
      </c>
      <c r="G85" s="5" t="str">
        <f t="shared" si="22"/>
        <v>877.00</v>
      </c>
      <c r="H85" s="6" t="str">
        <f t="shared" si="28"/>
        <v xml:space="preserve">   </v>
      </c>
      <c r="I85" s="7" t="str">
        <f t="shared" si="29"/>
        <v xml:space="preserve">   </v>
      </c>
      <c r="J85" s="8" t="str">
        <f t="shared" si="30"/>
        <v xml:space="preserve">   </v>
      </c>
      <c r="K85" s="9" t="str">
        <f t="shared" si="31"/>
        <v xml:space="preserve">   </v>
      </c>
      <c r="L85" s="5"/>
    </row>
    <row r="86" spans="2:12" x14ac:dyDescent="0.25">
      <c r="B86" t="str">
        <f t="shared" si="27"/>
        <v>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</v>
      </c>
      <c r="C86" s="12" t="s">
        <v>86</v>
      </c>
      <c r="D86" s="5" t="str">
        <f t="shared" ref="D86:G105" si="32">MID($B86,FIND(D$9,$B86)+LEN(D$9)+3,FIND(CHAR(34),$B86,FIND(D$9,$B86)+LEN(D$9)+3)-(FIND(D$9,$B86)+LEN(D$9)+3))</f>
        <v>1,527.10</v>
      </c>
      <c r="E86" s="5" t="str">
        <f t="shared" si="32"/>
        <v>1,536.85</v>
      </c>
      <c r="F86" s="5" t="str">
        <f t="shared" si="32"/>
        <v>1,512.00</v>
      </c>
      <c r="G86" s="5" t="str">
        <f t="shared" si="32"/>
        <v>1,521.20</v>
      </c>
      <c r="H86" s="6" t="str">
        <f t="shared" si="28"/>
        <v xml:space="preserve">   </v>
      </c>
      <c r="I86" s="7" t="str">
        <f t="shared" si="29"/>
        <v xml:space="preserve">   </v>
      </c>
      <c r="J86" s="8" t="str">
        <f t="shared" si="30"/>
        <v xml:space="preserve">   </v>
      </c>
      <c r="K86" s="9" t="str">
        <f t="shared" si="31"/>
        <v xml:space="preserve">   </v>
      </c>
      <c r="L86" s="5"/>
    </row>
    <row r="87" spans="2:12" x14ac:dyDescent="0.25">
      <c r="B87" t="str">
        <f t="shared" si="27"/>
        <v>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</v>
      </c>
      <c r="C87" s="12" t="s">
        <v>87</v>
      </c>
      <c r="D87" s="5" t="str">
        <f t="shared" si="32"/>
        <v>5,919.00</v>
      </c>
      <c r="E87" s="5" t="str">
        <f t="shared" si="32"/>
        <v>6,036.00</v>
      </c>
      <c r="F87" s="5" t="str">
        <f t="shared" si="32"/>
        <v>5,880.00</v>
      </c>
      <c r="G87" s="5" t="str">
        <f t="shared" si="32"/>
        <v>5,948.00</v>
      </c>
      <c r="H87" s="6" t="str">
        <f t="shared" si="28"/>
        <v xml:space="preserve">   </v>
      </c>
      <c r="I87" s="7" t="str">
        <f t="shared" si="29"/>
        <v xml:space="preserve">   </v>
      </c>
      <c r="J87" s="8" t="str">
        <f t="shared" si="30"/>
        <v xml:space="preserve">   </v>
      </c>
      <c r="K87" s="9" t="str">
        <f t="shared" si="31"/>
        <v xml:space="preserve">   </v>
      </c>
      <c r="L87" s="5"/>
    </row>
    <row r="88" spans="2:12" x14ac:dyDescent="0.25">
      <c r="B88" t="str">
        <f t="shared" si="27"/>
        <v>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</v>
      </c>
      <c r="C88" s="12" t="s">
        <v>66</v>
      </c>
      <c r="D88" s="5" t="str">
        <f t="shared" si="32"/>
        <v>938.00</v>
      </c>
      <c r="E88" s="5" t="str">
        <f t="shared" si="32"/>
        <v>945.10</v>
      </c>
      <c r="F88" s="5" t="str">
        <f t="shared" si="32"/>
        <v>910.05</v>
      </c>
      <c r="G88" s="5" t="str">
        <f t="shared" si="32"/>
        <v>914.55</v>
      </c>
      <c r="H88" s="6" t="str">
        <f t="shared" si="28"/>
        <v xml:space="preserve">   </v>
      </c>
      <c r="I88" s="7" t="str">
        <f t="shared" si="29"/>
        <v xml:space="preserve">   </v>
      </c>
      <c r="J88" s="8" t="str">
        <f t="shared" si="30"/>
        <v xml:space="preserve">   </v>
      </c>
      <c r="K88" s="9" t="str">
        <f t="shared" si="31"/>
        <v xml:space="preserve">   </v>
      </c>
      <c r="L88" s="5"/>
    </row>
    <row r="89" spans="2:12" x14ac:dyDescent="0.25">
      <c r="B89" t="str">
        <f t="shared" si="27"/>
        <v>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</v>
      </c>
      <c r="C89" s="12" t="s">
        <v>88</v>
      </c>
      <c r="D89" s="5" t="str">
        <f t="shared" si="32"/>
        <v>169.95</v>
      </c>
      <c r="E89" s="5" t="str">
        <f t="shared" si="32"/>
        <v>172.90</v>
      </c>
      <c r="F89" s="5" t="str">
        <f t="shared" si="32"/>
        <v>167.15</v>
      </c>
      <c r="G89" s="5" t="str">
        <f t="shared" si="32"/>
        <v>171.55</v>
      </c>
      <c r="H89" s="6" t="str">
        <f t="shared" si="28"/>
        <v xml:space="preserve">   </v>
      </c>
      <c r="I89" s="7" t="str">
        <f t="shared" si="29"/>
        <v xml:space="preserve">   </v>
      </c>
      <c r="J89" s="8" t="str">
        <f t="shared" si="30"/>
        <v xml:space="preserve">   </v>
      </c>
      <c r="K89" s="9" t="str">
        <f t="shared" si="31"/>
        <v xml:space="preserve">   </v>
      </c>
      <c r="L89" s="5"/>
    </row>
    <row r="90" spans="2:12" x14ac:dyDescent="0.25">
      <c r="B90" t="str">
        <f t="shared" si="27"/>
        <v>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</v>
      </c>
      <c r="C90" s="12" t="s">
        <v>89</v>
      </c>
      <c r="D90" s="5" t="str">
        <f t="shared" si="32"/>
        <v>750.00</v>
      </c>
      <c r="E90" s="5" t="str">
        <f t="shared" si="32"/>
        <v>754.25</v>
      </c>
      <c r="F90" s="5" t="str">
        <f t="shared" si="32"/>
        <v>730.25</v>
      </c>
      <c r="G90" s="5" t="str">
        <f t="shared" si="32"/>
        <v>737.45</v>
      </c>
      <c r="H90" s="6" t="str">
        <f t="shared" si="28"/>
        <v xml:space="preserve">   </v>
      </c>
      <c r="I90" s="7" t="str">
        <f t="shared" si="29"/>
        <v xml:space="preserve">   </v>
      </c>
      <c r="J90" s="8" t="str">
        <f t="shared" si="30"/>
        <v xml:space="preserve">   </v>
      </c>
      <c r="K90" s="9" t="str">
        <f t="shared" si="31"/>
        <v xml:space="preserve">   </v>
      </c>
      <c r="L90" s="5"/>
    </row>
    <row r="91" spans="2:12" x14ac:dyDescent="0.25">
      <c r="B91" t="str">
        <f t="shared" si="27"/>
        <v>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</v>
      </c>
      <c r="C91" s="12" t="s">
        <v>90</v>
      </c>
      <c r="D91" s="5" t="str">
        <f t="shared" si="32"/>
        <v>412.00</v>
      </c>
      <c r="E91" s="5" t="str">
        <f t="shared" si="32"/>
        <v>412.80</v>
      </c>
      <c r="F91" s="5" t="str">
        <f t="shared" si="32"/>
        <v>402.05</v>
      </c>
      <c r="G91" s="5" t="str">
        <f t="shared" si="32"/>
        <v>402.60</v>
      </c>
      <c r="H91" s="6" t="str">
        <f t="shared" si="28"/>
        <v xml:space="preserve">   </v>
      </c>
      <c r="I91" s="7" t="str">
        <f t="shared" si="29"/>
        <v xml:space="preserve">   </v>
      </c>
      <c r="J91" s="8" t="str">
        <f t="shared" si="30"/>
        <v xml:space="preserve">   </v>
      </c>
      <c r="K91" s="9" t="str">
        <f t="shared" si="31"/>
        <v xml:space="preserve">   </v>
      </c>
      <c r="L91" s="5"/>
    </row>
    <row r="92" spans="2:12" x14ac:dyDescent="0.25">
      <c r="B92" t="str">
        <f t="shared" si="27"/>
        <v>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</v>
      </c>
      <c r="C92" s="12" t="s">
        <v>91</v>
      </c>
      <c r="D92" s="5" t="str">
        <f t="shared" si="32"/>
        <v>1,378.00</v>
      </c>
      <c r="E92" s="5" t="str">
        <f t="shared" si="32"/>
        <v>1,393.00</v>
      </c>
      <c r="F92" s="5" t="str">
        <f t="shared" si="32"/>
        <v>1,357.80</v>
      </c>
      <c r="G92" s="5" t="str">
        <f t="shared" si="32"/>
        <v>1,365.00</v>
      </c>
      <c r="H92" s="6" t="str">
        <f t="shared" si="28"/>
        <v xml:space="preserve">   </v>
      </c>
      <c r="I92" s="7" t="str">
        <f t="shared" si="29"/>
        <v xml:space="preserve">   </v>
      </c>
      <c r="J92" s="8" t="str">
        <f t="shared" si="30"/>
        <v xml:space="preserve">   </v>
      </c>
      <c r="K92" s="9" t="str">
        <f t="shared" si="31"/>
        <v xml:space="preserve">   </v>
      </c>
      <c r="L92" s="5"/>
    </row>
    <row r="93" spans="2:12" x14ac:dyDescent="0.25">
      <c r="B93" t="str">
        <f t="shared" si="27"/>
        <v>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</v>
      </c>
      <c r="C93" s="12" t="s">
        <v>92</v>
      </c>
      <c r="D93" s="5" t="str">
        <f t="shared" si="32"/>
        <v>463.90</v>
      </c>
      <c r="E93" s="5" t="str">
        <f t="shared" si="32"/>
        <v>470.40</v>
      </c>
      <c r="F93" s="5" t="str">
        <f t="shared" si="32"/>
        <v>460.55</v>
      </c>
      <c r="G93" s="5" t="str">
        <f t="shared" si="32"/>
        <v>468.00</v>
      </c>
      <c r="H93" s="6" t="str">
        <f t="shared" si="28"/>
        <v xml:space="preserve">   </v>
      </c>
      <c r="I93" s="7" t="str">
        <f t="shared" si="29"/>
        <v xml:space="preserve">   </v>
      </c>
      <c r="J93" s="8" t="str">
        <f t="shared" si="30"/>
        <v xml:space="preserve">   </v>
      </c>
      <c r="K93" s="9" t="str">
        <f t="shared" si="31"/>
        <v xml:space="preserve">   </v>
      </c>
      <c r="L93" s="5"/>
    </row>
    <row r="94" spans="2:12" x14ac:dyDescent="0.25">
      <c r="B94" t="str">
        <f t="shared" si="27"/>
        <v>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</v>
      </c>
      <c r="C94" s="12" t="s">
        <v>93</v>
      </c>
      <c r="D94" s="5" t="str">
        <f t="shared" si="32"/>
        <v>257.00</v>
      </c>
      <c r="E94" s="5" t="str">
        <f t="shared" si="32"/>
        <v>260.45</v>
      </c>
      <c r="F94" s="5" t="str">
        <f t="shared" si="32"/>
        <v>252.60</v>
      </c>
      <c r="G94" s="5" t="str">
        <f t="shared" si="32"/>
        <v>252.75</v>
      </c>
      <c r="H94" s="6" t="str">
        <f t="shared" si="28"/>
        <v xml:space="preserve">   </v>
      </c>
      <c r="I94" s="7" t="str">
        <f t="shared" si="29"/>
        <v xml:space="preserve">   </v>
      </c>
      <c r="J94" s="8" t="str">
        <f t="shared" si="30"/>
        <v xml:space="preserve">   </v>
      </c>
      <c r="K94" s="9" t="str">
        <f t="shared" si="31"/>
        <v xml:space="preserve">   </v>
      </c>
      <c r="L94" s="5"/>
    </row>
    <row r="95" spans="2:12" x14ac:dyDescent="0.25">
      <c r="B95" t="str">
        <f t="shared" si="27"/>
        <v>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</v>
      </c>
      <c r="C95" s="12" t="s">
        <v>94</v>
      </c>
      <c r="D95" s="5" t="str">
        <f t="shared" si="32"/>
        <v>2,505.00</v>
      </c>
      <c r="E95" s="5" t="str">
        <f t="shared" si="32"/>
        <v>2,507.00</v>
      </c>
      <c r="F95" s="5" t="str">
        <f t="shared" si="32"/>
        <v>2,464.10</v>
      </c>
      <c r="G95" s="5" t="str">
        <f t="shared" si="32"/>
        <v>2,476.15</v>
      </c>
      <c r="H95" s="6" t="str">
        <f t="shared" si="28"/>
        <v xml:space="preserve">   </v>
      </c>
      <c r="I95" s="7" t="str">
        <f t="shared" si="29"/>
        <v xml:space="preserve">   </v>
      </c>
      <c r="J95" s="8" t="str">
        <f t="shared" si="30"/>
        <v xml:space="preserve">   </v>
      </c>
      <c r="K95" s="9" t="str">
        <f t="shared" si="31"/>
        <v xml:space="preserve">   </v>
      </c>
      <c r="L95" s="5"/>
    </row>
    <row r="96" spans="2:12" x14ac:dyDescent="0.25">
      <c r="B96" t="str">
        <f t="shared" si="27"/>
        <v>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</v>
      </c>
      <c r="C96" s="12" t="s">
        <v>95</v>
      </c>
      <c r="D96" s="5" t="str">
        <f t="shared" si="32"/>
        <v>278.10</v>
      </c>
      <c r="E96" s="5" t="str">
        <f t="shared" si="32"/>
        <v>286.75</v>
      </c>
      <c r="F96" s="5" t="str">
        <f t="shared" si="32"/>
        <v>276.00</v>
      </c>
      <c r="G96" s="5" t="str">
        <f t="shared" si="32"/>
        <v>283.00</v>
      </c>
      <c r="H96" s="6" t="str">
        <f t="shared" si="28"/>
        <v xml:space="preserve">   </v>
      </c>
      <c r="I96" s="7" t="str">
        <f t="shared" si="29"/>
        <v xml:space="preserve">   </v>
      </c>
      <c r="J96" s="8" t="str">
        <f t="shared" si="30"/>
        <v xml:space="preserve">   </v>
      </c>
      <c r="K96" s="9" t="str">
        <f t="shared" si="31"/>
        <v xml:space="preserve">   </v>
      </c>
      <c r="L96" s="5"/>
    </row>
    <row r="97" spans="2:12" x14ac:dyDescent="0.25">
      <c r="B97" t="str">
        <f t="shared" si="27"/>
        <v>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</v>
      </c>
      <c r="C97" s="12" t="s">
        <v>96</v>
      </c>
      <c r="D97" s="5" t="str">
        <f t="shared" si="32"/>
        <v>22.80</v>
      </c>
      <c r="E97" s="5" t="str">
        <f t="shared" si="32"/>
        <v>23.95</v>
      </c>
      <c r="F97" s="5" t="str">
        <f t="shared" si="32"/>
        <v>22.05</v>
      </c>
      <c r="G97" s="5" t="str">
        <f t="shared" si="32"/>
        <v>22.90</v>
      </c>
      <c r="H97" s="6" t="str">
        <f t="shared" si="28"/>
        <v xml:space="preserve">   </v>
      </c>
      <c r="I97" s="7" t="str">
        <f t="shared" si="29"/>
        <v xml:space="preserve">   </v>
      </c>
      <c r="J97" s="8" t="str">
        <f t="shared" si="30"/>
        <v xml:space="preserve">   </v>
      </c>
      <c r="K97" s="9" t="str">
        <f t="shared" si="31"/>
        <v xml:space="preserve">   </v>
      </c>
      <c r="L97" s="5"/>
    </row>
    <row r="98" spans="2:12" x14ac:dyDescent="0.25">
      <c r="B98" t="str">
        <f t="shared" si="27"/>
        <v>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</v>
      </c>
      <c r="C98" s="12" t="s">
        <v>59</v>
      </c>
      <c r="D98" s="5" t="str">
        <f t="shared" si="32"/>
        <v>93.05</v>
      </c>
      <c r="E98" s="5" t="str">
        <f t="shared" si="32"/>
        <v>93.25</v>
      </c>
      <c r="F98" s="5" t="str">
        <f t="shared" si="32"/>
        <v>87.95</v>
      </c>
      <c r="G98" s="5" t="str">
        <f t="shared" si="32"/>
        <v>89.30</v>
      </c>
      <c r="H98" s="6" t="str">
        <f t="shared" si="28"/>
        <v xml:space="preserve">   </v>
      </c>
      <c r="I98" s="7" t="str">
        <f t="shared" si="29"/>
        <v xml:space="preserve">   </v>
      </c>
      <c r="J98" s="8" t="str">
        <f t="shared" si="30"/>
        <v xml:space="preserve">   </v>
      </c>
      <c r="K98" s="9" t="str">
        <f t="shared" si="31"/>
        <v xml:space="preserve">   </v>
      </c>
      <c r="L98" s="5"/>
    </row>
    <row r="99" spans="2:12" x14ac:dyDescent="0.25">
      <c r="B99" t="str">
        <f t="shared" si="27"/>
        <v>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</v>
      </c>
      <c r="C99" s="12" t="s">
        <v>97</v>
      </c>
      <c r="D99" s="5" t="str">
        <f t="shared" si="32"/>
        <v>3,524.00</v>
      </c>
      <c r="E99" s="5" t="str">
        <f t="shared" si="32"/>
        <v>3,524.00</v>
      </c>
      <c r="F99" s="5" t="str">
        <f t="shared" si="32"/>
        <v>3,462.70</v>
      </c>
      <c r="G99" s="5" t="str">
        <f t="shared" si="32"/>
        <v>3,485.00</v>
      </c>
      <c r="H99" s="6" t="str">
        <f t="shared" si="28"/>
        <v xml:space="preserve">SHORT </v>
      </c>
      <c r="I99" s="7">
        <f t="shared" si="29"/>
        <v>3514</v>
      </c>
      <c r="J99" s="8">
        <f t="shared" si="30"/>
        <v>3541.62</v>
      </c>
      <c r="K99" s="9">
        <f t="shared" si="31"/>
        <v>8.2527034718269787E-3</v>
      </c>
      <c r="L99" s="5"/>
    </row>
    <row r="100" spans="2:12" x14ac:dyDescent="0.25">
      <c r="B100" t="str">
        <f t="shared" si="27"/>
        <v>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</v>
      </c>
      <c r="C100" s="12" t="s">
        <v>98</v>
      </c>
      <c r="D100" s="5" t="str">
        <f t="shared" si="32"/>
        <v>351.90</v>
      </c>
      <c r="E100" s="5" t="str">
        <f t="shared" si="32"/>
        <v>354.95</v>
      </c>
      <c r="F100" s="5" t="str">
        <f t="shared" si="32"/>
        <v>343.10</v>
      </c>
      <c r="G100" s="5" t="str">
        <f t="shared" si="32"/>
        <v>348.65</v>
      </c>
      <c r="H100" s="6" t="str">
        <f t="shared" si="28"/>
        <v xml:space="preserve">   </v>
      </c>
      <c r="I100" s="7" t="str">
        <f t="shared" si="29"/>
        <v xml:space="preserve">   </v>
      </c>
      <c r="J100" s="8" t="str">
        <f t="shared" si="30"/>
        <v xml:space="preserve">   </v>
      </c>
      <c r="K100" s="9" t="str">
        <f t="shared" si="31"/>
        <v xml:space="preserve">   </v>
      </c>
      <c r="L100" s="5"/>
    </row>
    <row r="101" spans="2:12" x14ac:dyDescent="0.25">
      <c r="B101" t="str">
        <f t="shared" si="27"/>
        <v>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</v>
      </c>
      <c r="C101" s="12" t="s">
        <v>99</v>
      </c>
      <c r="D101" s="5" t="str">
        <f t="shared" si="32"/>
        <v>166.55</v>
      </c>
      <c r="E101" s="5" t="str">
        <f t="shared" si="32"/>
        <v>170.90</v>
      </c>
      <c r="F101" s="5" t="str">
        <f t="shared" si="32"/>
        <v>165.80</v>
      </c>
      <c r="G101" s="5" t="str">
        <f t="shared" si="32"/>
        <v>168.30</v>
      </c>
      <c r="H101" s="6" t="str">
        <f t="shared" si="28"/>
        <v xml:space="preserve">   </v>
      </c>
      <c r="I101" s="7" t="str">
        <f t="shared" si="29"/>
        <v xml:space="preserve">   </v>
      </c>
      <c r="J101" s="8" t="str">
        <f t="shared" si="30"/>
        <v xml:space="preserve">   </v>
      </c>
      <c r="K101" s="9" t="str">
        <f t="shared" si="31"/>
        <v xml:space="preserve">   </v>
      </c>
      <c r="L101" s="5"/>
    </row>
    <row r="102" spans="2:12" x14ac:dyDescent="0.25">
      <c r="B102" t="str">
        <f t="shared" si="27"/>
        <v>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</v>
      </c>
      <c r="C102" s="12" t="s">
        <v>100</v>
      </c>
      <c r="D102" s="5" t="str">
        <f t="shared" si="32"/>
        <v>6,289.00</v>
      </c>
      <c r="E102" s="5" t="str">
        <f t="shared" si="32"/>
        <v>6,294.70</v>
      </c>
      <c r="F102" s="5" t="str">
        <f t="shared" si="32"/>
        <v>6,177.10</v>
      </c>
      <c r="G102" s="5" t="str">
        <f t="shared" si="32"/>
        <v>6,185.00</v>
      </c>
      <c r="H102" s="6" t="str">
        <f t="shared" si="28"/>
        <v xml:space="preserve">   </v>
      </c>
      <c r="I102" s="7" t="str">
        <f t="shared" si="29"/>
        <v xml:space="preserve">   </v>
      </c>
      <c r="J102" s="8" t="str">
        <f t="shared" si="30"/>
        <v xml:space="preserve">   </v>
      </c>
      <c r="K102" s="9" t="str">
        <f t="shared" si="31"/>
        <v xml:space="preserve">   </v>
      </c>
      <c r="L102" s="5"/>
    </row>
    <row r="103" spans="2:12" x14ac:dyDescent="0.25">
      <c r="B103" t="str">
        <f t="shared" si="27"/>
        <v>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</v>
      </c>
      <c r="C103" s="12" t="s">
        <v>101</v>
      </c>
      <c r="D103" s="5" t="str">
        <f t="shared" si="32"/>
        <v>698.50</v>
      </c>
      <c r="E103" s="5" t="str">
        <f t="shared" si="32"/>
        <v>708.65</v>
      </c>
      <c r="F103" s="5" t="str">
        <f t="shared" si="32"/>
        <v>691.35</v>
      </c>
      <c r="G103" s="5" t="str">
        <f t="shared" si="32"/>
        <v>695.00</v>
      </c>
      <c r="H103" s="6" t="str">
        <f t="shared" si="28"/>
        <v xml:space="preserve">   </v>
      </c>
      <c r="I103" s="7" t="str">
        <f t="shared" si="29"/>
        <v xml:space="preserve">   </v>
      </c>
      <c r="J103" s="8" t="str">
        <f t="shared" si="30"/>
        <v xml:space="preserve">   </v>
      </c>
      <c r="K103" s="9" t="str">
        <f t="shared" si="31"/>
        <v xml:space="preserve">   </v>
      </c>
      <c r="L103" s="5"/>
    </row>
    <row r="104" spans="2:12" x14ac:dyDescent="0.25">
      <c r="B104" t="str">
        <f t="shared" si="27"/>
        <v>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</v>
      </c>
      <c r="C104" s="12" t="s">
        <v>43</v>
      </c>
      <c r="D104" s="5" t="str">
        <f t="shared" si="32"/>
        <v>78.00</v>
      </c>
      <c r="E104" s="5" t="str">
        <f t="shared" si="32"/>
        <v>78.90</v>
      </c>
      <c r="F104" s="5" t="str">
        <f t="shared" si="32"/>
        <v>76.40</v>
      </c>
      <c r="G104" s="5" t="str">
        <f t="shared" si="32"/>
        <v>77.20</v>
      </c>
      <c r="H104" s="6" t="str">
        <f t="shared" si="28"/>
        <v xml:space="preserve">   </v>
      </c>
      <c r="I104" s="7" t="str">
        <f t="shared" si="29"/>
        <v xml:space="preserve">   </v>
      </c>
      <c r="J104" s="8" t="str">
        <f t="shared" si="30"/>
        <v xml:space="preserve">   </v>
      </c>
      <c r="K104" s="9" t="str">
        <f t="shared" si="31"/>
        <v xml:space="preserve">   </v>
      </c>
      <c r="L104" s="5"/>
    </row>
    <row r="105" spans="2:12" x14ac:dyDescent="0.25">
      <c r="B105" t="str">
        <f t="shared" si="27"/>
        <v>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</v>
      </c>
      <c r="C105" s="12" t="s">
        <v>102</v>
      </c>
      <c r="D105" s="5" t="str">
        <f t="shared" si="32"/>
        <v>49.30</v>
      </c>
      <c r="E105" s="5" t="str">
        <f t="shared" si="32"/>
        <v>50.65</v>
      </c>
      <c r="F105" s="5" t="str">
        <f t="shared" si="32"/>
        <v>48.65</v>
      </c>
      <c r="G105" s="5" t="str">
        <f t="shared" si="32"/>
        <v>48.80</v>
      </c>
      <c r="H105" s="6" t="str">
        <f t="shared" si="28"/>
        <v xml:space="preserve">   </v>
      </c>
      <c r="I105" s="7" t="str">
        <f t="shared" si="29"/>
        <v xml:space="preserve">   </v>
      </c>
      <c r="J105" s="8" t="str">
        <f t="shared" si="30"/>
        <v xml:space="preserve">   </v>
      </c>
      <c r="K105" s="9" t="str">
        <f t="shared" si="31"/>
        <v xml:space="preserve">   </v>
      </c>
      <c r="L105" s="5"/>
    </row>
    <row r="106" spans="2:12" x14ac:dyDescent="0.25">
      <c r="B106" t="str">
        <f t="shared" si="27"/>
        <v>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</v>
      </c>
      <c r="C106" s="12" t="s">
        <v>103</v>
      </c>
      <c r="D106" s="5" t="str">
        <f t="shared" ref="D106:G115" si="33">MID($B106,FIND(D$9,$B106)+LEN(D$9)+3,FIND(CHAR(34),$B106,FIND(D$9,$B106)+LEN(D$9)+3)-(FIND(D$9,$B106)+LEN(D$9)+3))</f>
        <v>159.50</v>
      </c>
      <c r="E106" s="5" t="str">
        <f t="shared" si="33"/>
        <v>163.50</v>
      </c>
      <c r="F106" s="5" t="str">
        <f t="shared" si="33"/>
        <v>159.50</v>
      </c>
      <c r="G106" s="5" t="str">
        <f t="shared" si="33"/>
        <v>160.40</v>
      </c>
      <c r="H106" s="6" t="str">
        <f t="shared" si="28"/>
        <v xml:space="preserve">LONG </v>
      </c>
      <c r="I106" s="7">
        <f t="shared" si="29"/>
        <v>162</v>
      </c>
      <c r="J106" s="8">
        <f t="shared" si="30"/>
        <v>158.70249999999999</v>
      </c>
      <c r="K106" s="9">
        <f t="shared" si="31"/>
        <v>-9.8765432098765083E-3</v>
      </c>
      <c r="L106" s="5"/>
    </row>
    <row r="107" spans="2:12" x14ac:dyDescent="0.25">
      <c r="B107" t="str">
        <f t="shared" si="27"/>
        <v>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</v>
      </c>
      <c r="C107" s="12" t="s">
        <v>104</v>
      </c>
      <c r="D107" s="5" t="str">
        <f t="shared" si="33"/>
        <v>43.00</v>
      </c>
      <c r="E107" s="5" t="str">
        <f t="shared" si="33"/>
        <v>43.65</v>
      </c>
      <c r="F107" s="5" t="str">
        <f t="shared" si="33"/>
        <v>42.35</v>
      </c>
      <c r="G107" s="5" t="str">
        <f t="shared" si="33"/>
        <v>42.90</v>
      </c>
      <c r="H107" s="6" t="str">
        <f t="shared" si="28"/>
        <v xml:space="preserve">   </v>
      </c>
      <c r="I107" s="7" t="str">
        <f t="shared" si="29"/>
        <v xml:space="preserve">   </v>
      </c>
      <c r="J107" s="8" t="str">
        <f t="shared" si="30"/>
        <v xml:space="preserve">   </v>
      </c>
      <c r="K107" s="9" t="str">
        <f t="shared" si="31"/>
        <v xml:space="preserve">   </v>
      </c>
      <c r="L107" s="5"/>
    </row>
    <row r="108" spans="2:12" x14ac:dyDescent="0.25">
      <c r="B108" t="str">
        <f t="shared" si="27"/>
        <v>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</v>
      </c>
      <c r="C108" s="12" t="s">
        <v>105</v>
      </c>
      <c r="D108" s="5" t="str">
        <f t="shared" si="33"/>
        <v>13,142.00</v>
      </c>
      <c r="E108" s="5" t="str">
        <f t="shared" si="33"/>
        <v>13,450.00</v>
      </c>
      <c r="F108" s="5" t="str">
        <f t="shared" si="33"/>
        <v>13,140.00</v>
      </c>
      <c r="G108" s="5" t="str">
        <f t="shared" si="33"/>
        <v>13,351.00</v>
      </c>
      <c r="H108" s="6" t="str">
        <f t="shared" si="28"/>
        <v xml:space="preserve">   </v>
      </c>
      <c r="I108" s="7" t="str">
        <f t="shared" si="29"/>
        <v xml:space="preserve">   </v>
      </c>
      <c r="J108" s="8" t="str">
        <f t="shared" si="30"/>
        <v xml:space="preserve">   </v>
      </c>
      <c r="K108" s="9" t="str">
        <f t="shared" si="31"/>
        <v xml:space="preserve">   </v>
      </c>
      <c r="L108" s="5"/>
    </row>
    <row r="109" spans="2:12" x14ac:dyDescent="0.25">
      <c r="B109" t="str">
        <f t="shared" si="27"/>
        <v>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</v>
      </c>
      <c r="C109" s="12" t="s">
        <v>106</v>
      </c>
      <c r="D109" s="5" t="str">
        <f t="shared" si="33"/>
        <v>1,202.80</v>
      </c>
      <c r="E109" s="5" t="str">
        <f t="shared" si="33"/>
        <v>1,231.00</v>
      </c>
      <c r="F109" s="5" t="str">
        <f t="shared" si="33"/>
        <v>1,198.10</v>
      </c>
      <c r="G109" s="5" t="str">
        <f t="shared" si="33"/>
        <v>1,218.95</v>
      </c>
      <c r="H109" s="6" t="str">
        <f t="shared" si="28"/>
        <v xml:space="preserve">   </v>
      </c>
      <c r="I109" s="7" t="str">
        <f t="shared" si="29"/>
        <v xml:space="preserve">   </v>
      </c>
      <c r="J109" s="8" t="str">
        <f t="shared" si="30"/>
        <v xml:space="preserve">   </v>
      </c>
      <c r="K109" s="9" t="str">
        <f t="shared" si="31"/>
        <v xml:space="preserve">   </v>
      </c>
      <c r="L109" s="5"/>
    </row>
    <row r="110" spans="2:12" x14ac:dyDescent="0.25">
      <c r="B110" t="str">
        <f t="shared" si="27"/>
        <v>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</v>
      </c>
      <c r="C110" s="12" t="s">
        <v>107</v>
      </c>
      <c r="D110" s="5" t="str">
        <f t="shared" si="33"/>
        <v>1,190.15</v>
      </c>
      <c r="E110" s="5" t="str">
        <f t="shared" si="33"/>
        <v>1,219.80</v>
      </c>
      <c r="F110" s="5" t="str">
        <f t="shared" si="33"/>
        <v>1,175.65</v>
      </c>
      <c r="G110" s="5" t="str">
        <f t="shared" si="33"/>
        <v>1,201.00</v>
      </c>
      <c r="H110" s="6" t="str">
        <f t="shared" si="28"/>
        <v xml:space="preserve">   </v>
      </c>
      <c r="I110" s="7" t="str">
        <f t="shared" si="29"/>
        <v xml:space="preserve">   </v>
      </c>
      <c r="J110" s="8" t="str">
        <f t="shared" si="30"/>
        <v xml:space="preserve">   </v>
      </c>
      <c r="K110" s="9" t="str">
        <f t="shared" si="31"/>
        <v xml:space="preserve">   </v>
      </c>
      <c r="L110" s="5"/>
    </row>
    <row r="111" spans="2:12" x14ac:dyDescent="0.25">
      <c r="B111" t="str">
        <f t="shared" si="27"/>
        <v>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</v>
      </c>
      <c r="C111" s="12" t="s">
        <v>108</v>
      </c>
      <c r="D111" s="5" t="str">
        <f t="shared" si="33"/>
        <v>361.10</v>
      </c>
      <c r="E111" s="5" t="str">
        <f t="shared" si="33"/>
        <v>365.60</v>
      </c>
      <c r="F111" s="5" t="str">
        <f t="shared" si="33"/>
        <v>354.25</v>
      </c>
      <c r="G111" s="5" t="str">
        <f t="shared" si="33"/>
        <v>363.20</v>
      </c>
      <c r="H111" s="6" t="str">
        <f t="shared" si="28"/>
        <v xml:space="preserve">   </v>
      </c>
      <c r="I111" s="7" t="str">
        <f t="shared" si="29"/>
        <v xml:space="preserve">   </v>
      </c>
      <c r="J111" s="8" t="str">
        <f t="shared" si="30"/>
        <v xml:space="preserve">   </v>
      </c>
      <c r="K111" s="9" t="str">
        <f t="shared" si="31"/>
        <v xml:space="preserve">   </v>
      </c>
      <c r="L111" s="5"/>
    </row>
    <row r="112" spans="2:12" x14ac:dyDescent="0.25">
      <c r="B112" t="str">
        <f t="shared" si="27"/>
        <v>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</v>
      </c>
      <c r="C112" s="12" t="s">
        <v>109</v>
      </c>
      <c r="D112" s="5" t="str">
        <f t="shared" si="33"/>
        <v>1,379.00</v>
      </c>
      <c r="E112" s="5" t="str">
        <f t="shared" si="33"/>
        <v>1,384.80</v>
      </c>
      <c r="F112" s="5" t="str">
        <f t="shared" si="33"/>
        <v>1,353.25</v>
      </c>
      <c r="G112" s="5" t="str">
        <f t="shared" si="33"/>
        <v>1,363.00</v>
      </c>
      <c r="H112" s="6" t="str">
        <f t="shared" si="28"/>
        <v xml:space="preserve">   </v>
      </c>
      <c r="I112" s="7" t="str">
        <f t="shared" si="29"/>
        <v xml:space="preserve">   </v>
      </c>
      <c r="J112" s="8" t="str">
        <f t="shared" si="30"/>
        <v xml:space="preserve">   </v>
      </c>
      <c r="K112" s="9" t="str">
        <f t="shared" si="31"/>
        <v xml:space="preserve">   </v>
      </c>
      <c r="L112" s="5"/>
    </row>
    <row r="113" spans="2:12" x14ac:dyDescent="0.25">
      <c r="B113" t="str">
        <f t="shared" si="27"/>
        <v>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</v>
      </c>
      <c r="C113" s="12" t="s">
        <v>110</v>
      </c>
      <c r="D113" s="5" t="str">
        <f t="shared" si="33"/>
        <v>726.80</v>
      </c>
      <c r="E113" s="5" t="str">
        <f t="shared" si="33"/>
        <v>727.90</v>
      </c>
      <c r="F113" s="5" t="str">
        <f t="shared" si="33"/>
        <v>709.00</v>
      </c>
      <c r="G113" s="5" t="str">
        <f t="shared" si="33"/>
        <v>715.00</v>
      </c>
      <c r="H113" s="6" t="str">
        <f t="shared" si="28"/>
        <v xml:space="preserve">   </v>
      </c>
      <c r="I113" s="7" t="str">
        <f t="shared" si="29"/>
        <v xml:space="preserve">   </v>
      </c>
      <c r="J113" s="8" t="str">
        <f t="shared" si="30"/>
        <v xml:space="preserve">   </v>
      </c>
      <c r="K113" s="9" t="str">
        <f t="shared" si="31"/>
        <v xml:space="preserve">   </v>
      </c>
      <c r="L113" s="5"/>
    </row>
    <row r="114" spans="2:12" x14ac:dyDescent="0.25">
      <c r="B114" t="str">
        <f t="shared" si="27"/>
        <v>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</v>
      </c>
      <c r="C114" s="12" t="s">
        <v>111</v>
      </c>
      <c r="D114" s="5" t="str">
        <f t="shared" si="33"/>
        <v>597.90</v>
      </c>
      <c r="E114" s="5" t="str">
        <f t="shared" si="33"/>
        <v>602.60</v>
      </c>
      <c r="F114" s="5" t="str">
        <f t="shared" si="33"/>
        <v>586.40</v>
      </c>
      <c r="G114" s="5" t="str">
        <f t="shared" si="33"/>
        <v>593.50</v>
      </c>
      <c r="H114" s="6" t="str">
        <f t="shared" si="28"/>
        <v xml:space="preserve">   </v>
      </c>
      <c r="I114" s="7" t="str">
        <f t="shared" si="29"/>
        <v xml:space="preserve">   </v>
      </c>
      <c r="J114" s="8" t="str">
        <f t="shared" si="30"/>
        <v xml:space="preserve">   </v>
      </c>
      <c r="K114" s="9" t="str">
        <f t="shared" si="31"/>
        <v xml:space="preserve">   </v>
      </c>
      <c r="L114" s="5"/>
    </row>
    <row r="115" spans="2:12" x14ac:dyDescent="0.25">
      <c r="B115" t="str">
        <f t="shared" si="27"/>
        <v>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</v>
      </c>
      <c r="C115" s="12" t="s">
        <v>54</v>
      </c>
      <c r="D115" s="5" t="str">
        <f t="shared" si="33"/>
        <v>104.50</v>
      </c>
      <c r="E115" s="5" t="str">
        <f t="shared" si="33"/>
        <v>107.45</v>
      </c>
      <c r="F115" s="5" t="str">
        <f t="shared" si="33"/>
        <v>104.15</v>
      </c>
      <c r="G115" s="5" t="str">
        <f t="shared" si="33"/>
        <v>106.40</v>
      </c>
      <c r="H115" s="6" t="str">
        <f t="shared" si="28"/>
        <v xml:space="preserve">   </v>
      </c>
      <c r="I115" s="7" t="str">
        <f t="shared" si="29"/>
        <v xml:space="preserve">   </v>
      </c>
      <c r="J115" s="8" t="str">
        <f t="shared" si="30"/>
        <v xml:space="preserve">   </v>
      </c>
      <c r="K115" s="9" t="str">
        <f t="shared" si="31"/>
        <v xml:space="preserve">   </v>
      </c>
      <c r="L115" s="5"/>
    </row>
    <row r="116" spans="2:12" x14ac:dyDescent="0.25">
      <c r="L116" s="15"/>
    </row>
    <row r="119" spans="2:12" x14ac:dyDescent="0.25">
      <c r="C119" s="13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</v>
      </c>
      <c r="C121" s="12" t="s">
        <v>113</v>
      </c>
      <c r="D121" s="5" t="str">
        <f>MID($B121,FIND(D$9,$B121)+LEN(D$9)+3,FIND(CHAR(34),$B121,FIND(D$9,$B121)+LEN(D$9)+3)-(FIND(D$9,$B121)+LEN(D$9)+3))</f>
        <v>73.90</v>
      </c>
      <c r="E121" s="5" t="str">
        <f>MID($B121,FIND(E$9,$B121)+LEN(E$9)+3,FIND(CHAR(34),$B121,FIND(E$9,$B121)+LEN(E$9)+3)-(FIND(E$9,$B121)+LEN(E$9)+3))</f>
        <v>75.25</v>
      </c>
      <c r="F121" s="5" t="str">
        <f>MID($B121,FIND(F$9,$B121)+LEN(F$9)+3,FIND(CHAR(34),$B121,FIND(F$9,$B121)+LEN(F$9)+3)-(FIND(F$9,$B121)+LEN(F$9)+3))</f>
        <v>72.75</v>
      </c>
      <c r="G121" s="5" t="str">
        <f>MID($B121,FIND(G$9,$B121)+LEN(G$9)+3,FIND(CHAR(34),$B121,FIND(G$9,$B121)+LEN(G$9)+3)-(FIND(G$9,$B121)+LEN(G$9)+3))</f>
        <v>74.50</v>
      </c>
      <c r="H121" s="6" t="str">
        <f t="shared" ref="H121" si="34">IF(AND(E121=0, F121=0, D121=0),"  ",IF(E121= D121,"SHORT ",IF(F121= D121,"LONG ",IF(E121&lt;&gt; F121&lt;&gt; D121,"   "))))</f>
        <v xml:space="preserve">   </v>
      </c>
      <c r="I121" s="7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8" t="str">
        <f t="shared" ref="J121" si="36">IF(AND(E121=0, F121=0, D121=0),"  ",IF(E121= D121,D121+0.005*D121,IF(F121= D121,D121-0.005*D121,IF(E121&lt;&gt; F121&lt;&gt; D121,"   "))))</f>
        <v xml:space="preserve">   </v>
      </c>
      <c r="K121" s="9" t="str">
        <f t="shared" ref="K121" si="37">IF(AND(E121=0, F121=0, D121=0),"  ",IF(E121= D121,(I121-G121)/I121,IF(F121= D121,(G121-I121)/I121,IF(E121&lt;&gt; F121&lt;&gt; D121,"   "))))</f>
        <v xml:space="preserve">   </v>
      </c>
      <c r="L121" s="5"/>
    </row>
    <row r="122" spans="2:12" x14ac:dyDescent="0.25">
      <c r="B122" t="str">
        <f t="shared" ref="B122:B170" si="38">MID($P$500,FIND(C122,$P$500)-1,FIND("}",$P$500,FIND(C122,$P$500))-FIND(C122,$P$500)+1)</f>
        <v>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</v>
      </c>
      <c r="C122" s="12" t="s">
        <v>114</v>
      </c>
      <c r="D122" s="5" t="str">
        <f t="shared" ref="D122:G158" si="39">MID($B122,FIND(D$9,$B122)+LEN(D$9)+3,FIND(CHAR(34),$B122,FIND(D$9,$B122)+LEN(D$9)+3)-(FIND(D$9,$B122)+LEN(D$9)+3))</f>
        <v>30.25</v>
      </c>
      <c r="E122" s="5" t="str">
        <f t="shared" si="39"/>
        <v>30.50</v>
      </c>
      <c r="F122" s="5" t="str">
        <f t="shared" si="39"/>
        <v>29.75</v>
      </c>
      <c r="G122" s="5" t="str">
        <f t="shared" si="39"/>
        <v>30.25</v>
      </c>
      <c r="H122" s="6" t="str">
        <f t="shared" ref="H122:H157" si="40">IF(AND(E122=0, F122=0, D122=0),"  ",IF(E122= D122,"SHORT ",IF(F122= D122,"LONG ",IF(E122&lt;&gt; F122&lt;&gt; D122,"   "))))</f>
        <v xml:space="preserve">   </v>
      </c>
      <c r="I122" s="7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8" t="str">
        <f t="shared" ref="J122:J157" si="42">IF(AND(E122=0, F122=0, D122=0),"  ",IF(E122= D122,D122+0.005*D122,IF(F122= D122,D122-0.005*D122,IF(E122&lt;&gt; F122&lt;&gt; D122,"   "))))</f>
        <v xml:space="preserve">   </v>
      </c>
      <c r="K122" s="9" t="str">
        <f t="shared" ref="K122:K157" si="43">IF(AND(E122=0, F122=0, D122=0),"  ",IF(E122= D122,(I122-G122)/I122,IF(F122= D122,(G122-I122)/I122,IF(E122&lt;&gt; F122&lt;&gt; D122,"   "))))</f>
        <v xml:space="preserve">   </v>
      </c>
      <c r="L122" s="14"/>
    </row>
    <row r="123" spans="2:12" x14ac:dyDescent="0.25">
      <c r="B123" t="str">
        <f t="shared" si="38"/>
        <v>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</v>
      </c>
      <c r="C123" s="12" t="s">
        <v>115</v>
      </c>
      <c r="D123" s="5" t="str">
        <f t="shared" si="39"/>
        <v>1,524.05</v>
      </c>
      <c r="E123" s="5" t="str">
        <f t="shared" si="39"/>
        <v>1,555.00</v>
      </c>
      <c r="F123" s="5" t="str">
        <f t="shared" si="39"/>
        <v>1,524.05</v>
      </c>
      <c r="G123" s="5" t="str">
        <f t="shared" si="39"/>
        <v>1,538.50</v>
      </c>
      <c r="H123" s="6" t="str">
        <f t="shared" si="40"/>
        <v xml:space="preserve">LONG </v>
      </c>
      <c r="I123" s="7">
        <f t="shared" si="41"/>
        <v>1531</v>
      </c>
      <c r="J123" s="8">
        <f t="shared" si="42"/>
        <v>1516.42975</v>
      </c>
      <c r="K123" s="9">
        <f t="shared" si="43"/>
        <v>4.8987589810581319E-3</v>
      </c>
      <c r="L123" s="5"/>
    </row>
    <row r="124" spans="2:12" x14ac:dyDescent="0.25">
      <c r="B124" t="str">
        <f t="shared" si="38"/>
        <v>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</v>
      </c>
      <c r="C124" s="12" t="s">
        <v>116</v>
      </c>
      <c r="D124" s="5" t="str">
        <f t="shared" si="39"/>
        <v>53.60</v>
      </c>
      <c r="E124" s="5" t="str">
        <f t="shared" si="39"/>
        <v>54.00</v>
      </c>
      <c r="F124" s="5" t="str">
        <f t="shared" si="39"/>
        <v>52.20</v>
      </c>
      <c r="G124" s="5" t="str">
        <f t="shared" si="39"/>
        <v>52.55</v>
      </c>
      <c r="H124" s="6" t="str">
        <f t="shared" si="40"/>
        <v xml:space="preserve">   </v>
      </c>
      <c r="I124" s="7" t="str">
        <f t="shared" si="41"/>
        <v xml:space="preserve">   </v>
      </c>
      <c r="J124" s="8" t="str">
        <f t="shared" si="42"/>
        <v xml:space="preserve">   </v>
      </c>
      <c r="K124" s="9" t="str">
        <f t="shared" si="43"/>
        <v xml:space="preserve">   </v>
      </c>
      <c r="L124" s="5"/>
    </row>
    <row r="125" spans="2:12" x14ac:dyDescent="0.25">
      <c r="B125" t="str">
        <f t="shared" si="38"/>
        <v>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</v>
      </c>
      <c r="C125" s="12" t="s">
        <v>117</v>
      </c>
      <c r="D125" s="5" t="str">
        <f t="shared" si="39"/>
        <v>865.35</v>
      </c>
      <c r="E125" s="5" t="str">
        <f t="shared" si="39"/>
        <v>866.90</v>
      </c>
      <c r="F125" s="5" t="str">
        <f t="shared" si="39"/>
        <v>846.00</v>
      </c>
      <c r="G125" s="5" t="str">
        <f t="shared" si="39"/>
        <v>850.00</v>
      </c>
      <c r="H125" s="6" t="str">
        <f t="shared" si="40"/>
        <v xml:space="preserve">   </v>
      </c>
      <c r="I125" s="7" t="str">
        <f t="shared" si="41"/>
        <v xml:space="preserve">   </v>
      </c>
      <c r="J125" s="8" t="str">
        <f t="shared" si="42"/>
        <v xml:space="preserve">   </v>
      </c>
      <c r="K125" s="9" t="str">
        <f t="shared" si="43"/>
        <v xml:space="preserve">   </v>
      </c>
      <c r="L125" s="5"/>
    </row>
    <row r="126" spans="2:12" x14ac:dyDescent="0.25">
      <c r="B126" t="str">
        <f t="shared" si="38"/>
        <v>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</v>
      </c>
      <c r="C126" s="12" t="s">
        <v>118</v>
      </c>
      <c r="D126" s="5" t="str">
        <f t="shared" si="39"/>
        <v>157.90</v>
      </c>
      <c r="E126" s="5" t="str">
        <f t="shared" si="39"/>
        <v>159.10</v>
      </c>
      <c r="F126" s="5" t="str">
        <f t="shared" si="39"/>
        <v>154.30</v>
      </c>
      <c r="G126" s="5" t="str">
        <f t="shared" si="39"/>
        <v>157.30</v>
      </c>
      <c r="H126" s="6" t="str">
        <f t="shared" si="40"/>
        <v xml:space="preserve">   </v>
      </c>
      <c r="I126" s="7" t="str">
        <f t="shared" si="41"/>
        <v xml:space="preserve">   </v>
      </c>
      <c r="J126" s="8" t="str">
        <f t="shared" si="42"/>
        <v xml:space="preserve">   </v>
      </c>
      <c r="K126" s="9" t="str">
        <f t="shared" si="43"/>
        <v xml:space="preserve">   </v>
      </c>
      <c r="L126" s="5"/>
    </row>
    <row r="127" spans="2:12" x14ac:dyDescent="0.25">
      <c r="B127" t="str">
        <f t="shared" si="38"/>
        <v>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</v>
      </c>
      <c r="C127" s="12" t="s">
        <v>119</v>
      </c>
      <c r="D127" s="5" t="str">
        <f t="shared" si="39"/>
        <v>315.50</v>
      </c>
      <c r="E127" s="5" t="str">
        <f t="shared" si="39"/>
        <v>318.00</v>
      </c>
      <c r="F127" s="5" t="str">
        <f t="shared" si="39"/>
        <v>313.35</v>
      </c>
      <c r="G127" s="5" t="str">
        <f t="shared" si="39"/>
        <v>314.40</v>
      </c>
      <c r="H127" s="6" t="str">
        <f t="shared" si="40"/>
        <v xml:space="preserve">   </v>
      </c>
      <c r="I127" s="7" t="str">
        <f t="shared" si="41"/>
        <v xml:space="preserve">   </v>
      </c>
      <c r="J127" s="8" t="str">
        <f t="shared" si="42"/>
        <v xml:space="preserve">   </v>
      </c>
      <c r="K127" s="9" t="str">
        <f t="shared" si="43"/>
        <v xml:space="preserve">   </v>
      </c>
      <c r="L127" s="5"/>
    </row>
    <row r="128" spans="2:12" x14ac:dyDescent="0.25">
      <c r="B128" t="str">
        <f t="shared" si="38"/>
        <v>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</v>
      </c>
      <c r="C128" s="12" t="s">
        <v>120</v>
      </c>
      <c r="D128" s="5" t="str">
        <f t="shared" si="39"/>
        <v>87.55</v>
      </c>
      <c r="E128" s="5" t="str">
        <f t="shared" si="39"/>
        <v>88.45</v>
      </c>
      <c r="F128" s="5" t="str">
        <f t="shared" si="39"/>
        <v>85.50</v>
      </c>
      <c r="G128" s="5" t="str">
        <f t="shared" si="39"/>
        <v>86.00</v>
      </c>
      <c r="H128" s="6" t="str">
        <f t="shared" si="40"/>
        <v xml:space="preserve">   </v>
      </c>
      <c r="I128" s="7" t="str">
        <f t="shared" si="41"/>
        <v xml:space="preserve">   </v>
      </c>
      <c r="J128" s="8" t="str">
        <f t="shared" si="42"/>
        <v xml:space="preserve">   </v>
      </c>
      <c r="K128" s="9" t="str">
        <f t="shared" si="43"/>
        <v xml:space="preserve">   </v>
      </c>
      <c r="L128" s="5"/>
    </row>
    <row r="129" spans="2:12" x14ac:dyDescent="0.25">
      <c r="B129" t="str">
        <f t="shared" si="38"/>
        <v>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</v>
      </c>
      <c r="C129" s="12" t="s">
        <v>121</v>
      </c>
      <c r="D129" s="5" t="str">
        <f t="shared" si="39"/>
        <v>558.65</v>
      </c>
      <c r="E129" s="5" t="str">
        <f t="shared" si="39"/>
        <v>571.30</v>
      </c>
      <c r="F129" s="5" t="str">
        <f t="shared" si="39"/>
        <v>557.50</v>
      </c>
      <c r="G129" s="5" t="str">
        <f t="shared" si="39"/>
        <v>571.00</v>
      </c>
      <c r="H129" s="6" t="str">
        <f t="shared" si="40"/>
        <v xml:space="preserve">   </v>
      </c>
      <c r="I129" s="7" t="str">
        <f t="shared" si="41"/>
        <v xml:space="preserve">   </v>
      </c>
      <c r="J129" s="8" t="str">
        <f t="shared" si="42"/>
        <v xml:space="preserve">   </v>
      </c>
      <c r="K129" s="9" t="str">
        <f t="shared" si="43"/>
        <v xml:space="preserve">   </v>
      </c>
      <c r="L129" s="5"/>
    </row>
    <row r="130" spans="2:12" x14ac:dyDescent="0.25">
      <c r="B130" t="str">
        <f t="shared" si="38"/>
        <v>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</v>
      </c>
      <c r="C130" s="12" t="s">
        <v>122</v>
      </c>
      <c r="D130" s="5" t="str">
        <f t="shared" si="39"/>
        <v>703.90</v>
      </c>
      <c r="E130" s="5" t="str">
        <f t="shared" si="39"/>
        <v>709.85</v>
      </c>
      <c r="F130" s="5" t="str">
        <f t="shared" si="39"/>
        <v>686.05</v>
      </c>
      <c r="G130" s="5" t="str">
        <f t="shared" si="39"/>
        <v>704.00</v>
      </c>
      <c r="H130" s="6" t="str">
        <f t="shared" si="40"/>
        <v xml:space="preserve">   </v>
      </c>
      <c r="I130" s="7" t="str">
        <f t="shared" si="41"/>
        <v xml:space="preserve">   </v>
      </c>
      <c r="J130" s="8" t="str">
        <f t="shared" si="42"/>
        <v xml:space="preserve">   </v>
      </c>
      <c r="K130" s="9" t="str">
        <f t="shared" si="43"/>
        <v xml:space="preserve">   </v>
      </c>
      <c r="L130" s="5"/>
    </row>
    <row r="131" spans="2:12" x14ac:dyDescent="0.25">
      <c r="B131" t="str">
        <f t="shared" si="38"/>
        <v>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</v>
      </c>
      <c r="C131" s="12" t="s">
        <v>123</v>
      </c>
      <c r="D131" s="5" t="str">
        <f t="shared" si="39"/>
        <v>194.05</v>
      </c>
      <c r="E131" s="5" t="str">
        <f t="shared" si="39"/>
        <v>195.70</v>
      </c>
      <c r="F131" s="5" t="str">
        <f t="shared" si="39"/>
        <v>188.70</v>
      </c>
      <c r="G131" s="5" t="str">
        <f t="shared" si="39"/>
        <v>192.00</v>
      </c>
      <c r="H131" s="6" t="str">
        <f t="shared" si="40"/>
        <v xml:space="preserve">   </v>
      </c>
      <c r="I131" s="7" t="str">
        <f t="shared" si="41"/>
        <v xml:space="preserve">   </v>
      </c>
      <c r="J131" s="8" t="str">
        <f t="shared" si="42"/>
        <v xml:space="preserve">   </v>
      </c>
      <c r="K131" s="9" t="str">
        <f t="shared" si="43"/>
        <v xml:space="preserve">   </v>
      </c>
      <c r="L131" s="5"/>
    </row>
    <row r="132" spans="2:12" x14ac:dyDescent="0.25">
      <c r="B132" t="str">
        <f t="shared" si="38"/>
        <v>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</v>
      </c>
      <c r="C132" s="12" t="s">
        <v>124</v>
      </c>
      <c r="D132" s="5" t="str">
        <f t="shared" si="39"/>
        <v>627.40</v>
      </c>
      <c r="E132" s="5" t="str">
        <f t="shared" si="39"/>
        <v>628.90</v>
      </c>
      <c r="F132" s="5" t="str">
        <f t="shared" si="39"/>
        <v>616.85</v>
      </c>
      <c r="G132" s="5" t="str">
        <f t="shared" si="39"/>
        <v>618.65</v>
      </c>
      <c r="H132" s="6" t="str">
        <f t="shared" si="40"/>
        <v xml:space="preserve">   </v>
      </c>
      <c r="I132" s="7" t="str">
        <f t="shared" si="41"/>
        <v xml:space="preserve">   </v>
      </c>
      <c r="J132" s="8" t="str">
        <f t="shared" si="42"/>
        <v xml:space="preserve">   </v>
      </c>
      <c r="K132" s="9" t="str">
        <f t="shared" si="43"/>
        <v xml:space="preserve">   </v>
      </c>
      <c r="L132" s="5"/>
    </row>
    <row r="133" spans="2:12" x14ac:dyDescent="0.25">
      <c r="B133" t="str">
        <f t="shared" si="38"/>
        <v>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</v>
      </c>
      <c r="C133" s="12" t="s">
        <v>125</v>
      </c>
      <c r="D133" s="5" t="str">
        <f t="shared" si="39"/>
        <v>563.70</v>
      </c>
      <c r="E133" s="5" t="str">
        <f t="shared" si="39"/>
        <v>563.70</v>
      </c>
      <c r="F133" s="5" t="str">
        <f t="shared" si="39"/>
        <v>552.35</v>
      </c>
      <c r="G133" s="5" t="str">
        <f t="shared" si="39"/>
        <v>555.35</v>
      </c>
      <c r="H133" s="6" t="str">
        <f t="shared" si="40"/>
        <v xml:space="preserve">SHORT </v>
      </c>
      <c r="I133" s="7">
        <f t="shared" si="41"/>
        <v>560</v>
      </c>
      <c r="J133" s="8">
        <f t="shared" si="42"/>
        <v>566.51850000000002</v>
      </c>
      <c r="K133" s="9">
        <f t="shared" si="43"/>
        <v>8.3035714285713876E-3</v>
      </c>
      <c r="L133" s="5"/>
    </row>
    <row r="134" spans="2:12" x14ac:dyDescent="0.25">
      <c r="B134" t="str">
        <f t="shared" si="38"/>
        <v>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</v>
      </c>
      <c r="C134" s="12" t="s">
        <v>126</v>
      </c>
      <c r="D134" s="5" t="str">
        <f t="shared" si="39"/>
        <v>87.00</v>
      </c>
      <c r="E134" s="5" t="str">
        <f t="shared" si="39"/>
        <v>89.00</v>
      </c>
      <c r="F134" s="5" t="str">
        <f t="shared" si="39"/>
        <v>85.40</v>
      </c>
      <c r="G134" s="5" t="str">
        <f t="shared" si="39"/>
        <v>88.25</v>
      </c>
      <c r="H134" s="6" t="str">
        <f t="shared" si="40"/>
        <v xml:space="preserve">   </v>
      </c>
      <c r="I134" s="7" t="str">
        <f t="shared" si="41"/>
        <v xml:space="preserve">   </v>
      </c>
      <c r="J134" s="8" t="str">
        <f t="shared" si="42"/>
        <v xml:space="preserve">   </v>
      </c>
      <c r="K134" s="9" t="str">
        <f t="shared" si="43"/>
        <v xml:space="preserve">   </v>
      </c>
      <c r="L134" s="5"/>
    </row>
    <row r="135" spans="2:12" x14ac:dyDescent="0.25">
      <c r="B135" t="str">
        <f t="shared" si="38"/>
        <v>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</v>
      </c>
      <c r="C135" s="12" t="s">
        <v>127</v>
      </c>
      <c r="D135" s="5" t="str">
        <f t="shared" si="39"/>
        <v>180.30</v>
      </c>
      <c r="E135" s="5" t="str">
        <f t="shared" si="39"/>
        <v>184.90</v>
      </c>
      <c r="F135" s="5" t="str">
        <f t="shared" si="39"/>
        <v>178.40</v>
      </c>
      <c r="G135" s="5" t="str">
        <f t="shared" si="39"/>
        <v>181.20</v>
      </c>
      <c r="H135" s="6" t="str">
        <f t="shared" si="40"/>
        <v xml:space="preserve">   </v>
      </c>
      <c r="I135" s="7" t="str">
        <f t="shared" si="41"/>
        <v xml:space="preserve">   </v>
      </c>
      <c r="J135" s="8" t="str">
        <f t="shared" si="42"/>
        <v xml:space="preserve">   </v>
      </c>
      <c r="K135" s="9" t="str">
        <f t="shared" si="43"/>
        <v xml:space="preserve">   </v>
      </c>
      <c r="L135" s="5"/>
    </row>
    <row r="136" spans="2:12" x14ac:dyDescent="0.25">
      <c r="B136" t="str">
        <f t="shared" si="38"/>
        <v>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</v>
      </c>
      <c r="C136" s="12" t="s">
        <v>128</v>
      </c>
      <c r="D136" s="5" t="str">
        <f t="shared" si="39"/>
        <v>158.00</v>
      </c>
      <c r="E136" s="5" t="str">
        <f t="shared" si="39"/>
        <v>161.45</v>
      </c>
      <c r="F136" s="5" t="str">
        <f t="shared" si="39"/>
        <v>156.80</v>
      </c>
      <c r="G136" s="5" t="str">
        <f t="shared" si="39"/>
        <v>160.75</v>
      </c>
      <c r="H136" s="6" t="str">
        <f t="shared" si="40"/>
        <v xml:space="preserve">   </v>
      </c>
      <c r="I136" s="7" t="str">
        <f t="shared" si="41"/>
        <v xml:space="preserve">   </v>
      </c>
      <c r="J136" s="8" t="str">
        <f t="shared" si="42"/>
        <v xml:space="preserve">   </v>
      </c>
      <c r="K136" s="9" t="str">
        <f t="shared" si="43"/>
        <v xml:space="preserve">   </v>
      </c>
      <c r="L136" s="5"/>
    </row>
    <row r="137" spans="2:12" x14ac:dyDescent="0.25">
      <c r="B137" t="str">
        <f t="shared" si="38"/>
        <v>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</v>
      </c>
      <c r="C137" s="12" t="s">
        <v>129</v>
      </c>
      <c r="D137" s="5" t="str">
        <f t="shared" si="39"/>
        <v>53.00</v>
      </c>
      <c r="E137" s="5" t="str">
        <f t="shared" si="39"/>
        <v>53.30</v>
      </c>
      <c r="F137" s="5" t="str">
        <f t="shared" si="39"/>
        <v>52.20</v>
      </c>
      <c r="G137" s="5" t="str">
        <f t="shared" si="39"/>
        <v>52.20</v>
      </c>
      <c r="H137" s="6" t="str">
        <f t="shared" si="40"/>
        <v xml:space="preserve">   </v>
      </c>
      <c r="I137" s="7" t="str">
        <f t="shared" si="41"/>
        <v xml:space="preserve">   </v>
      </c>
      <c r="J137" s="8" t="str">
        <f t="shared" si="42"/>
        <v xml:space="preserve">   </v>
      </c>
      <c r="K137" s="9" t="str">
        <f t="shared" si="43"/>
        <v xml:space="preserve">   </v>
      </c>
      <c r="L137" s="5"/>
    </row>
    <row r="138" spans="2:12" x14ac:dyDescent="0.25">
      <c r="B138" t="str">
        <f t="shared" si="38"/>
        <v>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</v>
      </c>
      <c r="C138" s="12" t="s">
        <v>130</v>
      </c>
      <c r="D138" s="5" t="str">
        <f t="shared" si="39"/>
        <v>11.60</v>
      </c>
      <c r="E138" s="5" t="str">
        <f t="shared" si="39"/>
        <v>11.65</v>
      </c>
      <c r="F138" s="5" t="str">
        <f t="shared" si="39"/>
        <v>11.35</v>
      </c>
      <c r="G138" s="5" t="str">
        <f t="shared" si="39"/>
        <v>11.55</v>
      </c>
      <c r="H138" s="6" t="str">
        <f t="shared" si="40"/>
        <v xml:space="preserve">   </v>
      </c>
      <c r="I138" s="7" t="str">
        <f t="shared" si="41"/>
        <v xml:space="preserve">   </v>
      </c>
      <c r="J138" s="8" t="str">
        <f t="shared" si="42"/>
        <v xml:space="preserve">   </v>
      </c>
      <c r="K138" s="9" t="str">
        <f t="shared" si="43"/>
        <v xml:space="preserve">   </v>
      </c>
      <c r="L138" s="5"/>
    </row>
    <row r="139" spans="2:12" x14ac:dyDescent="0.25">
      <c r="B139" t="str">
        <f t="shared" si="38"/>
        <v>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</v>
      </c>
      <c r="C139" s="12" t="s">
        <v>131</v>
      </c>
      <c r="D139" s="5" t="str">
        <f t="shared" si="39"/>
        <v>348.00</v>
      </c>
      <c r="E139" s="5" t="str">
        <f t="shared" si="39"/>
        <v>356.95</v>
      </c>
      <c r="F139" s="5" t="str">
        <f t="shared" si="39"/>
        <v>346.15</v>
      </c>
      <c r="G139" s="5" t="str">
        <f t="shared" si="39"/>
        <v>351.55</v>
      </c>
      <c r="H139" s="6" t="str">
        <f t="shared" si="40"/>
        <v xml:space="preserve">   </v>
      </c>
      <c r="I139" s="7" t="str">
        <f t="shared" si="41"/>
        <v xml:space="preserve">   </v>
      </c>
      <c r="J139" s="8" t="str">
        <f t="shared" si="42"/>
        <v xml:space="preserve">   </v>
      </c>
      <c r="K139" s="9" t="str">
        <f t="shared" si="43"/>
        <v xml:space="preserve">   </v>
      </c>
      <c r="L139" s="5"/>
    </row>
    <row r="140" spans="2:12" x14ac:dyDescent="0.25">
      <c r="B140" t="str">
        <f t="shared" si="38"/>
        <v>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</v>
      </c>
      <c r="C140" s="12" t="s">
        <v>132</v>
      </c>
      <c r="D140" s="5" t="str">
        <f t="shared" si="39"/>
        <v>374.50</v>
      </c>
      <c r="E140" s="5" t="str">
        <f t="shared" si="39"/>
        <v>377.80</v>
      </c>
      <c r="F140" s="5" t="str">
        <f t="shared" si="39"/>
        <v>370.35</v>
      </c>
      <c r="G140" s="5" t="str">
        <f t="shared" si="39"/>
        <v>372.25</v>
      </c>
      <c r="H140" s="6" t="str">
        <f t="shared" si="40"/>
        <v xml:space="preserve">   </v>
      </c>
      <c r="I140" s="7" t="str">
        <f t="shared" si="41"/>
        <v xml:space="preserve">   </v>
      </c>
      <c r="J140" s="8" t="str">
        <f t="shared" si="42"/>
        <v xml:space="preserve">   </v>
      </c>
      <c r="K140" s="9" t="str">
        <f t="shared" si="43"/>
        <v xml:space="preserve">   </v>
      </c>
      <c r="L140" s="5"/>
    </row>
    <row r="141" spans="2:12" x14ac:dyDescent="0.25">
      <c r="B141" t="str">
        <f t="shared" si="38"/>
        <v>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</v>
      </c>
      <c r="C141" s="12" t="s">
        <v>133</v>
      </c>
      <c r="D141" s="5" t="str">
        <f t="shared" si="39"/>
        <v>216.90</v>
      </c>
      <c r="E141" s="5" t="str">
        <f t="shared" si="39"/>
        <v>219.50</v>
      </c>
      <c r="F141" s="5" t="str">
        <f t="shared" si="39"/>
        <v>215.20</v>
      </c>
      <c r="G141" s="5" t="str">
        <f t="shared" si="39"/>
        <v>218.50</v>
      </c>
      <c r="H141" s="6" t="str">
        <f t="shared" si="40"/>
        <v xml:space="preserve">   </v>
      </c>
      <c r="I141" s="7" t="str">
        <f t="shared" si="41"/>
        <v xml:space="preserve">   </v>
      </c>
      <c r="J141" s="8" t="str">
        <f t="shared" si="42"/>
        <v xml:space="preserve">   </v>
      </c>
      <c r="K141" s="9" t="str">
        <f t="shared" si="43"/>
        <v xml:space="preserve">   </v>
      </c>
      <c r="L141" s="5"/>
    </row>
    <row r="142" spans="2:12" x14ac:dyDescent="0.25">
      <c r="B142" t="str">
        <f t="shared" si="38"/>
        <v>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</v>
      </c>
      <c r="C142" s="12" t="s">
        <v>134</v>
      </c>
      <c r="D142" s="5" t="str">
        <f t="shared" si="39"/>
        <v>68.20</v>
      </c>
      <c r="E142" s="5" t="str">
        <f t="shared" si="39"/>
        <v>68.70</v>
      </c>
      <c r="F142" s="5" t="str">
        <f t="shared" si="39"/>
        <v>66.60</v>
      </c>
      <c r="G142" s="5" t="str">
        <f t="shared" si="39"/>
        <v>67.30</v>
      </c>
      <c r="H142" s="6" t="str">
        <f t="shared" si="40"/>
        <v xml:space="preserve">   </v>
      </c>
      <c r="I142" s="7" t="str">
        <f t="shared" si="41"/>
        <v xml:space="preserve">   </v>
      </c>
      <c r="J142" s="8" t="str">
        <f t="shared" si="42"/>
        <v xml:space="preserve">   </v>
      </c>
      <c r="K142" s="9" t="str">
        <f t="shared" si="43"/>
        <v xml:space="preserve">   </v>
      </c>
      <c r="L142" s="5"/>
    </row>
    <row r="143" spans="2:12" x14ac:dyDescent="0.25">
      <c r="B143" t="str">
        <f t="shared" si="38"/>
        <v>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</v>
      </c>
      <c r="C143" s="12" t="s">
        <v>135</v>
      </c>
      <c r="D143" s="5" t="str">
        <f t="shared" si="39"/>
        <v>50.35</v>
      </c>
      <c r="E143" s="5" t="str">
        <f t="shared" si="39"/>
        <v>53.50</v>
      </c>
      <c r="F143" s="5" t="str">
        <f t="shared" si="39"/>
        <v>49.25</v>
      </c>
      <c r="G143" s="5" t="str">
        <f t="shared" si="39"/>
        <v>51.75</v>
      </c>
      <c r="H143" s="6" t="str">
        <f t="shared" si="40"/>
        <v xml:space="preserve">   </v>
      </c>
      <c r="I143" s="7" t="str">
        <f t="shared" si="41"/>
        <v xml:space="preserve">   </v>
      </c>
      <c r="J143" s="8" t="str">
        <f t="shared" si="42"/>
        <v xml:space="preserve">   </v>
      </c>
      <c r="K143" s="9" t="str">
        <f t="shared" si="43"/>
        <v xml:space="preserve">   </v>
      </c>
      <c r="L143" s="5"/>
    </row>
    <row r="144" spans="2:12" x14ac:dyDescent="0.25">
      <c r="B144" t="str">
        <f t="shared" si="38"/>
        <v>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</v>
      </c>
      <c r="C144" s="12" t="s">
        <v>136</v>
      </c>
      <c r="D144" s="5" t="str">
        <f t="shared" si="39"/>
        <v>574.00</v>
      </c>
      <c r="E144" s="5" t="str">
        <f t="shared" si="39"/>
        <v>575.60</v>
      </c>
      <c r="F144" s="5" t="str">
        <f t="shared" si="39"/>
        <v>565.00</v>
      </c>
      <c r="G144" s="5" t="str">
        <f t="shared" si="39"/>
        <v>565.05</v>
      </c>
      <c r="H144" s="6" t="str">
        <f t="shared" si="40"/>
        <v xml:space="preserve">   </v>
      </c>
      <c r="I144" s="7" t="str">
        <f t="shared" si="41"/>
        <v xml:space="preserve">   </v>
      </c>
      <c r="J144" s="8" t="str">
        <f t="shared" si="42"/>
        <v xml:space="preserve">   </v>
      </c>
      <c r="K144" s="9" t="str">
        <f t="shared" si="43"/>
        <v xml:space="preserve">   </v>
      </c>
      <c r="L144" s="5"/>
    </row>
    <row r="145" spans="2:12" x14ac:dyDescent="0.25">
      <c r="B145" t="str">
        <f t="shared" si="38"/>
        <v>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</v>
      </c>
      <c r="C145" s="12" t="s">
        <v>137</v>
      </c>
      <c r="D145" s="5" t="str">
        <f t="shared" si="39"/>
        <v>219.95</v>
      </c>
      <c r="E145" s="5" t="str">
        <f t="shared" si="39"/>
        <v>221.70</v>
      </c>
      <c r="F145" s="5" t="str">
        <f t="shared" si="39"/>
        <v>216.70</v>
      </c>
      <c r="G145" s="5" t="str">
        <f t="shared" si="39"/>
        <v>218.10</v>
      </c>
      <c r="H145" s="6" t="str">
        <f t="shared" si="40"/>
        <v xml:space="preserve">   </v>
      </c>
      <c r="I145" s="7" t="str">
        <f t="shared" si="41"/>
        <v xml:space="preserve">   </v>
      </c>
      <c r="J145" s="8" t="str">
        <f t="shared" si="42"/>
        <v xml:space="preserve">   </v>
      </c>
      <c r="K145" s="9" t="str">
        <f t="shared" si="43"/>
        <v xml:space="preserve">   </v>
      </c>
      <c r="L145" s="5"/>
    </row>
    <row r="146" spans="2:12" x14ac:dyDescent="0.25">
      <c r="B146" t="str">
        <f t="shared" si="38"/>
        <v>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</v>
      </c>
      <c r="C146" s="12" t="s">
        <v>138</v>
      </c>
      <c r="D146" s="5" t="str">
        <f t="shared" si="39"/>
        <v>62.60</v>
      </c>
      <c r="E146" s="5" t="str">
        <f t="shared" si="39"/>
        <v>63.25</v>
      </c>
      <c r="F146" s="5" t="str">
        <f t="shared" si="39"/>
        <v>61.40</v>
      </c>
      <c r="G146" s="5" t="str">
        <f t="shared" si="39"/>
        <v>62.05</v>
      </c>
      <c r="H146" s="6" t="str">
        <f t="shared" si="40"/>
        <v xml:space="preserve">   </v>
      </c>
      <c r="I146" s="7" t="str">
        <f t="shared" si="41"/>
        <v xml:space="preserve">   </v>
      </c>
      <c r="J146" s="8" t="str">
        <f t="shared" si="42"/>
        <v xml:space="preserve">   </v>
      </c>
      <c r="K146" s="9" t="str">
        <f t="shared" si="43"/>
        <v xml:space="preserve">   </v>
      </c>
      <c r="L146" s="5"/>
    </row>
    <row r="147" spans="2:12" x14ac:dyDescent="0.25">
      <c r="B147" t="str">
        <f t="shared" si="38"/>
        <v>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</v>
      </c>
      <c r="C147" s="12" t="s">
        <v>139</v>
      </c>
      <c r="D147" s="5" t="str">
        <f t="shared" si="39"/>
        <v>72.50</v>
      </c>
      <c r="E147" s="5" t="str">
        <f t="shared" si="39"/>
        <v>74.40</v>
      </c>
      <c r="F147" s="5" t="str">
        <f t="shared" si="39"/>
        <v>70.65</v>
      </c>
      <c r="G147" s="5" t="str">
        <f t="shared" si="39"/>
        <v>71.40</v>
      </c>
      <c r="H147" s="6" t="str">
        <f t="shared" si="40"/>
        <v xml:space="preserve">   </v>
      </c>
      <c r="I147" s="7" t="str">
        <f t="shared" si="41"/>
        <v xml:space="preserve">   </v>
      </c>
      <c r="J147" s="8" t="str">
        <f t="shared" si="42"/>
        <v xml:space="preserve">   </v>
      </c>
      <c r="K147" s="9" t="str">
        <f t="shared" si="43"/>
        <v xml:space="preserve">   </v>
      </c>
      <c r="L147" s="5"/>
    </row>
    <row r="148" spans="2:12" x14ac:dyDescent="0.25">
      <c r="B148" t="str">
        <f t="shared" si="38"/>
        <v>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</v>
      </c>
      <c r="C148" s="12" t="s">
        <v>140</v>
      </c>
      <c r="D148" s="5" t="str">
        <f t="shared" si="39"/>
        <v>1,094.00</v>
      </c>
      <c r="E148" s="5" t="str">
        <f t="shared" si="39"/>
        <v>1,094.00</v>
      </c>
      <c r="F148" s="5" t="str">
        <f t="shared" si="39"/>
        <v>1,011.10</v>
      </c>
      <c r="G148" s="5" t="str">
        <f t="shared" si="39"/>
        <v>1,025.25</v>
      </c>
      <c r="H148" s="6" t="str">
        <f t="shared" si="40"/>
        <v xml:space="preserve">SHORT </v>
      </c>
      <c r="I148" s="7">
        <f t="shared" si="41"/>
        <v>1088</v>
      </c>
      <c r="J148" s="8">
        <f t="shared" si="42"/>
        <v>1099.47</v>
      </c>
      <c r="K148" s="9">
        <f t="shared" si="43"/>
        <v>5.767463235294118E-2</v>
      </c>
      <c r="L148" s="5"/>
    </row>
    <row r="149" spans="2:12" x14ac:dyDescent="0.25">
      <c r="B149" t="str">
        <f t="shared" si="38"/>
        <v>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</v>
      </c>
      <c r="C149" s="12" t="s">
        <v>141</v>
      </c>
      <c r="D149" s="5" t="str">
        <f t="shared" si="39"/>
        <v>656.00</v>
      </c>
      <c r="E149" s="5" t="str">
        <f t="shared" si="39"/>
        <v>661.95</v>
      </c>
      <c r="F149" s="5" t="str">
        <f t="shared" si="39"/>
        <v>640.00</v>
      </c>
      <c r="G149" s="5" t="str">
        <f t="shared" si="39"/>
        <v>643.00</v>
      </c>
      <c r="H149" s="6" t="str">
        <f t="shared" si="40"/>
        <v xml:space="preserve">   </v>
      </c>
      <c r="I149" s="7" t="str">
        <f t="shared" si="41"/>
        <v xml:space="preserve">   </v>
      </c>
      <c r="J149" s="8" t="str">
        <f t="shared" si="42"/>
        <v xml:space="preserve">   </v>
      </c>
      <c r="K149" s="9" t="str">
        <f t="shared" si="43"/>
        <v xml:space="preserve">   </v>
      </c>
      <c r="L149" s="5"/>
    </row>
    <row r="150" spans="2:12" x14ac:dyDescent="0.25">
      <c r="B150" t="str">
        <f t="shared" si="38"/>
        <v>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</v>
      </c>
      <c r="C150" s="12" t="s">
        <v>142</v>
      </c>
      <c r="D150" s="5" t="str">
        <f t="shared" si="39"/>
        <v>74.00</v>
      </c>
      <c r="E150" s="5" t="str">
        <f t="shared" si="39"/>
        <v>78.85</v>
      </c>
      <c r="F150" s="5" t="str">
        <f t="shared" si="39"/>
        <v>72.95</v>
      </c>
      <c r="G150" s="5" t="str">
        <f t="shared" si="39"/>
        <v>78.00</v>
      </c>
      <c r="H150" s="6" t="str">
        <f t="shared" si="40"/>
        <v xml:space="preserve">   </v>
      </c>
      <c r="I150" s="7" t="str">
        <f t="shared" si="41"/>
        <v xml:space="preserve">   </v>
      </c>
      <c r="J150" s="8" t="str">
        <f t="shared" si="42"/>
        <v xml:space="preserve">   </v>
      </c>
      <c r="K150" s="9" t="str">
        <f t="shared" si="43"/>
        <v xml:space="preserve">   </v>
      </c>
      <c r="L150" s="5"/>
    </row>
    <row r="151" spans="2:12" x14ac:dyDescent="0.25">
      <c r="B151" t="str">
        <f t="shared" si="38"/>
        <v>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</v>
      </c>
      <c r="C151" s="12" t="s">
        <v>143</v>
      </c>
      <c r="D151" s="5" t="str">
        <f t="shared" si="39"/>
        <v>324.80</v>
      </c>
      <c r="E151" s="5" t="str">
        <f t="shared" si="39"/>
        <v>330.45</v>
      </c>
      <c r="F151" s="5" t="str">
        <f t="shared" si="39"/>
        <v>321.95</v>
      </c>
      <c r="G151" s="5" t="str">
        <f t="shared" si="39"/>
        <v>328.00</v>
      </c>
      <c r="H151" s="6" t="str">
        <f t="shared" si="40"/>
        <v xml:space="preserve">   </v>
      </c>
      <c r="I151" s="7" t="str">
        <f t="shared" si="41"/>
        <v xml:space="preserve">   </v>
      </c>
      <c r="J151" s="8" t="str">
        <f t="shared" si="42"/>
        <v xml:space="preserve">   </v>
      </c>
      <c r="K151" s="9" t="str">
        <f t="shared" si="43"/>
        <v xml:space="preserve">   </v>
      </c>
      <c r="L151" s="5"/>
    </row>
    <row r="152" spans="2:12" x14ac:dyDescent="0.25">
      <c r="B152" t="str">
        <f t="shared" si="38"/>
        <v>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</v>
      </c>
      <c r="C152" s="12" t="s">
        <v>144</v>
      </c>
      <c r="D152" s="5" t="str">
        <f t="shared" si="39"/>
        <v>667.60</v>
      </c>
      <c r="E152" s="5" t="str">
        <f t="shared" si="39"/>
        <v>681.80</v>
      </c>
      <c r="F152" s="5" t="str">
        <f t="shared" si="39"/>
        <v>667.60</v>
      </c>
      <c r="G152" s="5" t="str">
        <f t="shared" si="39"/>
        <v>672.70</v>
      </c>
      <c r="H152" s="6" t="str">
        <f t="shared" si="40"/>
        <v xml:space="preserve">LONG </v>
      </c>
      <c r="I152" s="7">
        <f t="shared" si="41"/>
        <v>672</v>
      </c>
      <c r="J152" s="8">
        <f t="shared" si="42"/>
        <v>664.26200000000006</v>
      </c>
      <c r="K152" s="9">
        <f t="shared" si="43"/>
        <v>1.0416666666667343E-3</v>
      </c>
      <c r="L152" s="5"/>
    </row>
    <row r="153" spans="2:12" x14ac:dyDescent="0.25">
      <c r="B153" t="str">
        <f t="shared" si="38"/>
        <v>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</v>
      </c>
      <c r="C153" s="12" t="s">
        <v>145</v>
      </c>
      <c r="D153" s="5" t="str">
        <f t="shared" si="39"/>
        <v>33,719.00</v>
      </c>
      <c r="E153" s="5" t="str">
        <f t="shared" si="39"/>
        <v>33,840.00</v>
      </c>
      <c r="F153" s="5" t="str">
        <f t="shared" si="39"/>
        <v>33,222.10</v>
      </c>
      <c r="G153" s="5" t="str">
        <f t="shared" si="39"/>
        <v>33,500.00</v>
      </c>
      <c r="H153" s="6" t="str">
        <f t="shared" si="40"/>
        <v xml:space="preserve">   </v>
      </c>
      <c r="I153" s="7" t="str">
        <f t="shared" si="41"/>
        <v xml:space="preserve">   </v>
      </c>
      <c r="J153" s="8" t="str">
        <f t="shared" si="42"/>
        <v xml:space="preserve">   </v>
      </c>
      <c r="K153" s="9" t="str">
        <f t="shared" si="43"/>
        <v xml:space="preserve">   </v>
      </c>
      <c r="L153" s="5"/>
    </row>
    <row r="154" spans="2:12" x14ac:dyDescent="0.25">
      <c r="B154" t="str">
        <f t="shared" si="38"/>
        <v>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</v>
      </c>
      <c r="C154" s="12" t="s">
        <v>146</v>
      </c>
      <c r="D154" s="5" t="str">
        <f t="shared" si="39"/>
        <v>13,500.00</v>
      </c>
      <c r="E154" s="5" t="str">
        <f t="shared" si="39"/>
        <v>14,169.00</v>
      </c>
      <c r="F154" s="5" t="str">
        <f t="shared" si="39"/>
        <v>13,500.00</v>
      </c>
      <c r="G154" s="5" t="str">
        <f t="shared" si="39"/>
        <v>13,980.00</v>
      </c>
      <c r="H154" s="6" t="str">
        <f t="shared" si="40"/>
        <v xml:space="preserve">LONG </v>
      </c>
      <c r="I154" s="7">
        <f t="shared" si="41"/>
        <v>13519</v>
      </c>
      <c r="J154" s="8">
        <f t="shared" si="42"/>
        <v>13432.5</v>
      </c>
      <c r="K154" s="9">
        <f t="shared" si="43"/>
        <v>3.4100155336933204E-2</v>
      </c>
      <c r="L154" s="5"/>
    </row>
    <row r="155" spans="2:12" x14ac:dyDescent="0.25">
      <c r="B155" t="str">
        <f t="shared" si="38"/>
        <v>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</v>
      </c>
      <c r="C155" s="12" t="s">
        <v>147</v>
      </c>
      <c r="D155" s="5" t="str">
        <f t="shared" si="39"/>
        <v>368.00</v>
      </c>
      <c r="E155" s="5" t="str">
        <f t="shared" si="39"/>
        <v>370.00</v>
      </c>
      <c r="F155" s="5" t="str">
        <f t="shared" si="39"/>
        <v>359.95</v>
      </c>
      <c r="G155" s="5" t="str">
        <f t="shared" si="39"/>
        <v>361.05</v>
      </c>
      <c r="H155" s="6" t="str">
        <f t="shared" si="40"/>
        <v xml:space="preserve">   </v>
      </c>
      <c r="I155" s="7" t="str">
        <f t="shared" si="41"/>
        <v xml:space="preserve">   </v>
      </c>
      <c r="J155" s="8" t="str">
        <f t="shared" si="42"/>
        <v xml:space="preserve">   </v>
      </c>
      <c r="K155" s="9" t="str">
        <f t="shared" si="43"/>
        <v xml:space="preserve">   </v>
      </c>
      <c r="L155" s="5"/>
    </row>
    <row r="156" spans="2:12" x14ac:dyDescent="0.25">
      <c r="B156" t="str">
        <f t="shared" si="38"/>
        <v>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</v>
      </c>
      <c r="C156" s="12" t="s">
        <v>148</v>
      </c>
      <c r="D156" s="5" t="str">
        <f t="shared" si="39"/>
        <v>274.80</v>
      </c>
      <c r="E156" s="5" t="str">
        <f t="shared" si="39"/>
        <v>279.80</v>
      </c>
      <c r="F156" s="5" t="str">
        <f t="shared" si="39"/>
        <v>270.20</v>
      </c>
      <c r="G156" s="5" t="str">
        <f t="shared" si="39"/>
        <v>278.90</v>
      </c>
      <c r="H156" s="6" t="str">
        <f t="shared" si="40"/>
        <v xml:space="preserve">   </v>
      </c>
      <c r="I156" s="7" t="str">
        <f t="shared" si="41"/>
        <v xml:space="preserve">   </v>
      </c>
      <c r="J156" s="8" t="str">
        <f t="shared" si="42"/>
        <v xml:space="preserve">   </v>
      </c>
      <c r="K156" s="9" t="str">
        <f t="shared" si="43"/>
        <v xml:space="preserve">   </v>
      </c>
      <c r="L156" s="5"/>
    </row>
    <row r="157" spans="2:12" x14ac:dyDescent="0.25">
      <c r="B157" t="str">
        <f t="shared" si="38"/>
        <v>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</v>
      </c>
      <c r="C157" s="12" t="s">
        <v>149</v>
      </c>
      <c r="D157" s="5" t="str">
        <f>MID($B157,FIND(D$9,$B157)+LEN(D$9)+3,FIND(CHAR(34),$B157,FIND(D$9,$B157)+LEN(D$9)+3)-(FIND(D$9,$B157)+LEN(D$9)+3))</f>
        <v>417.75</v>
      </c>
      <c r="E157" s="5" t="str">
        <f>MID($B157,FIND(E$9,$B157)+LEN(E$9)+3,FIND(CHAR(34),$B157,FIND(E$9,$B157)+LEN(E$9)+3)-(FIND(E$9,$B157)+LEN(E$9)+3))</f>
        <v>420.90</v>
      </c>
      <c r="F157" s="5" t="str">
        <f>MID($B157,FIND(F$9,$B157)+LEN(F$9)+3,FIND(CHAR(34),$B157,FIND(F$9,$B157)+LEN(F$9)+3)-(FIND(F$9,$B157)+LEN(F$9)+3))</f>
        <v>412.10</v>
      </c>
      <c r="G157" s="5" t="str">
        <f>MID($B157,FIND(G$9,$B157)+LEN(G$9)+3,FIND(CHAR(34),$B157,FIND(G$9,$B157)+LEN(G$9)+3)-(FIND(G$9,$B157)+LEN(G$9)+3))</f>
        <v>413.30</v>
      </c>
      <c r="H157" s="6" t="str">
        <f t="shared" si="40"/>
        <v xml:space="preserve">   </v>
      </c>
      <c r="I157" s="7" t="str">
        <f t="shared" si="41"/>
        <v xml:space="preserve">   </v>
      </c>
      <c r="J157" s="8" t="str">
        <f t="shared" si="42"/>
        <v xml:space="preserve">   </v>
      </c>
      <c r="K157" s="9" t="str">
        <f t="shared" si="43"/>
        <v xml:space="preserve">   </v>
      </c>
      <c r="L157" s="5"/>
    </row>
    <row r="158" spans="2:12" x14ac:dyDescent="0.25">
      <c r="B158" t="str">
        <f t="shared" si="38"/>
        <v>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</v>
      </c>
      <c r="C158" s="12" t="s">
        <v>150</v>
      </c>
      <c r="D158" s="5" t="str">
        <f t="shared" si="39"/>
        <v>550.00</v>
      </c>
      <c r="E158" s="5" t="str">
        <f t="shared" si="39"/>
        <v>552.90</v>
      </c>
      <c r="F158" s="5" t="str">
        <f t="shared" si="39"/>
        <v>541.00</v>
      </c>
      <c r="G158" s="5" t="str">
        <f t="shared" si="39"/>
        <v>546.00</v>
      </c>
      <c r="H158" s="6" t="str">
        <f t="shared" ref="H158:H170" si="44">IF(AND(E158=0, F158=0, D158=0),"  ",IF(E158= D158,"SHORT ",IF(F158= D158,"LONG ",IF(E158&lt;&gt; F158&lt;&gt; D158,"   "))))</f>
        <v xml:space="preserve">   </v>
      </c>
      <c r="I158" s="7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8" t="str">
        <f t="shared" ref="J158:J170" si="46">IF(AND(E158=0, F158=0, D158=0),"  ",IF(E158= D158,D158+0.005*D158,IF(F158= D158,D158-0.005*D158,IF(E158&lt;&gt; F158&lt;&gt; D158,"   "))))</f>
        <v xml:space="preserve">   </v>
      </c>
      <c r="K158" s="9" t="str">
        <f t="shared" ref="K158:K170" si="47">IF(AND(E158=0, F158=0, D158=0),"  ",IF(E158= D158,(I158-G158)/I158,IF(F158= D158,(G158-I158)/I158,IF(E158&lt;&gt; F158&lt;&gt; D158,"   "))))</f>
        <v xml:space="preserve">   </v>
      </c>
      <c r="L158" s="5"/>
    </row>
    <row r="159" spans="2:12" x14ac:dyDescent="0.25">
      <c r="B159" t="str">
        <f t="shared" si="38"/>
        <v>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</v>
      </c>
      <c r="C159" s="12" t="s">
        <v>151</v>
      </c>
      <c r="D159" s="5" t="str">
        <f t="shared" ref="D159:G163" si="48">MID($B159,FIND(D$9,$B159)+LEN(D$9)+3,FIND(CHAR(34),$B159,FIND(D$9,$B159)+LEN(D$9)+3)-(FIND(D$9,$B159)+LEN(D$9)+3))</f>
        <v>53.05</v>
      </c>
      <c r="E159" s="5" t="str">
        <f t="shared" si="48"/>
        <v>53.50</v>
      </c>
      <c r="F159" s="5" t="str">
        <f t="shared" si="48"/>
        <v>52.10</v>
      </c>
      <c r="G159" s="5" t="str">
        <f t="shared" si="48"/>
        <v>52.50</v>
      </c>
      <c r="H159" s="6" t="str">
        <f t="shared" si="44"/>
        <v xml:space="preserve">   </v>
      </c>
      <c r="I159" s="7" t="str">
        <f t="shared" si="45"/>
        <v xml:space="preserve">   </v>
      </c>
      <c r="J159" s="8" t="str">
        <f t="shared" si="46"/>
        <v xml:space="preserve">   </v>
      </c>
      <c r="K159" s="9" t="str">
        <f t="shared" si="47"/>
        <v xml:space="preserve">   </v>
      </c>
      <c r="L159" s="5"/>
    </row>
    <row r="160" spans="2:12" x14ac:dyDescent="0.25">
      <c r="B160" t="str">
        <f t="shared" si="38"/>
        <v>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</v>
      </c>
      <c r="C160" s="12" t="s">
        <v>152</v>
      </c>
      <c r="D160" s="5" t="str">
        <f t="shared" si="48"/>
        <v>1,270.00</v>
      </c>
      <c r="E160" s="5" t="str">
        <f t="shared" si="48"/>
        <v>1,307.80</v>
      </c>
      <c r="F160" s="5" t="str">
        <f t="shared" si="48"/>
        <v>1,265.65</v>
      </c>
      <c r="G160" s="5" t="str">
        <f t="shared" si="48"/>
        <v>1,297.50</v>
      </c>
      <c r="H160" s="6" t="str">
        <f t="shared" si="44"/>
        <v xml:space="preserve">   </v>
      </c>
      <c r="I160" s="7" t="str">
        <f t="shared" si="45"/>
        <v xml:space="preserve">   </v>
      </c>
      <c r="J160" s="8" t="str">
        <f t="shared" si="46"/>
        <v xml:space="preserve">   </v>
      </c>
      <c r="K160" s="9" t="str">
        <f t="shared" si="47"/>
        <v xml:space="preserve">   </v>
      </c>
      <c r="L160" s="5"/>
    </row>
    <row r="161" spans="2:12" x14ac:dyDescent="0.25">
      <c r="B161" t="str">
        <f t="shared" si="38"/>
        <v>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</v>
      </c>
      <c r="C161" s="12" t="s">
        <v>153</v>
      </c>
      <c r="D161" s="5" t="str">
        <f t="shared" si="48"/>
        <v>1,128.50</v>
      </c>
      <c r="E161" s="5" t="str">
        <f t="shared" si="48"/>
        <v>1,130.00</v>
      </c>
      <c r="F161" s="5" t="str">
        <f t="shared" si="48"/>
        <v>1,100.10</v>
      </c>
      <c r="G161" s="5" t="str">
        <f t="shared" si="48"/>
        <v>1,111.95</v>
      </c>
      <c r="H161" s="6" t="str">
        <f t="shared" si="44"/>
        <v xml:space="preserve">   </v>
      </c>
      <c r="I161" s="7" t="str">
        <f t="shared" si="45"/>
        <v xml:space="preserve">   </v>
      </c>
      <c r="J161" s="8" t="str">
        <f t="shared" si="46"/>
        <v xml:space="preserve">   </v>
      </c>
      <c r="K161" s="9" t="str">
        <f t="shared" si="47"/>
        <v xml:space="preserve">   </v>
      </c>
      <c r="L161" s="5"/>
    </row>
    <row r="162" spans="2:12" x14ac:dyDescent="0.25">
      <c r="B162" t="str">
        <f t="shared" si="38"/>
        <v>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</v>
      </c>
      <c r="C162" s="12" t="s">
        <v>154</v>
      </c>
      <c r="D162" s="5" t="str">
        <f t="shared" si="48"/>
        <v>387.00</v>
      </c>
      <c r="E162" s="5" t="str">
        <f t="shared" si="48"/>
        <v>387.00</v>
      </c>
      <c r="F162" s="5" t="str">
        <f t="shared" si="48"/>
        <v>373.50</v>
      </c>
      <c r="G162" s="5" t="str">
        <f t="shared" si="48"/>
        <v>377.80</v>
      </c>
      <c r="H162" s="6" t="str">
        <f t="shared" si="44"/>
        <v xml:space="preserve">SHORT </v>
      </c>
      <c r="I162" s="7">
        <f t="shared" si="45"/>
        <v>384</v>
      </c>
      <c r="J162" s="8">
        <f t="shared" si="46"/>
        <v>388.935</v>
      </c>
      <c r="K162" s="9">
        <f t="shared" si="47"/>
        <v>1.6145833333333304E-2</v>
      </c>
      <c r="L162" s="5"/>
    </row>
    <row r="163" spans="2:12" x14ac:dyDescent="0.25">
      <c r="B163" t="str">
        <f t="shared" si="38"/>
        <v>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</v>
      </c>
      <c r="C163" s="12" t="s">
        <v>155</v>
      </c>
      <c r="D163" s="5" t="str">
        <f t="shared" si="48"/>
        <v>65.25</v>
      </c>
      <c r="E163" s="5" t="str">
        <f t="shared" si="48"/>
        <v>66.60</v>
      </c>
      <c r="F163" s="5" t="str">
        <f t="shared" si="48"/>
        <v>64.40</v>
      </c>
      <c r="G163" s="5" t="str">
        <f t="shared" si="48"/>
        <v>65.50</v>
      </c>
      <c r="H163" s="6" t="str">
        <f t="shared" si="44"/>
        <v xml:space="preserve">   </v>
      </c>
      <c r="I163" s="7" t="str">
        <f t="shared" si="45"/>
        <v xml:space="preserve">   </v>
      </c>
      <c r="J163" s="8" t="str">
        <f t="shared" si="46"/>
        <v xml:space="preserve">   </v>
      </c>
      <c r="K163" s="9" t="str">
        <f t="shared" si="47"/>
        <v xml:space="preserve">   </v>
      </c>
      <c r="L163" s="5"/>
    </row>
    <row r="164" spans="2:12" x14ac:dyDescent="0.25">
      <c r="B164" t="str">
        <f t="shared" si="38"/>
        <v>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</v>
      </c>
      <c r="C164" s="12" t="s">
        <v>156</v>
      </c>
      <c r="D164" s="5" t="str">
        <f t="shared" ref="D164:G170" si="49">MID($B164,FIND(D$9,$B164)+LEN(D$9)+3,FIND(CHAR(34),$B164,FIND(D$9,$B164)+LEN(D$9)+3)-(FIND(D$9,$B164)+LEN(D$9)+3))</f>
        <v>434.95</v>
      </c>
      <c r="E164" s="5" t="str">
        <f t="shared" si="49"/>
        <v>441.00</v>
      </c>
      <c r="F164" s="5" t="str">
        <f t="shared" si="49"/>
        <v>422.65</v>
      </c>
      <c r="G164" s="5" t="str">
        <f t="shared" si="49"/>
        <v>425.25</v>
      </c>
      <c r="H164" s="6" t="str">
        <f t="shared" si="44"/>
        <v xml:space="preserve">   </v>
      </c>
      <c r="I164" s="7" t="str">
        <f t="shared" si="45"/>
        <v xml:space="preserve">   </v>
      </c>
      <c r="J164" s="8" t="str">
        <f t="shared" si="46"/>
        <v xml:space="preserve">   </v>
      </c>
      <c r="K164" s="9" t="str">
        <f t="shared" si="47"/>
        <v xml:space="preserve">   </v>
      </c>
      <c r="L164" s="5"/>
    </row>
    <row r="165" spans="2:12" x14ac:dyDescent="0.25">
      <c r="B165" t="str">
        <f t="shared" si="38"/>
        <v>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</v>
      </c>
      <c r="C165" s="12" t="s">
        <v>157</v>
      </c>
      <c r="D165" s="5" t="str">
        <f t="shared" si="49"/>
        <v>454.00</v>
      </c>
      <c r="E165" s="5" t="str">
        <f t="shared" si="49"/>
        <v>474.90</v>
      </c>
      <c r="F165" s="5" t="str">
        <f t="shared" si="49"/>
        <v>451.80</v>
      </c>
      <c r="G165" s="5" t="str">
        <f t="shared" si="49"/>
        <v>472.05</v>
      </c>
      <c r="H165" s="6" t="str">
        <f t="shared" si="44"/>
        <v xml:space="preserve">   </v>
      </c>
      <c r="I165" s="7" t="str">
        <f t="shared" si="45"/>
        <v xml:space="preserve">   </v>
      </c>
      <c r="J165" s="8" t="str">
        <f t="shared" si="46"/>
        <v xml:space="preserve">   </v>
      </c>
      <c r="K165" s="9" t="str">
        <f t="shared" si="47"/>
        <v xml:space="preserve">   </v>
      </c>
      <c r="L165" s="5"/>
    </row>
    <row r="166" spans="2:12" x14ac:dyDescent="0.25">
      <c r="B166" t="str">
        <f t="shared" si="38"/>
        <v>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</v>
      </c>
      <c r="C166" s="12" t="s">
        <v>158</v>
      </c>
      <c r="D166" s="5" t="str">
        <f t="shared" si="49"/>
        <v>118.00</v>
      </c>
      <c r="E166" s="5" t="str">
        <f t="shared" si="49"/>
        <v>119.65</v>
      </c>
      <c r="F166" s="5" t="str">
        <f t="shared" si="49"/>
        <v>117.30</v>
      </c>
      <c r="G166" s="5" t="str">
        <f t="shared" si="49"/>
        <v>117.90</v>
      </c>
      <c r="H166" s="6" t="str">
        <f t="shared" si="44"/>
        <v xml:space="preserve">   </v>
      </c>
      <c r="I166" s="7" t="str">
        <f t="shared" si="45"/>
        <v xml:space="preserve">   </v>
      </c>
      <c r="J166" s="8" t="str">
        <f t="shared" si="46"/>
        <v xml:space="preserve">   </v>
      </c>
      <c r="K166" s="9" t="str">
        <f t="shared" si="47"/>
        <v xml:space="preserve">   </v>
      </c>
      <c r="L166" s="5"/>
    </row>
    <row r="167" spans="2:12" x14ac:dyDescent="0.25">
      <c r="B167" t="str">
        <f t="shared" si="38"/>
        <v>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</v>
      </c>
      <c r="C167" s="12" t="s">
        <v>159</v>
      </c>
      <c r="D167" s="5" t="str">
        <f t="shared" si="49"/>
        <v>292.10</v>
      </c>
      <c r="E167" s="5" t="str">
        <f t="shared" si="49"/>
        <v>293.95</v>
      </c>
      <c r="F167" s="5" t="str">
        <f t="shared" si="49"/>
        <v>283.75</v>
      </c>
      <c r="G167" s="5" t="str">
        <f t="shared" si="49"/>
        <v>287.70</v>
      </c>
      <c r="H167" s="6" t="str">
        <f t="shared" si="44"/>
        <v xml:space="preserve">   </v>
      </c>
      <c r="I167" s="7" t="str">
        <f t="shared" si="45"/>
        <v xml:space="preserve">   </v>
      </c>
      <c r="J167" s="8" t="str">
        <f t="shared" si="46"/>
        <v xml:space="preserve">   </v>
      </c>
      <c r="K167" s="9" t="str">
        <f t="shared" si="47"/>
        <v xml:space="preserve">   </v>
      </c>
      <c r="L167" s="5"/>
    </row>
    <row r="168" spans="2:12" x14ac:dyDescent="0.25">
      <c r="B168" t="str">
        <f t="shared" si="38"/>
        <v>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</v>
      </c>
      <c r="C168" s="12" t="s">
        <v>160</v>
      </c>
      <c r="D168" s="5" t="str">
        <f t="shared" si="49"/>
        <v>117.90</v>
      </c>
      <c r="E168" s="5" t="str">
        <f t="shared" si="49"/>
        <v>117.90</v>
      </c>
      <c r="F168" s="5" t="str">
        <f t="shared" si="49"/>
        <v>114.50</v>
      </c>
      <c r="G168" s="5" t="str">
        <f t="shared" si="49"/>
        <v>115.35</v>
      </c>
      <c r="H168" s="6" t="str">
        <f t="shared" si="44"/>
        <v xml:space="preserve">SHORT </v>
      </c>
      <c r="I168" s="7">
        <f t="shared" si="45"/>
        <v>116</v>
      </c>
      <c r="J168" s="8">
        <f t="shared" si="46"/>
        <v>118.48950000000001</v>
      </c>
      <c r="K168" s="9">
        <f t="shared" si="47"/>
        <v>5.6034482758621183E-3</v>
      </c>
      <c r="L168" s="5"/>
    </row>
    <row r="169" spans="2:12" x14ac:dyDescent="0.25">
      <c r="B169" t="str">
        <f t="shared" si="38"/>
        <v>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</v>
      </c>
      <c r="C169" s="12" t="s">
        <v>161</v>
      </c>
      <c r="D169" s="5" t="str">
        <f t="shared" si="49"/>
        <v>337.40</v>
      </c>
      <c r="E169" s="5" t="str">
        <f t="shared" si="49"/>
        <v>342.90</v>
      </c>
      <c r="F169" s="5" t="str">
        <f t="shared" si="49"/>
        <v>334.40</v>
      </c>
      <c r="G169" s="5" t="str">
        <f t="shared" si="49"/>
        <v>339.05</v>
      </c>
      <c r="H169" s="6" t="str">
        <f t="shared" si="44"/>
        <v xml:space="preserve">   </v>
      </c>
      <c r="I169" s="7" t="str">
        <f t="shared" si="45"/>
        <v xml:space="preserve">   </v>
      </c>
      <c r="J169" s="8" t="str">
        <f t="shared" si="46"/>
        <v xml:space="preserve">   </v>
      </c>
      <c r="K169" s="9" t="str">
        <f t="shared" si="47"/>
        <v xml:space="preserve">   </v>
      </c>
      <c r="L169" s="5"/>
    </row>
    <row r="170" spans="2:12" x14ac:dyDescent="0.25">
      <c r="B170" t="str">
        <f t="shared" si="38"/>
        <v>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</v>
      </c>
      <c r="C170" s="12" t="s">
        <v>162</v>
      </c>
      <c r="D170" s="5" t="str">
        <f t="shared" si="49"/>
        <v>934.30</v>
      </c>
      <c r="E170" s="5" t="str">
        <f t="shared" si="49"/>
        <v>945.00</v>
      </c>
      <c r="F170" s="5" t="str">
        <f t="shared" si="49"/>
        <v>923.00</v>
      </c>
      <c r="G170" s="5" t="str">
        <f t="shared" si="49"/>
        <v>931.00</v>
      </c>
      <c r="H170" s="6" t="str">
        <f t="shared" si="44"/>
        <v xml:space="preserve">   </v>
      </c>
      <c r="I170" s="7" t="str">
        <f t="shared" si="45"/>
        <v xml:space="preserve">   </v>
      </c>
      <c r="J170" s="8" t="str">
        <f t="shared" si="46"/>
        <v xml:space="preserve">   </v>
      </c>
      <c r="K170" s="9" t="str">
        <f t="shared" si="47"/>
        <v xml:space="preserve">   </v>
      </c>
      <c r="L170" s="5"/>
    </row>
    <row r="499" spans="14:16" hidden="1" x14ac:dyDescent="0.25"/>
    <row r="500" spans="14:16" hidden="1" x14ac:dyDescent="0.25">
      <c r="N500" t="s">
        <v>169</v>
      </c>
      <c r="O500" t="s">
        <v>168</v>
      </c>
      <c r="P500" t="s">
        <v>167</v>
      </c>
    </row>
    <row r="501" spans="14:16" hidden="1" x14ac:dyDescent="0.25"/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37"/>
  <sheetViews>
    <sheetView workbookViewId="0">
      <selection activeCell="D2" sqref="D2"/>
    </sheetView>
  </sheetViews>
  <sheetFormatPr defaultRowHeight="15" x14ac:dyDescent="0.25"/>
  <cols>
    <col min="2" max="2" width="10.7109375" bestFit="1" customWidth="1"/>
    <col min="3" max="3" width="10.42578125" bestFit="1" customWidth="1"/>
    <col min="4" max="4" width="13.42578125" bestFit="1" customWidth="1"/>
    <col min="5" max="5" width="11.85546875" customWidth="1"/>
    <col min="9" max="9" width="16.140625" customWidth="1"/>
  </cols>
  <sheetData>
    <row r="2" spans="1:9" x14ac:dyDescent="0.25">
      <c r="A2" s="4" t="s">
        <v>171</v>
      </c>
      <c r="B2" s="4" t="s">
        <v>164</v>
      </c>
      <c r="C2" s="4" t="s">
        <v>166</v>
      </c>
      <c r="D2" s="4" t="s">
        <v>1</v>
      </c>
      <c r="E2" s="4" t="s">
        <v>6</v>
      </c>
      <c r="F2" s="4" t="s">
        <v>7</v>
      </c>
      <c r="G2" s="4" t="s">
        <v>8</v>
      </c>
      <c r="H2" s="4" t="s">
        <v>170</v>
      </c>
      <c r="I2" s="4" t="s">
        <v>58</v>
      </c>
    </row>
    <row r="3" spans="1:9" x14ac:dyDescent="0.25">
      <c r="C3" s="16"/>
    </row>
    <row r="4" spans="1:9" x14ac:dyDescent="0.25">
      <c r="C4" s="16"/>
    </row>
    <row r="5" spans="1:9" x14ac:dyDescent="0.25">
      <c r="C5" s="16"/>
    </row>
    <row r="6" spans="1:9" x14ac:dyDescent="0.25">
      <c r="C6" s="16"/>
    </row>
    <row r="7" spans="1:9" x14ac:dyDescent="0.25">
      <c r="C7" s="16"/>
    </row>
    <row r="8" spans="1:9" x14ac:dyDescent="0.25">
      <c r="C8" s="16"/>
    </row>
    <row r="9" spans="1:9" x14ac:dyDescent="0.25">
      <c r="C9" s="16"/>
    </row>
    <row r="10" spans="1:9" x14ac:dyDescent="0.25">
      <c r="C10" s="16"/>
    </row>
    <row r="11" spans="1:9" x14ac:dyDescent="0.25">
      <c r="C11" s="16"/>
    </row>
    <row r="12" spans="1:9" x14ac:dyDescent="0.25">
      <c r="C12" s="16"/>
    </row>
    <row r="13" spans="1:9" x14ac:dyDescent="0.25">
      <c r="C13" s="16"/>
    </row>
    <row r="14" spans="1:9" x14ac:dyDescent="0.25">
      <c r="C14" s="16"/>
    </row>
    <row r="15" spans="1:9" x14ac:dyDescent="0.25">
      <c r="C15" s="16"/>
    </row>
    <row r="16" spans="1:9" x14ac:dyDescent="0.25">
      <c r="C16" s="16"/>
    </row>
    <row r="17" spans="3:3" x14ac:dyDescent="0.25">
      <c r="C17" s="16"/>
    </row>
    <row r="18" spans="3:3" x14ac:dyDescent="0.25">
      <c r="C18" s="16"/>
    </row>
    <row r="19" spans="3:3" x14ac:dyDescent="0.25">
      <c r="C19" s="16"/>
    </row>
    <row r="20" spans="3:3" x14ac:dyDescent="0.25">
      <c r="C20" s="16"/>
    </row>
    <row r="21" spans="3:3" x14ac:dyDescent="0.25">
      <c r="C21" s="16"/>
    </row>
    <row r="22" spans="3:3" x14ac:dyDescent="0.25">
      <c r="C22" s="16"/>
    </row>
    <row r="23" spans="3:3" x14ac:dyDescent="0.25">
      <c r="C23" s="16"/>
    </row>
    <row r="24" spans="3:3" x14ac:dyDescent="0.25">
      <c r="C24" s="16"/>
    </row>
    <row r="25" spans="3:3" x14ac:dyDescent="0.25">
      <c r="C25" s="16"/>
    </row>
    <row r="26" spans="3:3" x14ac:dyDescent="0.25">
      <c r="C26" s="16"/>
    </row>
    <row r="27" spans="3:3" x14ac:dyDescent="0.25">
      <c r="C27" s="16"/>
    </row>
    <row r="28" spans="3:3" x14ac:dyDescent="0.25">
      <c r="C28" s="16"/>
    </row>
    <row r="29" spans="3:3" x14ac:dyDescent="0.25">
      <c r="C29" s="16"/>
    </row>
    <row r="30" spans="3:3" x14ac:dyDescent="0.25">
      <c r="C30" s="16"/>
    </row>
    <row r="31" spans="3:3" x14ac:dyDescent="0.25">
      <c r="C31" s="16"/>
    </row>
    <row r="32" spans="3:3" x14ac:dyDescent="0.25">
      <c r="C32" s="16"/>
    </row>
    <row r="33" spans="3:3" x14ac:dyDescent="0.25">
      <c r="C33" s="16"/>
    </row>
    <row r="34" spans="3:3" x14ac:dyDescent="0.25">
      <c r="C34" s="16"/>
    </row>
    <row r="35" spans="3:3" x14ac:dyDescent="0.25">
      <c r="C35" s="16"/>
    </row>
    <row r="36" spans="3:3" x14ac:dyDescent="0.25">
      <c r="C36" s="16"/>
    </row>
    <row r="37" spans="3:3" x14ac:dyDescent="0.25">
      <c r="C37" s="16"/>
    </row>
    <row r="38" spans="3:3" x14ac:dyDescent="0.25">
      <c r="C38" s="16"/>
    </row>
    <row r="39" spans="3:3" x14ac:dyDescent="0.25">
      <c r="C39" s="16"/>
    </row>
    <row r="40" spans="3:3" x14ac:dyDescent="0.25">
      <c r="C40" s="16"/>
    </row>
    <row r="41" spans="3:3" x14ac:dyDescent="0.25">
      <c r="C41" s="16"/>
    </row>
    <row r="42" spans="3:3" x14ac:dyDescent="0.25">
      <c r="C42" s="16"/>
    </row>
    <row r="43" spans="3:3" x14ac:dyDescent="0.25">
      <c r="C43" s="16"/>
    </row>
    <row r="44" spans="3:3" x14ac:dyDescent="0.25">
      <c r="C44" s="16"/>
    </row>
    <row r="45" spans="3:3" x14ac:dyDescent="0.25">
      <c r="C45" s="16"/>
    </row>
    <row r="46" spans="3:3" x14ac:dyDescent="0.25">
      <c r="C46" s="16"/>
    </row>
    <row r="47" spans="3:3" x14ac:dyDescent="0.25">
      <c r="C47" s="16"/>
    </row>
    <row r="48" spans="3:3" x14ac:dyDescent="0.25">
      <c r="C48" s="16"/>
    </row>
    <row r="49" spans="3:3" x14ac:dyDescent="0.25">
      <c r="C49" s="16"/>
    </row>
    <row r="50" spans="3:3" x14ac:dyDescent="0.25">
      <c r="C50" s="16"/>
    </row>
    <row r="51" spans="3:3" x14ac:dyDescent="0.25">
      <c r="C51" s="16"/>
    </row>
    <row r="52" spans="3:3" x14ac:dyDescent="0.25">
      <c r="C52" s="16"/>
    </row>
    <row r="53" spans="3:3" x14ac:dyDescent="0.25">
      <c r="C53" s="16"/>
    </row>
    <row r="54" spans="3:3" x14ac:dyDescent="0.25">
      <c r="C54" s="16"/>
    </row>
    <row r="55" spans="3:3" x14ac:dyDescent="0.25">
      <c r="C55" s="16"/>
    </row>
    <row r="56" spans="3:3" x14ac:dyDescent="0.25">
      <c r="C56" s="16"/>
    </row>
    <row r="57" spans="3:3" x14ac:dyDescent="0.25">
      <c r="C57" s="16"/>
    </row>
    <row r="58" spans="3:3" x14ac:dyDescent="0.25">
      <c r="C58" s="16"/>
    </row>
    <row r="59" spans="3:3" x14ac:dyDescent="0.25">
      <c r="C59" s="16"/>
    </row>
    <row r="60" spans="3:3" x14ac:dyDescent="0.25">
      <c r="C60" s="16"/>
    </row>
    <row r="61" spans="3:3" x14ac:dyDescent="0.25">
      <c r="C61" s="16"/>
    </row>
    <row r="62" spans="3:3" x14ac:dyDescent="0.25">
      <c r="C62" s="16"/>
    </row>
    <row r="63" spans="3:3" x14ac:dyDescent="0.25">
      <c r="C63" s="16"/>
    </row>
    <row r="64" spans="3:3" x14ac:dyDescent="0.25">
      <c r="C64" s="16"/>
    </row>
    <row r="65" spans="3:3" x14ac:dyDescent="0.25">
      <c r="C65" s="16"/>
    </row>
    <row r="66" spans="3:3" x14ac:dyDescent="0.25">
      <c r="C66" s="16"/>
    </row>
    <row r="67" spans="3:3" x14ac:dyDescent="0.25">
      <c r="C67" s="16"/>
    </row>
    <row r="68" spans="3:3" x14ac:dyDescent="0.25">
      <c r="C68" s="16"/>
    </row>
    <row r="69" spans="3:3" x14ac:dyDescent="0.25">
      <c r="C69" s="16"/>
    </row>
    <row r="70" spans="3:3" x14ac:dyDescent="0.25">
      <c r="C70" s="16"/>
    </row>
    <row r="71" spans="3:3" x14ac:dyDescent="0.25">
      <c r="C71" s="16"/>
    </row>
    <row r="113" spans="3:3" x14ac:dyDescent="0.25">
      <c r="C113" s="16"/>
    </row>
    <row r="114" spans="3:3" x14ac:dyDescent="0.25">
      <c r="C114" s="16"/>
    </row>
    <row r="115" spans="3:3" x14ac:dyDescent="0.25">
      <c r="C115" s="16"/>
    </row>
    <row r="116" spans="3:3" x14ac:dyDescent="0.25">
      <c r="C116" s="16"/>
    </row>
    <row r="117" spans="3:3" x14ac:dyDescent="0.25">
      <c r="C117" s="16"/>
    </row>
    <row r="118" spans="3:3" x14ac:dyDescent="0.25">
      <c r="C118" s="16"/>
    </row>
    <row r="119" spans="3:3" x14ac:dyDescent="0.25">
      <c r="C119" s="16"/>
    </row>
    <row r="120" spans="3:3" x14ac:dyDescent="0.25">
      <c r="C120" s="16"/>
    </row>
    <row r="121" spans="3:3" x14ac:dyDescent="0.25">
      <c r="C121" s="16"/>
    </row>
    <row r="122" spans="3:3" x14ac:dyDescent="0.25">
      <c r="C122" s="16"/>
    </row>
    <row r="123" spans="3:3" x14ac:dyDescent="0.25">
      <c r="C123" s="16"/>
    </row>
    <row r="124" spans="3:3" x14ac:dyDescent="0.25">
      <c r="C124" s="16"/>
    </row>
    <row r="125" spans="3:3" x14ac:dyDescent="0.25">
      <c r="C125" s="16"/>
    </row>
    <row r="126" spans="3:3" x14ac:dyDescent="0.25">
      <c r="C126" s="16"/>
    </row>
    <row r="127" spans="3:3" x14ac:dyDescent="0.25">
      <c r="C127" s="16"/>
    </row>
    <row r="128" spans="3:3" x14ac:dyDescent="0.25">
      <c r="C128" s="16"/>
    </row>
    <row r="129" spans="3:3" x14ac:dyDescent="0.25">
      <c r="C129" s="16"/>
    </row>
    <row r="130" spans="3:3" x14ac:dyDescent="0.25">
      <c r="C130" s="16"/>
    </row>
    <row r="131" spans="3:3" x14ac:dyDescent="0.25">
      <c r="C131" s="16"/>
    </row>
    <row r="132" spans="3:3" x14ac:dyDescent="0.25">
      <c r="C132" s="16"/>
    </row>
    <row r="133" spans="3:3" x14ac:dyDescent="0.25">
      <c r="C133" s="16"/>
    </row>
    <row r="134" spans="3:3" x14ac:dyDescent="0.25">
      <c r="C134" s="16"/>
    </row>
    <row r="135" spans="3:3" x14ac:dyDescent="0.25">
      <c r="C135" s="16"/>
    </row>
    <row r="136" spans="3:3" x14ac:dyDescent="0.25">
      <c r="C136" s="16"/>
    </row>
    <row r="137" spans="3:3" x14ac:dyDescent="0.25">
      <c r="C137" s="16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Equity</vt:lpstr>
      <vt:lpstr>Performance</vt:lpstr>
      <vt:lpstr>Sheet2</vt:lpstr>
      <vt:lpstr>Equity!juniorNiftyStockWatch_1</vt:lpstr>
      <vt:lpstr>Equity!niftyMidcap50StockWatch_1</vt:lpstr>
      <vt:lpstr>Equity!niftyStockWatch_1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2016-05-31T09:43:31Z</dcterms:modified>
</cp:coreProperties>
</file>