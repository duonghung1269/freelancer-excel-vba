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730" windowHeight="9135"/>
  </bookViews>
  <sheets>
    <sheet name="Intraday_Trading_System" sheetId="1" r:id="rId1"/>
    <sheet name="Sheet1" sheetId="2" r:id="rId2"/>
    <sheet name="Sheet2" sheetId="3" r:id="rId3"/>
  </sheets>
  <definedNames>
    <definedName name="juniorNiftyStockWatch_1" localSheetId="0">Intraday_Trading_System!$O$500:$O$501</definedName>
    <definedName name="niftyMidcap50StockWatch_1" localSheetId="0">Intraday_Trading_System!$P$500:$P$501</definedName>
    <definedName name="niftyStockWatch_1" localSheetId="0">Intraday_Trading_System!$N$500:$N$501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2" i="1" l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21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66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10" i="1"/>
  <c r="E164" i="1" l="1"/>
  <c r="F165" i="1"/>
  <c r="E166" i="1"/>
  <c r="G167" i="1"/>
  <c r="E168" i="1"/>
  <c r="F169" i="1"/>
  <c r="E170" i="1"/>
  <c r="E157" i="1"/>
  <c r="F158" i="1"/>
  <c r="E159" i="1"/>
  <c r="G160" i="1"/>
  <c r="E161" i="1"/>
  <c r="F162" i="1"/>
  <c r="E163" i="1"/>
  <c r="G122" i="1"/>
  <c r="F123" i="1"/>
  <c r="E124" i="1"/>
  <c r="D125" i="1"/>
  <c r="F126" i="1"/>
  <c r="D127" i="1"/>
  <c r="E128" i="1"/>
  <c r="D129" i="1"/>
  <c r="D130" i="1"/>
  <c r="F131" i="1"/>
  <c r="E132" i="1"/>
  <c r="D133" i="1"/>
  <c r="F134" i="1"/>
  <c r="F135" i="1"/>
  <c r="E136" i="1"/>
  <c r="D137" i="1"/>
  <c r="D138" i="1"/>
  <c r="F139" i="1"/>
  <c r="E140" i="1"/>
  <c r="D141" i="1"/>
  <c r="F142" i="1"/>
  <c r="F143" i="1"/>
  <c r="E144" i="1"/>
  <c r="D145" i="1"/>
  <c r="D146" i="1"/>
  <c r="F147" i="1"/>
  <c r="E148" i="1"/>
  <c r="D149" i="1"/>
  <c r="D150" i="1"/>
  <c r="E151" i="1"/>
  <c r="E152" i="1"/>
  <c r="D153" i="1"/>
  <c r="D154" i="1"/>
  <c r="D155" i="1"/>
  <c r="E156" i="1"/>
  <c r="G121" i="1"/>
  <c r="E67" i="1"/>
  <c r="E68" i="1"/>
  <c r="E69" i="1"/>
  <c r="E70" i="1"/>
  <c r="E71" i="1"/>
  <c r="G72" i="1"/>
  <c r="F73" i="1"/>
  <c r="E74" i="1"/>
  <c r="E75" i="1"/>
  <c r="D77" i="1"/>
  <c r="E79" i="1"/>
  <c r="E80" i="1"/>
  <c r="D81" i="1"/>
  <c r="E82" i="1"/>
  <c r="E83" i="1"/>
  <c r="E84" i="1"/>
  <c r="E85" i="1"/>
  <c r="E86" i="1"/>
  <c r="E87" i="1"/>
  <c r="E88" i="1"/>
  <c r="E89" i="1"/>
  <c r="E90" i="1"/>
  <c r="E91" i="1"/>
  <c r="D93" i="1"/>
  <c r="E95" i="1"/>
  <c r="E96" i="1"/>
  <c r="D97" i="1"/>
  <c r="E98" i="1"/>
  <c r="E99" i="1"/>
  <c r="G100" i="1"/>
  <c r="D101" i="1"/>
  <c r="E102" i="1"/>
  <c r="E103" i="1"/>
  <c r="E104" i="1"/>
  <c r="E105" i="1"/>
  <c r="E106" i="1"/>
  <c r="E107" i="1"/>
  <c r="D108" i="1"/>
  <c r="F109" i="1"/>
  <c r="G110" i="1"/>
  <c r="D111" i="1"/>
  <c r="D112" i="1"/>
  <c r="E113" i="1"/>
  <c r="F114" i="1"/>
  <c r="G115" i="1"/>
  <c r="F66" i="1"/>
  <c r="E52" i="1"/>
  <c r="D37" i="1"/>
  <c r="G25" i="1"/>
  <c r="G14" i="1"/>
  <c r="E11" i="1"/>
  <c r="A6" i="1"/>
  <c r="A9" i="1"/>
  <c r="A2" i="1"/>
  <c r="F130" i="1" l="1"/>
  <c r="G123" i="1"/>
  <c r="G103" i="1"/>
  <c r="F89" i="1"/>
  <c r="F157" i="1"/>
  <c r="G102" i="1"/>
  <c r="E72" i="1"/>
  <c r="F154" i="1"/>
  <c r="G154" i="1"/>
  <c r="G144" i="1"/>
  <c r="G130" i="1"/>
  <c r="E143" i="1"/>
  <c r="G150" i="1"/>
  <c r="E139" i="1"/>
  <c r="E123" i="1"/>
  <c r="F170" i="1"/>
  <c r="D167" i="1"/>
  <c r="F150" i="1"/>
  <c r="D160" i="1"/>
  <c r="G146" i="1"/>
  <c r="F122" i="1"/>
  <c r="D139" i="1"/>
  <c r="F155" i="1"/>
  <c r="G151" i="1"/>
  <c r="G138" i="1"/>
  <c r="G136" i="1"/>
  <c r="G131" i="1"/>
  <c r="D148" i="1"/>
  <c r="D131" i="1"/>
  <c r="F108" i="1"/>
  <c r="G105" i="1"/>
  <c r="G89" i="1"/>
  <c r="E155" i="1"/>
  <c r="F151" i="1"/>
  <c r="G139" i="1"/>
  <c r="F138" i="1"/>
  <c r="F136" i="1"/>
  <c r="E131" i="1"/>
  <c r="E127" i="1"/>
  <c r="G124" i="1"/>
  <c r="F159" i="1"/>
  <c r="G157" i="1"/>
  <c r="F164" i="1"/>
  <c r="D164" i="1"/>
  <c r="D144" i="1"/>
  <c r="D128" i="1"/>
  <c r="D124" i="1"/>
  <c r="F85" i="1"/>
  <c r="G74" i="1"/>
  <c r="G155" i="1"/>
  <c r="G148" i="1"/>
  <c r="F146" i="1"/>
  <c r="E135" i="1"/>
  <c r="G128" i="1"/>
  <c r="G158" i="1"/>
  <c r="F168" i="1"/>
  <c r="G165" i="1"/>
  <c r="D168" i="1"/>
  <c r="D151" i="1"/>
  <c r="D136" i="1"/>
  <c r="D123" i="1"/>
  <c r="D156" i="1"/>
  <c r="D152" i="1"/>
  <c r="D140" i="1"/>
  <c r="D132" i="1"/>
  <c r="D163" i="1"/>
  <c r="D159" i="1"/>
  <c r="D147" i="1"/>
  <c r="D143" i="1"/>
  <c r="D135" i="1"/>
  <c r="G166" i="1"/>
  <c r="G147" i="1"/>
  <c r="G142" i="1"/>
  <c r="G140" i="1"/>
  <c r="G134" i="1"/>
  <c r="G132" i="1"/>
  <c r="G127" i="1"/>
  <c r="G126" i="1"/>
  <c r="G163" i="1"/>
  <c r="G161" i="1"/>
  <c r="F166" i="1"/>
  <c r="D170" i="1"/>
  <c r="D166" i="1"/>
  <c r="D162" i="1"/>
  <c r="D158" i="1"/>
  <c r="D142" i="1"/>
  <c r="D134" i="1"/>
  <c r="D126" i="1"/>
  <c r="D122" i="1"/>
  <c r="E147" i="1"/>
  <c r="G143" i="1"/>
  <c r="F140" i="1"/>
  <c r="G135" i="1"/>
  <c r="F132" i="1"/>
  <c r="F127" i="1"/>
  <c r="F163" i="1"/>
  <c r="F161" i="1"/>
  <c r="G159" i="1"/>
  <c r="G170" i="1"/>
  <c r="G168" i="1"/>
  <c r="G164" i="1"/>
  <c r="D169" i="1"/>
  <c r="D165" i="1"/>
  <c r="D161" i="1"/>
  <c r="D157" i="1"/>
  <c r="I157" i="1" s="1"/>
  <c r="D121" i="1"/>
  <c r="G169" i="1"/>
  <c r="E169" i="1"/>
  <c r="E165" i="1"/>
  <c r="F167" i="1"/>
  <c r="E167" i="1"/>
  <c r="G162" i="1"/>
  <c r="E162" i="1"/>
  <c r="E158" i="1"/>
  <c r="F160" i="1"/>
  <c r="E160" i="1"/>
  <c r="G145" i="1"/>
  <c r="G133" i="1"/>
  <c r="G156" i="1"/>
  <c r="E150" i="1"/>
  <c r="F149" i="1"/>
  <c r="E146" i="1"/>
  <c r="F145" i="1"/>
  <c r="E142" i="1"/>
  <c r="F141" i="1"/>
  <c r="E138" i="1"/>
  <c r="F137" i="1"/>
  <c r="E134" i="1"/>
  <c r="F133" i="1"/>
  <c r="E130" i="1"/>
  <c r="F129" i="1"/>
  <c r="E126" i="1"/>
  <c r="F125" i="1"/>
  <c r="E122" i="1"/>
  <c r="G153" i="1"/>
  <c r="G141" i="1"/>
  <c r="G129" i="1"/>
  <c r="E154" i="1"/>
  <c r="F153" i="1"/>
  <c r="G152" i="1"/>
  <c r="F156" i="1"/>
  <c r="E153" i="1"/>
  <c r="F152" i="1"/>
  <c r="E149" i="1"/>
  <c r="F148" i="1"/>
  <c r="E145" i="1"/>
  <c r="F144" i="1"/>
  <c r="E141" i="1"/>
  <c r="E137" i="1"/>
  <c r="E133" i="1"/>
  <c r="E129" i="1"/>
  <c r="F128" i="1"/>
  <c r="E125" i="1"/>
  <c r="F124" i="1"/>
  <c r="G149" i="1"/>
  <c r="G137" i="1"/>
  <c r="G125" i="1"/>
  <c r="F121" i="1"/>
  <c r="E121" i="1"/>
  <c r="G113" i="1"/>
  <c r="F113" i="1"/>
  <c r="D113" i="1"/>
  <c r="G85" i="1"/>
  <c r="G83" i="1"/>
  <c r="G93" i="1"/>
  <c r="G69" i="1"/>
  <c r="D105" i="1"/>
  <c r="F103" i="1"/>
  <c r="D95" i="1"/>
  <c r="F93" i="1"/>
  <c r="D89" i="1"/>
  <c r="G86" i="1"/>
  <c r="F79" i="1"/>
  <c r="D71" i="1"/>
  <c r="F69" i="1"/>
  <c r="G67" i="1"/>
  <c r="E112" i="1"/>
  <c r="E100" i="1"/>
  <c r="E93" i="1"/>
  <c r="G75" i="1"/>
  <c r="D69" i="1"/>
  <c r="G97" i="1"/>
  <c r="E109" i="1"/>
  <c r="F107" i="1"/>
  <c r="F105" i="1"/>
  <c r="G104" i="1"/>
  <c r="D103" i="1"/>
  <c r="E97" i="1"/>
  <c r="D85" i="1"/>
  <c r="D83" i="1"/>
  <c r="D75" i="1"/>
  <c r="E73" i="1"/>
  <c r="G71" i="1"/>
  <c r="D67" i="1"/>
  <c r="F97" i="1"/>
  <c r="G112" i="1"/>
  <c r="G95" i="1"/>
  <c r="F71" i="1"/>
  <c r="D109" i="1"/>
  <c r="D107" i="1"/>
  <c r="F101" i="1"/>
  <c r="G99" i="1"/>
  <c r="G91" i="1"/>
  <c r="G90" i="1"/>
  <c r="G87" i="1"/>
  <c r="F81" i="1"/>
  <c r="D79" i="1"/>
  <c r="F77" i="1"/>
  <c r="D73" i="1"/>
  <c r="F67" i="1"/>
  <c r="K67" i="1" s="1"/>
  <c r="G81" i="1"/>
  <c r="G77" i="1"/>
  <c r="F91" i="1"/>
  <c r="G88" i="1"/>
  <c r="F87" i="1"/>
  <c r="G84" i="1"/>
  <c r="E81" i="1"/>
  <c r="E77" i="1"/>
  <c r="G73" i="1"/>
  <c r="G101" i="1"/>
  <c r="G114" i="1"/>
  <c r="G109" i="1"/>
  <c r="E101" i="1"/>
  <c r="F99" i="1"/>
  <c r="G70" i="1"/>
  <c r="E114" i="1"/>
  <c r="F112" i="1"/>
  <c r="G108" i="1"/>
  <c r="G107" i="1"/>
  <c r="G106" i="1"/>
  <c r="D99" i="1"/>
  <c r="F95" i="1"/>
  <c r="D91" i="1"/>
  <c r="D87" i="1"/>
  <c r="F83" i="1"/>
  <c r="G79" i="1"/>
  <c r="F75" i="1"/>
  <c r="F110" i="1"/>
  <c r="D110" i="1"/>
  <c r="E110" i="1"/>
  <c r="D98" i="1"/>
  <c r="F98" i="1"/>
  <c r="G98" i="1"/>
  <c r="F96" i="1"/>
  <c r="D96" i="1"/>
  <c r="G96" i="1"/>
  <c r="D94" i="1"/>
  <c r="F94" i="1"/>
  <c r="E94" i="1"/>
  <c r="G94" i="1"/>
  <c r="E111" i="1"/>
  <c r="F111" i="1"/>
  <c r="G111" i="1"/>
  <c r="F76" i="1"/>
  <c r="D76" i="1"/>
  <c r="E76" i="1"/>
  <c r="G76" i="1"/>
  <c r="F92" i="1"/>
  <c r="D92" i="1"/>
  <c r="E92" i="1"/>
  <c r="G92" i="1"/>
  <c r="E115" i="1"/>
  <c r="D115" i="1"/>
  <c r="F115" i="1"/>
  <c r="D78" i="1"/>
  <c r="F78" i="1"/>
  <c r="E78" i="1"/>
  <c r="G78" i="1"/>
  <c r="F80" i="1"/>
  <c r="D80" i="1"/>
  <c r="F68" i="1"/>
  <c r="D68" i="1"/>
  <c r="D114" i="1"/>
  <c r="E108" i="1"/>
  <c r="D102" i="1"/>
  <c r="F102" i="1"/>
  <c r="F100" i="1"/>
  <c r="D100" i="1"/>
  <c r="D86" i="1"/>
  <c r="F86" i="1"/>
  <c r="F84" i="1"/>
  <c r="D84" i="1"/>
  <c r="D70" i="1"/>
  <c r="F70" i="1"/>
  <c r="D82" i="1"/>
  <c r="F82" i="1"/>
  <c r="D106" i="1"/>
  <c r="F106" i="1"/>
  <c r="F104" i="1"/>
  <c r="D104" i="1"/>
  <c r="D90" i="1"/>
  <c r="F90" i="1"/>
  <c r="F88" i="1"/>
  <c r="D88" i="1"/>
  <c r="G82" i="1"/>
  <c r="G80" i="1"/>
  <c r="D74" i="1"/>
  <c r="F74" i="1"/>
  <c r="F72" i="1"/>
  <c r="D72" i="1"/>
  <c r="G68" i="1"/>
  <c r="D66" i="1"/>
  <c r="E66" i="1"/>
  <c r="G66" i="1"/>
  <c r="D52" i="1"/>
  <c r="G52" i="1"/>
  <c r="F52" i="1"/>
  <c r="G37" i="1"/>
  <c r="F37" i="1"/>
  <c r="E37" i="1"/>
  <c r="F25" i="1"/>
  <c r="E25" i="1"/>
  <c r="D25" i="1"/>
  <c r="F14" i="1"/>
  <c r="E14" i="1"/>
  <c r="H14" i="1" s="1"/>
  <c r="D14" i="1"/>
  <c r="D11" i="1"/>
  <c r="G11" i="1"/>
  <c r="F11" i="1"/>
  <c r="H11" i="1" s="1"/>
  <c r="K163" i="1" l="1"/>
  <c r="J156" i="1"/>
  <c r="H155" i="1"/>
  <c r="I95" i="1"/>
  <c r="I73" i="1"/>
  <c r="I97" i="1"/>
  <c r="J103" i="1"/>
  <c r="I164" i="1"/>
  <c r="I127" i="1"/>
  <c r="I155" i="1"/>
  <c r="K155" i="1" s="1"/>
  <c r="I152" i="1"/>
  <c r="K152" i="1" s="1"/>
  <c r="K69" i="1"/>
  <c r="H103" i="1"/>
  <c r="J147" i="1"/>
  <c r="J139" i="1"/>
  <c r="I84" i="1"/>
  <c r="K84" i="1" s="1"/>
  <c r="I87" i="1"/>
  <c r="H89" i="1"/>
  <c r="I170" i="1"/>
  <c r="I123" i="1"/>
  <c r="K123" i="1" s="1"/>
  <c r="I159" i="1"/>
  <c r="J155" i="1"/>
  <c r="K157" i="1"/>
  <c r="J163" i="1"/>
  <c r="K144" i="1"/>
  <c r="I163" i="1"/>
  <c r="H168" i="1"/>
  <c r="H157" i="1"/>
  <c r="J159" i="1"/>
  <c r="H83" i="1"/>
  <c r="I99" i="1"/>
  <c r="K99" i="1" s="1"/>
  <c r="K112" i="1"/>
  <c r="I103" i="1"/>
  <c r="H75" i="1"/>
  <c r="J113" i="1"/>
  <c r="H124" i="1"/>
  <c r="K140" i="1"/>
  <c r="K85" i="1"/>
  <c r="J164" i="1"/>
  <c r="J143" i="1"/>
  <c r="I71" i="1"/>
  <c r="K71" i="1" s="1"/>
  <c r="J93" i="1"/>
  <c r="H164" i="1"/>
  <c r="K161" i="1"/>
  <c r="H101" i="1"/>
  <c r="H85" i="1"/>
  <c r="I105" i="1"/>
  <c r="H148" i="1"/>
  <c r="K164" i="1"/>
  <c r="H87" i="1"/>
  <c r="H67" i="1"/>
  <c r="J89" i="1"/>
  <c r="H163" i="1"/>
  <c r="H159" i="1"/>
  <c r="I136" i="1"/>
  <c r="J124" i="1"/>
  <c r="J161" i="1"/>
  <c r="J131" i="1"/>
  <c r="I132" i="1"/>
  <c r="J136" i="1"/>
  <c r="K170" i="1"/>
  <c r="H136" i="1"/>
  <c r="K132" i="1"/>
  <c r="J168" i="1"/>
  <c r="J170" i="1"/>
  <c r="K136" i="1"/>
  <c r="I168" i="1"/>
  <c r="K168" i="1" s="1"/>
  <c r="H170" i="1"/>
  <c r="H166" i="1"/>
  <c r="K166" i="1"/>
  <c r="J151" i="1"/>
  <c r="K135" i="1"/>
  <c r="H93" i="1"/>
  <c r="K113" i="1"/>
  <c r="J105" i="1"/>
  <c r="H71" i="1"/>
  <c r="I107" i="1"/>
  <c r="K107" i="1" s="1"/>
  <c r="K95" i="1"/>
  <c r="H113" i="1"/>
  <c r="K131" i="1"/>
  <c r="H151" i="1"/>
  <c r="J123" i="1"/>
  <c r="H132" i="1"/>
  <c r="H161" i="1"/>
  <c r="I151" i="1"/>
  <c r="I140" i="1"/>
  <c r="J85" i="1"/>
  <c r="I85" i="1"/>
  <c r="H77" i="1"/>
  <c r="K93" i="1"/>
  <c r="K151" i="1"/>
  <c r="H123" i="1"/>
  <c r="J135" i="1"/>
  <c r="J71" i="1"/>
  <c r="I93" i="1"/>
  <c r="I69" i="1"/>
  <c r="K105" i="1"/>
  <c r="J157" i="1"/>
  <c r="I161" i="1"/>
  <c r="J127" i="1"/>
  <c r="K127" i="1"/>
  <c r="J140" i="1"/>
  <c r="H140" i="1"/>
  <c r="J132" i="1"/>
  <c r="K159" i="1"/>
  <c r="H127" i="1"/>
  <c r="I166" i="1"/>
  <c r="J166" i="1"/>
  <c r="H167" i="1"/>
  <c r="I167" i="1"/>
  <c r="J167" i="1"/>
  <c r="K167" i="1"/>
  <c r="J165" i="1"/>
  <c r="K165" i="1"/>
  <c r="H165" i="1"/>
  <c r="I165" i="1"/>
  <c r="J169" i="1"/>
  <c r="H169" i="1"/>
  <c r="I169" i="1"/>
  <c r="K169" i="1"/>
  <c r="H160" i="1"/>
  <c r="I160" i="1"/>
  <c r="J160" i="1"/>
  <c r="K160" i="1"/>
  <c r="J158" i="1"/>
  <c r="K158" i="1"/>
  <c r="H158" i="1"/>
  <c r="I158" i="1"/>
  <c r="J162" i="1"/>
  <c r="H162" i="1"/>
  <c r="I162" i="1"/>
  <c r="K162" i="1" s="1"/>
  <c r="H145" i="1"/>
  <c r="I145" i="1"/>
  <c r="J145" i="1"/>
  <c r="K145" i="1"/>
  <c r="K122" i="1"/>
  <c r="H122" i="1"/>
  <c r="I122" i="1"/>
  <c r="J122" i="1"/>
  <c r="K126" i="1"/>
  <c r="J126" i="1"/>
  <c r="H126" i="1"/>
  <c r="I126" i="1"/>
  <c r="H144" i="1"/>
  <c r="J128" i="1"/>
  <c r="I143" i="1"/>
  <c r="K143" i="1" s="1"/>
  <c r="I156" i="1"/>
  <c r="K156" i="1" s="1"/>
  <c r="I124" i="1"/>
  <c r="H133" i="1"/>
  <c r="I133" i="1"/>
  <c r="K133" i="1" s="1"/>
  <c r="J133" i="1"/>
  <c r="H141" i="1"/>
  <c r="I141" i="1"/>
  <c r="K141" i="1"/>
  <c r="J141" i="1"/>
  <c r="K147" i="1"/>
  <c r="H131" i="1"/>
  <c r="H135" i="1"/>
  <c r="H139" i="1"/>
  <c r="H143" i="1"/>
  <c r="H147" i="1"/>
  <c r="I131" i="1"/>
  <c r="J144" i="1"/>
  <c r="J152" i="1"/>
  <c r="I135" i="1"/>
  <c r="H128" i="1"/>
  <c r="I139" i="1"/>
  <c r="K139" i="1" s="1"/>
  <c r="J148" i="1"/>
  <c r="H125" i="1"/>
  <c r="K125" i="1"/>
  <c r="I125" i="1"/>
  <c r="J125" i="1"/>
  <c r="H153" i="1"/>
  <c r="I153" i="1"/>
  <c r="J153" i="1"/>
  <c r="K153" i="1"/>
  <c r="I144" i="1"/>
  <c r="H152" i="1"/>
  <c r="I147" i="1"/>
  <c r="I128" i="1"/>
  <c r="K128" i="1" s="1"/>
  <c r="H156" i="1"/>
  <c r="K124" i="1"/>
  <c r="I148" i="1"/>
  <c r="K148" i="1" s="1"/>
  <c r="H129" i="1"/>
  <c r="I129" i="1"/>
  <c r="K129" i="1"/>
  <c r="J129" i="1"/>
  <c r="H137" i="1"/>
  <c r="K137" i="1"/>
  <c r="I137" i="1"/>
  <c r="J137" i="1"/>
  <c r="H149" i="1"/>
  <c r="K149" i="1"/>
  <c r="I149" i="1"/>
  <c r="J149" i="1"/>
  <c r="H154" i="1"/>
  <c r="I154" i="1"/>
  <c r="K154" i="1" s="1"/>
  <c r="J154" i="1"/>
  <c r="K130" i="1"/>
  <c r="H130" i="1"/>
  <c r="J130" i="1"/>
  <c r="I130" i="1"/>
  <c r="H134" i="1"/>
  <c r="I134" i="1"/>
  <c r="K134" i="1" s="1"/>
  <c r="J134" i="1"/>
  <c r="K138" i="1"/>
  <c r="J138" i="1"/>
  <c r="H138" i="1"/>
  <c r="I138" i="1"/>
  <c r="K142" i="1"/>
  <c r="H142" i="1"/>
  <c r="J142" i="1"/>
  <c r="I142" i="1"/>
  <c r="K146" i="1"/>
  <c r="H146" i="1"/>
  <c r="I146" i="1"/>
  <c r="J146" i="1"/>
  <c r="K150" i="1"/>
  <c r="J150" i="1"/>
  <c r="H150" i="1"/>
  <c r="I150" i="1"/>
  <c r="K121" i="1"/>
  <c r="I121" i="1"/>
  <c r="H121" i="1"/>
  <c r="J121" i="1"/>
  <c r="H74" i="1"/>
  <c r="J82" i="1"/>
  <c r="I75" i="1"/>
  <c r="K75" i="1" s="1"/>
  <c r="J69" i="1"/>
  <c r="H95" i="1"/>
  <c r="J81" i="1"/>
  <c r="K89" i="1"/>
  <c r="H105" i="1"/>
  <c r="I89" i="1"/>
  <c r="I113" i="1"/>
  <c r="J96" i="1"/>
  <c r="J79" i="1"/>
  <c r="J75" i="1"/>
  <c r="H91" i="1"/>
  <c r="H69" i="1"/>
  <c r="J77" i="1"/>
  <c r="I98" i="1"/>
  <c r="H73" i="1"/>
  <c r="H97" i="1"/>
  <c r="H107" i="1"/>
  <c r="I91" i="1"/>
  <c r="J91" i="1"/>
  <c r="H81" i="1"/>
  <c r="I90" i="1"/>
  <c r="K101" i="1"/>
  <c r="H106" i="1"/>
  <c r="J67" i="1"/>
  <c r="K91" i="1"/>
  <c r="J102" i="1"/>
  <c r="H114" i="1"/>
  <c r="K87" i="1"/>
  <c r="J97" i="1"/>
  <c r="J95" i="1"/>
  <c r="K103" i="1"/>
  <c r="H79" i="1"/>
  <c r="J107" i="1"/>
  <c r="H100" i="1"/>
  <c r="J73" i="1"/>
  <c r="I67" i="1"/>
  <c r="I79" i="1"/>
  <c r="K79" i="1" s="1"/>
  <c r="J104" i="1"/>
  <c r="I70" i="1"/>
  <c r="I86" i="1"/>
  <c r="K86" i="1" s="1"/>
  <c r="K97" i="1"/>
  <c r="H68" i="1"/>
  <c r="H80" i="1"/>
  <c r="J87" i="1"/>
  <c r="H112" i="1"/>
  <c r="J98" i="1"/>
  <c r="H99" i="1"/>
  <c r="H109" i="1"/>
  <c r="H84" i="1"/>
  <c r="I101" i="1"/>
  <c r="J68" i="1"/>
  <c r="K77" i="1"/>
  <c r="H86" i="1"/>
  <c r="H90" i="1"/>
  <c r="J109" i="1"/>
  <c r="I77" i="1"/>
  <c r="I100" i="1"/>
  <c r="J112" i="1"/>
  <c r="K73" i="1"/>
  <c r="K100" i="1"/>
  <c r="I88" i="1"/>
  <c r="K88" i="1"/>
  <c r="K109" i="1"/>
  <c r="H70" i="1"/>
  <c r="J83" i="1"/>
  <c r="J99" i="1"/>
  <c r="I109" i="1"/>
  <c r="I81" i="1"/>
  <c r="K81" i="1" s="1"/>
  <c r="J86" i="1"/>
  <c r="J101" i="1"/>
  <c r="I72" i="1"/>
  <c r="H104" i="1"/>
  <c r="K82" i="1"/>
  <c r="H88" i="1"/>
  <c r="I80" i="1"/>
  <c r="K102" i="1"/>
  <c r="I112" i="1"/>
  <c r="I83" i="1"/>
  <c r="K83" i="1" s="1"/>
  <c r="I68" i="1"/>
  <c r="H82" i="1"/>
  <c r="I96" i="1"/>
  <c r="I106" i="1"/>
  <c r="K72" i="1"/>
  <c r="I102" i="1"/>
  <c r="J80" i="1"/>
  <c r="K70" i="1"/>
  <c r="J70" i="1"/>
  <c r="J84" i="1"/>
  <c r="J90" i="1"/>
  <c r="K96" i="1"/>
  <c r="K98" i="1"/>
  <c r="H102" i="1"/>
  <c r="I115" i="1"/>
  <c r="J115" i="1"/>
  <c r="H115" i="1"/>
  <c r="K115" i="1"/>
  <c r="K80" i="1"/>
  <c r="K68" i="1"/>
  <c r="K114" i="1"/>
  <c r="I82" i="1"/>
  <c r="J110" i="1"/>
  <c r="I110" i="1"/>
  <c r="K110" i="1"/>
  <c r="H110" i="1"/>
  <c r="H96" i="1"/>
  <c r="H98" i="1"/>
  <c r="J100" i="1"/>
  <c r="J114" i="1"/>
  <c r="H72" i="1"/>
  <c r="I74" i="1"/>
  <c r="K74" i="1" s="1"/>
  <c r="J76" i="1"/>
  <c r="H76" i="1"/>
  <c r="I76" i="1"/>
  <c r="K76" i="1"/>
  <c r="I111" i="1"/>
  <c r="K111" i="1" s="1"/>
  <c r="J111" i="1"/>
  <c r="H111" i="1"/>
  <c r="K106" i="1"/>
  <c r="I104" i="1"/>
  <c r="J72" i="1"/>
  <c r="H94" i="1"/>
  <c r="J94" i="1"/>
  <c r="I94" i="1"/>
  <c r="K94" i="1"/>
  <c r="J74" i="1"/>
  <c r="J106" i="1"/>
  <c r="I114" i="1"/>
  <c r="K104" i="1"/>
  <c r="J88" i="1"/>
  <c r="H108" i="1"/>
  <c r="I108" i="1"/>
  <c r="J108" i="1"/>
  <c r="K108" i="1"/>
  <c r="H78" i="1"/>
  <c r="J78" i="1"/>
  <c r="I78" i="1"/>
  <c r="K78" i="1" s="1"/>
  <c r="K90" i="1"/>
  <c r="J92" i="1"/>
  <c r="H92" i="1"/>
  <c r="I92" i="1"/>
  <c r="K92" i="1"/>
  <c r="J66" i="1"/>
  <c r="H66" i="1"/>
  <c r="I66" i="1"/>
  <c r="K66" i="1" s="1"/>
  <c r="H52" i="1"/>
  <c r="H37" i="1"/>
  <c r="H25" i="1"/>
  <c r="I52" i="1"/>
  <c r="K52" i="1" s="1"/>
  <c r="J52" i="1"/>
  <c r="I37" i="1"/>
  <c r="J37" i="1"/>
  <c r="K37" i="1"/>
  <c r="K25" i="1"/>
  <c r="I25" i="1"/>
  <c r="J25" i="1"/>
  <c r="J11" i="1"/>
  <c r="K14" i="1"/>
  <c r="I14" i="1"/>
  <c r="J14" i="1"/>
  <c r="I11" i="1"/>
  <c r="K11" i="1" s="1"/>
  <c r="G60" i="1" l="1"/>
  <c r="G59" i="1"/>
  <c r="E58" i="1"/>
  <c r="G57" i="1"/>
  <c r="G56" i="1"/>
  <c r="E55" i="1"/>
  <c r="G54" i="1"/>
  <c r="G53" i="1"/>
  <c r="G51" i="1"/>
  <c r="E50" i="1"/>
  <c r="G49" i="1"/>
  <c r="G48" i="1"/>
  <c r="G47" i="1"/>
  <c r="G45" i="1"/>
  <c r="G44" i="1"/>
  <c r="E43" i="1"/>
  <c r="G41" i="1"/>
  <c r="G40" i="1"/>
  <c r="E39" i="1"/>
  <c r="G38" i="1"/>
  <c r="G36" i="1"/>
  <c r="G35" i="1"/>
  <c r="E34" i="1"/>
  <c r="G32" i="1"/>
  <c r="G31" i="1"/>
  <c r="G28" i="1"/>
  <c r="G27" i="1"/>
  <c r="G24" i="1"/>
  <c r="G23" i="1"/>
  <c r="G22" i="1"/>
  <c r="E21" i="1"/>
  <c r="F20" i="1"/>
  <c r="G19" i="1"/>
  <c r="G18" i="1"/>
  <c r="G17" i="1"/>
  <c r="E16" i="1"/>
  <c r="F15" i="1"/>
  <c r="G13" i="1"/>
  <c r="G12" i="1"/>
  <c r="E10" i="1"/>
  <c r="D35" i="1" l="1"/>
  <c r="D40" i="1"/>
  <c r="E22" i="1"/>
  <c r="F22" i="1"/>
  <c r="E32" i="1"/>
  <c r="E44" i="1"/>
  <c r="F47" i="1"/>
  <c r="D12" i="1"/>
  <c r="D13" i="1"/>
  <c r="F16" i="1"/>
  <c r="D19" i="1"/>
  <c r="D20" i="1"/>
  <c r="G21" i="1"/>
  <c r="E12" i="1"/>
  <c r="E13" i="1"/>
  <c r="E19" i="1"/>
  <c r="E20" i="1"/>
  <c r="F12" i="1"/>
  <c r="F19" i="1"/>
  <c r="G20" i="1"/>
  <c r="E23" i="1"/>
  <c r="E31" i="1"/>
  <c r="F44" i="1"/>
  <c r="D59" i="1"/>
  <c r="F31" i="1"/>
  <c r="D44" i="1"/>
  <c r="D45" i="1"/>
  <c r="F17" i="1"/>
  <c r="F27" i="1"/>
  <c r="E47" i="1"/>
  <c r="E48" i="1"/>
  <c r="F50" i="1"/>
  <c r="F51" i="1"/>
  <c r="E53" i="1"/>
  <c r="F55" i="1"/>
  <c r="F56" i="1"/>
  <c r="E57" i="1"/>
  <c r="D17" i="1"/>
  <c r="D18" i="1"/>
  <c r="D24" i="1"/>
  <c r="D27" i="1"/>
  <c r="D28" i="1"/>
  <c r="E35" i="1"/>
  <c r="D36" i="1"/>
  <c r="E40" i="1"/>
  <c r="D41" i="1"/>
  <c r="F43" i="1"/>
  <c r="E45" i="1"/>
  <c r="D51" i="1"/>
  <c r="D56" i="1"/>
  <c r="E59" i="1"/>
  <c r="D60" i="1"/>
  <c r="E17" i="1"/>
  <c r="D22" i="1"/>
  <c r="D23" i="1"/>
  <c r="E27" i="1"/>
  <c r="E28" i="1"/>
  <c r="D31" i="1"/>
  <c r="D32" i="1"/>
  <c r="F34" i="1"/>
  <c r="F35" i="1"/>
  <c r="E36" i="1"/>
  <c r="F39" i="1"/>
  <c r="F40" i="1"/>
  <c r="E41" i="1"/>
  <c r="D47" i="1"/>
  <c r="D48" i="1"/>
  <c r="E51" i="1"/>
  <c r="D53" i="1"/>
  <c r="E56" i="1"/>
  <c r="D57" i="1"/>
  <c r="F58" i="1"/>
  <c r="F59" i="1"/>
  <c r="E60" i="1"/>
  <c r="F29" i="1"/>
  <c r="E29" i="1"/>
  <c r="F46" i="1"/>
  <c r="E46" i="1"/>
  <c r="D46" i="1"/>
  <c r="F10" i="1"/>
  <c r="H10" i="1" s="1"/>
  <c r="G15" i="1"/>
  <c r="G16" i="1"/>
  <c r="E18" i="1"/>
  <c r="E30" i="1"/>
  <c r="D30" i="1"/>
  <c r="F33" i="1"/>
  <c r="E33" i="1"/>
  <c r="F42" i="1"/>
  <c r="E42" i="1"/>
  <c r="D42" i="1"/>
  <c r="G46" i="1"/>
  <c r="E26" i="1"/>
  <c r="D26" i="1"/>
  <c r="F26" i="1"/>
  <c r="D29" i="1"/>
  <c r="D10" i="1"/>
  <c r="F13" i="1"/>
  <c r="E15" i="1"/>
  <c r="D16" i="1"/>
  <c r="F18" i="1"/>
  <c r="D21" i="1"/>
  <c r="G26" i="1"/>
  <c r="G29" i="1"/>
  <c r="F30" i="1"/>
  <c r="D33" i="1"/>
  <c r="F38" i="1"/>
  <c r="E38" i="1"/>
  <c r="D38" i="1"/>
  <c r="G42" i="1"/>
  <c r="F54" i="1"/>
  <c r="E54" i="1"/>
  <c r="D54" i="1"/>
  <c r="G10" i="1"/>
  <c r="D15" i="1"/>
  <c r="F21" i="1"/>
  <c r="F24" i="1"/>
  <c r="E24" i="1"/>
  <c r="G30" i="1"/>
  <c r="G33" i="1"/>
  <c r="F49" i="1"/>
  <c r="E49" i="1"/>
  <c r="D49" i="1"/>
  <c r="G34" i="1"/>
  <c r="G39" i="1"/>
  <c r="G43" i="1"/>
  <c r="G50" i="1"/>
  <c r="G55" i="1"/>
  <c r="G58" i="1"/>
  <c r="F23" i="1"/>
  <c r="F28" i="1"/>
  <c r="F32" i="1"/>
  <c r="D34" i="1"/>
  <c r="F36" i="1"/>
  <c r="D39" i="1"/>
  <c r="F41" i="1"/>
  <c r="D43" i="1"/>
  <c r="F45" i="1"/>
  <c r="F48" i="1"/>
  <c r="D50" i="1"/>
  <c r="F53" i="1"/>
  <c r="D55" i="1"/>
  <c r="F57" i="1"/>
  <c r="D58" i="1"/>
  <c r="F60" i="1"/>
  <c r="H13" i="1" l="1"/>
  <c r="H15" i="1"/>
  <c r="H12" i="1"/>
  <c r="H43" i="1"/>
  <c r="H16" i="1"/>
  <c r="H26" i="1"/>
  <c r="H51" i="1"/>
  <c r="H27" i="1"/>
  <c r="H21" i="1"/>
  <c r="H39" i="1"/>
  <c r="H35" i="1"/>
  <c r="H55" i="1"/>
  <c r="H46" i="1"/>
  <c r="H29" i="1"/>
  <c r="H58" i="1"/>
  <c r="H34" i="1"/>
  <c r="H45" i="1"/>
  <c r="H50" i="1"/>
  <c r="H19" i="1"/>
  <c r="H54" i="1"/>
  <c r="H38" i="1"/>
  <c r="H33" i="1"/>
  <c r="H18" i="1"/>
  <c r="H59" i="1"/>
  <c r="H48" i="1"/>
  <c r="H22" i="1"/>
  <c r="H30" i="1"/>
  <c r="H60" i="1"/>
  <c r="H56" i="1"/>
  <c r="H36" i="1"/>
  <c r="H53" i="1"/>
  <c r="H47" i="1"/>
  <c r="H31" i="1"/>
  <c r="H44" i="1"/>
  <c r="H49" i="1"/>
  <c r="H24" i="1"/>
  <c r="H42" i="1"/>
  <c r="H41" i="1"/>
  <c r="H28" i="1"/>
  <c r="H17" i="1"/>
  <c r="H40" i="1"/>
  <c r="H57" i="1"/>
  <c r="H23" i="1"/>
  <c r="H20" i="1"/>
  <c r="H32" i="1"/>
  <c r="I58" i="1"/>
  <c r="K56" i="1"/>
  <c r="K43" i="1"/>
  <c r="K55" i="1"/>
  <c r="K15" i="1"/>
  <c r="K36" i="1"/>
  <c r="K53" i="1"/>
  <c r="K58" i="1"/>
  <c r="K34" i="1"/>
  <c r="K44" i="1"/>
  <c r="K42" i="1"/>
  <c r="K17" i="1"/>
  <c r="K32" i="1"/>
  <c r="K30" i="1"/>
  <c r="K29" i="1"/>
  <c r="K51" i="1"/>
  <c r="K27" i="1"/>
  <c r="K45" i="1"/>
  <c r="K26" i="1"/>
  <c r="K18" i="1"/>
  <c r="K59" i="1"/>
  <c r="K35" i="1"/>
  <c r="K22" i="1"/>
  <c r="J21" i="1"/>
  <c r="J51" i="1"/>
  <c r="J27" i="1"/>
  <c r="J56" i="1"/>
  <c r="J20" i="1"/>
  <c r="J15" i="1"/>
  <c r="J46" i="1"/>
  <c r="J60" i="1"/>
  <c r="J36" i="1"/>
  <c r="J53" i="1"/>
  <c r="J16" i="1"/>
  <c r="J39" i="1"/>
  <c r="J43" i="1"/>
  <c r="J55" i="1"/>
  <c r="J10" i="1"/>
  <c r="J58" i="1"/>
  <c r="J34" i="1"/>
  <c r="J47" i="1"/>
  <c r="J31" i="1"/>
  <c r="J12" i="1"/>
  <c r="J44" i="1"/>
  <c r="J50" i="1"/>
  <c r="J42" i="1"/>
  <c r="J41" i="1"/>
  <c r="J28" i="1"/>
  <c r="J17" i="1"/>
  <c r="J40" i="1"/>
  <c r="J57" i="1"/>
  <c r="J23" i="1"/>
  <c r="J32" i="1"/>
  <c r="J49" i="1"/>
  <c r="J24" i="1"/>
  <c r="J54" i="1"/>
  <c r="J38" i="1"/>
  <c r="J30" i="1"/>
  <c r="J29" i="1"/>
  <c r="J45" i="1"/>
  <c r="J19" i="1"/>
  <c r="J26" i="1"/>
  <c r="J33" i="1"/>
  <c r="J18" i="1"/>
  <c r="J59" i="1"/>
  <c r="J35" i="1"/>
  <c r="J48" i="1"/>
  <c r="J13" i="1"/>
  <c r="J22" i="1"/>
  <c r="I47" i="1"/>
  <c r="K47" i="1" s="1"/>
  <c r="I51" i="1"/>
  <c r="I17" i="1"/>
  <c r="I22" i="1"/>
  <c r="I43" i="1"/>
  <c r="I31" i="1"/>
  <c r="K31" i="1" s="1"/>
  <c r="I19" i="1"/>
  <c r="K19" i="1" s="1"/>
  <c r="I44" i="1"/>
  <c r="I21" i="1"/>
  <c r="K21" i="1" s="1"/>
  <c r="I20" i="1"/>
  <c r="K20" i="1" s="1"/>
  <c r="I12" i="1"/>
  <c r="K12" i="1" s="1"/>
  <c r="I39" i="1"/>
  <c r="K39" i="1" s="1"/>
  <c r="I16" i="1"/>
  <c r="K16" i="1" s="1"/>
  <c r="I27" i="1"/>
  <c r="I59" i="1"/>
  <c r="I35" i="1"/>
  <c r="I56" i="1"/>
  <c r="I40" i="1"/>
  <c r="K40" i="1" s="1"/>
  <c r="I49" i="1"/>
  <c r="K49" i="1" s="1"/>
  <c r="I15" i="1"/>
  <c r="I55" i="1"/>
  <c r="I46" i="1"/>
  <c r="K46" i="1" s="1"/>
  <c r="I60" i="1"/>
  <c r="K60" i="1" s="1"/>
  <c r="I53" i="1"/>
  <c r="I45" i="1"/>
  <c r="I36" i="1"/>
  <c r="I24" i="1"/>
  <c r="K24" i="1" s="1"/>
  <c r="I34" i="1"/>
  <c r="I23" i="1"/>
  <c r="K23" i="1" s="1"/>
  <c r="I26" i="1"/>
  <c r="I30" i="1"/>
  <c r="I29" i="1"/>
  <c r="I10" i="1"/>
  <c r="K10" i="1" s="1"/>
  <c r="I50" i="1"/>
  <c r="K50" i="1" s="1"/>
  <c r="I38" i="1"/>
  <c r="K38" i="1" s="1"/>
  <c r="I42" i="1"/>
  <c r="I33" i="1"/>
  <c r="K33" i="1" s="1"/>
  <c r="I13" i="1"/>
  <c r="K13" i="1" s="1"/>
  <c r="I32" i="1"/>
  <c r="I57" i="1"/>
  <c r="K57" i="1" s="1"/>
  <c r="I48" i="1"/>
  <c r="K48" i="1" s="1"/>
  <c r="I41" i="1"/>
  <c r="K41" i="1" s="1"/>
  <c r="I28" i="1"/>
  <c r="K28" i="1" s="1"/>
  <c r="I54" i="1"/>
  <c r="K54" i="1" s="1"/>
  <c r="I18" i="1"/>
</calcChain>
</file>

<file path=xl/connections.xml><?xml version="1.0" encoding="utf-8"?>
<connections xmlns="http://schemas.openxmlformats.org/spreadsheetml/2006/main">
  <connection id="1" interval="1" name="juniorNifty" type="4" refreshedVersion="4" background="1" refreshOnLoad="1" saveData="1">
    <webPr sourceData="1" parsePre="1" consecutive="1" xl2000="1" url="https://www.nseindia.com/live_market/dynaContent/live_watch/stock_watch/juniorNiftyStockWatch.json" htmlTables="1"/>
  </connection>
  <connection id="2" interval="1" name="nifty50_1" type="4" refreshedVersion="4" background="1" refreshOnLoad="1" saveData="1">
    <webPr sourceData="1" parsePre="1" consecutive="1" xl2000="1" url="https://www.nseindia.com/live_market/dynaContent/live_watch/stock_watch/niftyStockWatch.json" htmlTables="1"/>
  </connection>
  <connection id="3" interval="1" name="niftyMidcap50_1" type="4" refreshedVersion="4" background="1" refreshOnLoad="1" saveData="1">
    <webPr sourceData="1" parsePre="1" consecutive="1" xl2000="1" url="https://www.nseindia.com/live_market/dynaContent/live_watch/stock_watch/niftyMidcap50StockWatch.json" htmlTables="1"/>
  </connection>
</connections>
</file>

<file path=xl/sharedStrings.xml><?xml version="1.0" encoding="utf-8"?>
<sst xmlns="http://schemas.openxmlformats.org/spreadsheetml/2006/main" count="192" uniqueCount="169">
  <si>
    <t>JSON Keys</t>
  </si>
  <si>
    <t>SYMBOL</t>
  </si>
  <si>
    <t>open</t>
  </si>
  <si>
    <t>high</t>
  </si>
  <si>
    <t>low</t>
  </si>
  <si>
    <t>ltP</t>
  </si>
  <si>
    <t>Position</t>
  </si>
  <si>
    <t>Price</t>
  </si>
  <si>
    <t>Stop Loss</t>
  </si>
  <si>
    <t>ACC</t>
  </si>
  <si>
    <t>AMBUJACEM</t>
  </si>
  <si>
    <t>ASIANPAINT</t>
  </si>
  <si>
    <t>AXISBANK</t>
  </si>
  <si>
    <t>BAJAJ-AUTO</t>
  </si>
  <si>
    <t>BANKBARODA</t>
  </si>
  <si>
    <t>BHARTIARTL</t>
  </si>
  <si>
    <t>BHEL</t>
  </si>
  <si>
    <t>BOSCHLTD</t>
  </si>
  <si>
    <t>BPCL</t>
  </si>
  <si>
    <t>CAIRN</t>
  </si>
  <si>
    <t>CIPLA</t>
  </si>
  <si>
    <t>COALINDIA</t>
  </si>
  <si>
    <t>DRREDDY</t>
  </si>
  <si>
    <t>GAIL</t>
  </si>
  <si>
    <t>GRASIM</t>
  </si>
  <si>
    <t>HCLTECH</t>
  </si>
  <si>
    <t>HDFC</t>
  </si>
  <si>
    <t>HDFCBANK</t>
  </si>
  <si>
    <t>HEROMOTOCO</t>
  </si>
  <si>
    <t>HINDALCO</t>
  </si>
  <si>
    <t>HINDUNILVR</t>
  </si>
  <si>
    <t>ICICIBANK</t>
  </si>
  <si>
    <t>IDEA</t>
  </si>
  <si>
    <t>INDUSINDBK</t>
  </si>
  <si>
    <t>INFY</t>
  </si>
  <si>
    <t>ITC</t>
  </si>
  <si>
    <t>KOTAKBANK</t>
  </si>
  <si>
    <t>LT</t>
  </si>
  <si>
    <t>LUPIN</t>
  </si>
  <si>
    <t>M&amp;M</t>
  </si>
  <si>
    <t>MARUTI</t>
  </si>
  <si>
    <t>NTPC</t>
  </si>
  <si>
    <t>ONGC</t>
  </si>
  <si>
    <t>PNB</t>
  </si>
  <si>
    <t>POWERGRID</t>
  </si>
  <si>
    <t>RELIANCE</t>
  </si>
  <si>
    <t>SBIN</t>
  </si>
  <si>
    <t>SUNPHARMA</t>
  </si>
  <si>
    <t>TATAMOTORS</t>
  </si>
  <si>
    <t>TATAPOWER</t>
  </si>
  <si>
    <t>TATASTEEL</t>
  </si>
  <si>
    <t>TCS</t>
  </si>
  <si>
    <t>TECHM</t>
  </si>
  <si>
    <t>ULTRACEMCO</t>
  </si>
  <si>
    <t>VEDL</t>
  </si>
  <si>
    <t>WIPRO</t>
  </si>
  <si>
    <t>YESBANK</t>
  </si>
  <si>
    <t>ZEEL</t>
  </si>
  <si>
    <t>Profit/Loss at EOD</t>
  </si>
  <si>
    <t>NMDC</t>
  </si>
  <si>
    <t>ADANIPORTS</t>
  </si>
  <si>
    <t>AUROPHARMA</t>
  </si>
  <si>
    <t>EICHERMOT</t>
  </si>
  <si>
    <t>INFRATEL</t>
  </si>
  <si>
    <t>TATAMTRDVR</t>
  </si>
  <si>
    <t>Nifty Next 50</t>
  </si>
  <si>
    <t>HINDPETRO</t>
  </si>
  <si>
    <t>ABB</t>
  </si>
  <si>
    <t>APOLLOHOSP</t>
  </si>
  <si>
    <t>ASHOKLEY</t>
  </si>
  <si>
    <t>BAJAJFINSV</t>
  </si>
  <si>
    <t>BAJFINANCE</t>
  </si>
  <si>
    <t>BEL</t>
  </si>
  <si>
    <t>BHARATFORG</t>
  </si>
  <si>
    <t>BRITANNIA</t>
  </si>
  <si>
    <t>CADILAHC</t>
  </si>
  <si>
    <t>CASTROLIND</t>
  </si>
  <si>
    <t>COLPAL</t>
  </si>
  <si>
    <t>CONCOR</t>
  </si>
  <si>
    <t>CUMMINSIND</t>
  </si>
  <si>
    <t>DABUR</t>
  </si>
  <si>
    <t>DIVISLAB</t>
  </si>
  <si>
    <t>DLF</t>
  </si>
  <si>
    <t>EMAMILTD</t>
  </si>
  <si>
    <t>GLAXO</t>
  </si>
  <si>
    <t>GLENMARK</t>
  </si>
  <si>
    <t>GODREJCP</t>
  </si>
  <si>
    <t>GSKCONS</t>
  </si>
  <si>
    <t>HINDZINC</t>
  </si>
  <si>
    <t>IBULHSGFIN</t>
  </si>
  <si>
    <t>IOC</t>
  </si>
  <si>
    <t>JSWSTEEL</t>
  </si>
  <si>
    <t>LICHSGFIN</t>
  </si>
  <si>
    <t>MARICO</t>
  </si>
  <si>
    <t>MCDOWELL-N</t>
  </si>
  <si>
    <t>MOTHERSUMI</t>
  </si>
  <si>
    <t>NHPC</t>
  </si>
  <si>
    <t>OFSS</t>
  </si>
  <si>
    <t>OIL</t>
  </si>
  <si>
    <t>PFC</t>
  </si>
  <si>
    <t>PGHH</t>
  </si>
  <si>
    <t>PIDILITIND</t>
  </si>
  <si>
    <t>RCOM</t>
  </si>
  <si>
    <t>RECLTD</t>
  </si>
  <si>
    <t>SAIL</t>
  </si>
  <si>
    <t>SHREECEM</t>
  </si>
  <si>
    <t>SIEMENS</t>
  </si>
  <si>
    <t>SRTRANSFIN</t>
  </si>
  <si>
    <t>TITAN</t>
  </si>
  <si>
    <t>TORNTPHARM</t>
  </si>
  <si>
    <t>UBL</t>
  </si>
  <si>
    <t>UPL</t>
  </si>
  <si>
    <t>Nifty Midcap 50</t>
  </si>
  <si>
    <t>ADANIENT</t>
  </si>
  <si>
    <t>ADANIPOWER</t>
  </si>
  <si>
    <t>AJANTPHARM</t>
  </si>
  <si>
    <t>ALBK</t>
  </si>
  <si>
    <t>AMARAJABAT</t>
  </si>
  <si>
    <t>APOLLOTYRE</t>
  </si>
  <si>
    <t>ARVIND</t>
  </si>
  <si>
    <t>BANKINDIA</t>
  </si>
  <si>
    <t>BATAINDIA</t>
  </si>
  <si>
    <t>BIOCON</t>
  </si>
  <si>
    <t>CANBK</t>
  </si>
  <si>
    <t>CENTURYTEX</t>
  </si>
  <si>
    <t>CESC</t>
  </si>
  <si>
    <t>DISHTV</t>
  </si>
  <si>
    <t>ENGINERSIN</t>
  </si>
  <si>
    <t>EXIDEIND</t>
  </si>
  <si>
    <t>FEDERALBNK</t>
  </si>
  <si>
    <t>GMRINFRA</t>
  </si>
  <si>
    <t>GODREJIND</t>
  </si>
  <si>
    <t>HAVELLS</t>
  </si>
  <si>
    <t>HEXAWARE</t>
  </si>
  <si>
    <t>IDBI</t>
  </si>
  <si>
    <t>IDFC</t>
  </si>
  <si>
    <t>IGL</t>
  </si>
  <si>
    <t>IRB</t>
  </si>
  <si>
    <t>JINDALSTEL</t>
  </si>
  <si>
    <t>JSWENERGY</t>
  </si>
  <si>
    <t>JUBLFOOD</t>
  </si>
  <si>
    <t>JUSTDIAL</t>
  </si>
  <si>
    <t>L&amp;TFH</t>
  </si>
  <si>
    <t>M&amp;MFIN</t>
  </si>
  <si>
    <t>MINDTREE</t>
  </si>
  <si>
    <t>MRF</t>
  </si>
  <si>
    <t>PAGEIND</t>
  </si>
  <si>
    <t>PCJEWELLER</t>
  </si>
  <si>
    <t>PETRONET</t>
  </si>
  <si>
    <t>RELCAPITAL</t>
  </si>
  <si>
    <t>RELINFRA</t>
  </si>
  <si>
    <t>RPOWER</t>
  </si>
  <si>
    <t>SRF</t>
  </si>
  <si>
    <t>STAR</t>
  </si>
  <si>
    <t>SUNTV</t>
  </si>
  <si>
    <t>SYNDIBANK</t>
  </si>
  <si>
    <t>TATACHEM</t>
  </si>
  <si>
    <t>TATACOMM</t>
  </si>
  <si>
    <t>TATAGLOBAL</t>
  </si>
  <si>
    <t>TVSMOTOR</t>
  </si>
  <si>
    <t>UNIONBANK</t>
  </si>
  <si>
    <t>VOLTAS</t>
  </si>
  <si>
    <t>WOCKPHARMA</t>
  </si>
  <si>
    <t>Nifty 50</t>
  </si>
  <si>
    <t>Date</t>
  </si>
  <si>
    <t>Timestamp</t>
  </si>
  <si>
    <t xml:space="preserve">{"trdVolumesumMil":"80.42","time":"May 30, 2016 15:11:10","latestData":[{"indexName":"NIFTY MIDCAP 50","open":"3,388.20","high":"3,396.20","low":"3,360.00","ltp":"3,390.25","ch":"19.35","per":"0.57","yCls":"1.36","mCls":"0.10","yHigh":"3,563.60","yLow":"2,633.10"}],"declines":15,"trdValueSum":"1,504.13","data":[{"symbol":"L&amp;TFH","open":"74.00","high":"78.85","low":"72.95","ltP":"77.80","ptsC":"4.05","per":"5.49","trdVol":"106.42","trdVolM":"10.64","ntP":"81.99","mVal":"0.82","wkhi":"78.85","wklo":"48.25","wkhicm_adj":"88.25","wklocm_adj":"62.30","xDt":"31-DEC-2999","cAct":"-","yPC":"22.14","mPC":"8.51"},{"symbol":"IDFC","open":"50.35","high":"53.50","low":"49.25","ltP":"51.90","ptsC":"2.25","per":"4.53","trdVol":"83.44","trdVolM":"8.34","ntP":"43.34","mVal":"0.43","wkhi":"163.60","wklo":"34.80","wkhicm_adj":"166.65","wklocm_adj":"88.05","xDt":"31-DEC-2999","cAct":"-","yPC":"-66.09","mPC":"11.73"},{"symbol":"PAGEIND","open":"13,500.00","high":"14,169.00","low":"13,500.00","ltP":"14,020.80","ptsC":"548.55","per":"4.07","trdVol":"0.20","trdVolM":"0.02","ntP":"27.61","mVal":"0.28","wkhi":"17,000.00","wklo":"9,752.35","wkhicm_adj":"10,390.00","wklocm_adj":"5,010.00","xDt":"31-DEC-2999","cAct":"-","yPC":"-7.84","mPC":"8.02"},{"symbol":"SRF","open":"1,270.00","high":"1,307.80","low":"1,265.65","ltP":"1,302.85","ptsC":"42.30","per":"3.36","trdVol":"2.50","trdVolM":"0.25","ntP":"32.22","mVal":"0.32","wkhi":"1,498.85","wklo":"990.00","wkhicm_adj":"958.80","wklocm_adj":"170.00","xDt":"31-DEC-2999","cAct":"-","yPC":"28.94","mPC":"-3.90"},{"symbol":"TATACOMM","open":"454.00","high":"473.50","low":"451.80","ltP":"471.90","ptsC":"12.50","per":"2.72","trdVol":"4.25","trdVolM":"0.43","ntP":"19.76","mVal":"0.20","wkhi":"491.35","wklo":"325.00","wkhicm_adj":"462.40","wklocm_adj":"258.50","xDt":"31-DEC-2999","cAct":"-","yPC":"9.68","mPC":"12.54"},{"symbol":"SYNDIBANK","open":"65.25","high":"66.60","low":"64.40","ltP":"65.85","ptsC":"1.65","per":"2.57","trdVol":"22.64","trdVolM":"2.26","ntP":"14.83","mVal":"0.15","wkhi":"118.30","wklo":"49.40","wkhicm_adj":"180.00","wklocm_adj":"77.60","xDt":"31-DEC-2999","cAct":"-","yPC":"-43.09","mPC":"-6.13"},{"symbol":"EXIDEIND","open":"158.00","high":"161.30","low":"156.80","ltP":"161.05","ptsC":"3.50","per":"2.22","trdVol":"7.75","trdVolM":"0.77","ntP":"12.33","mVal":"0.12","wkhi":"168.60","wklo":"116.00","wkhicm_adj":"183.40","wklocm_adj":"99.00","xDt":"31-DEC-2999","cAct":"-","yPC":"4.58","mPC":"7.73"},{"symbol":"DISHTV","open":"87.00","high":"88.50","low":"85.40","ltP":"88.50","ptsC":"1.80","per":"2.08","trdVol":"35.02","trdVolM":"3.50","ntP":"30.49","mVal":"0.30","wkhi":"121.65","wklo":"65.20","wkhicm_adj":"65.90","wklocm_adj":"43.15","xDt":"31-DEC-2999","cAct":"-","yPC":"-8.81","mPC":"-2.64"},{"symbol":"PETRONET","open":"274.80","high":"279.80","low":"270.20","ltP":"278.50","ptsC":"5.35","per":"1.96","trdVol":"5.25","trdVolM":"0.53","ntP":"14.48","mVal":"0.14","wkhi":"284.80","wklo":"163.55","wkhicm_adj":"208.80","wklocm_adj":"102.60","xDt":"31-DEC-2999","cAct":"-","yPC":"51.69","mPC":"5.67"},{"symbol":"BATAINDIA","open":"558.65","high":"571.30","low":"557.50","ltP":"567.50","ptsC":"10.20","per":"1.83","trdVol":"6.37","trdVolM":"0.64","ntP":"36.16","mVal":"0.36","wkhi":"622.00","wklo":"438.00","wkhicm_adj":"1,413.40","wklocm_adj":"894.55","xDt":"31-DEC-2999","cAct":"-","yPC":"-46.13","mPC":"0.55"},{"symbol":"ADANIENT","open":"73.90","high":"74.65","low":"72.75","ltP":"74.50","ptsC":"1.15","per":"1.57","trdVol":"10.39","trdVolM":"1.04","ntP":"7.67","mVal":"0.08","wkhi":"791.00","wklo":"58.20","wkhicm_adj":"585.00","wklocm_adj":"210.10","xDt":"22-MAR-2016","cAct":"INTERIM DIVIDEND - RE 0.40\/- PER SHARE (PURPOSE REVISED)","yPC":"-89.86","mPC":"-13.12"},{"symbol":"HEXAWARE","open":"216.90","high":"219.50","low":"215.20","ltP":"218.50","ptsC":"2.80","per":"1.30","trdVol":"8.73","trdVolM":"0.87","ntP":"19.01","mVal":"0.19","wkhi":"298.50","wklo":"201.50","wkhicm_adj":"226.25","wklocm_adj":"111.90","xDt":"13-MAY-2016","cAct":"INTERIM DIVIDEND - RS 2.50\/- PER SHARE","yPC":"-22.83","mPC":"-10.49"},{"symbol":"VOLTAS","open":"337.40","high":"342.90","low":"334.40","ltP":"340.30","ptsC":"3.50","per":"1.04","trdVol":"9.12","trdVolM":"0.91","ntP":"30.93","mVal":"0.31","wkhi":"359.90","wklo":"211.00","wkhicm_adj":"286.45","wklocm_adj":"96.85","xDt":"31-DEC-2999","cAct":"-","yPC":"2.97","mPC":"12.72"},{"symbol":"RELINFRA","open":"550.00","high":"552.90","low":"541.00","ltP":"547.10","ptsC":"5.40","per":"1.00","trdVol":"24.75","trdVolM":"2.48","ntP":"135.51","mVal":"1.36","wkhi":"621.90","wklo":"281.55","wkhicm_adj":"819.90","wklocm_adj":"350.30","xDt":"31-DEC-2999","cAct":"-","yPC":"31.29","mPC":"-0.55"},{"symbol":"JINDALSTEL","open":"62.60","high":"63.25","low":"61.40","ltP":"62.20","ptsC":"0.60","per":"0.97","trdVol":"43.24","trdVolM":"4.32","ntP":"26.91","mVal":"0.27","wkhi":"128.70","wklo":"48.10","wkhicm_adj":"351.00","wklocm_adj":"127.70","xDt":"31-DEC-2999","cAct":"-","yPC":"-47.36","mPC":"-19.01"},{"symbol":"GMRINFRA","open":"11.60","high":"11.65","low":"11.35","ltP":"11.55","ptsC":"0.10","per":"0.87","trdVol":"47.20","trdVolM":"4.72","ntP":"5.44","mVal":"0.05","wkhi":"18.55","wklo":"9.75","wkhicm_adj":"38.25","wklocm_adj":"17.15","xDt":"31-DEC-2999","cAct":"-","yPC":"-20.07","mPC":"-7.23"},{"symbol":"M&amp;MFIN","open":"324.80","high":"330.45","low":"321.95","ltP":"327.50","ptsC":"2.65","per":"0.82","trdVol":"6.79","trdVolM":"0.68","ntP":"22.15","mVal":"0.22","wkhi":"330.45","wklo":"173.10","wkhicm_adj":"356.50","wklocm_adj":"229.25","xDt":"31-DEC-2999","cAct":"-","yPC":"22.89","mPC":"6.78"},{"symbol":"ENGINERSIN","open":"180.30","high":"184.90","low":"178.40","ltP":"181.80","ptsC":"1.35","per":"0.75","trdVol":"5.28","trdVolM":"0.53","ntP":"9.60","mVal":"0.10","wkhi":"252.20","wklo":"143.10","wkhicm_adj":"331.70","wklocm_adj":"142.50","xDt":"08-MAR-2016","cAct":"INTERIM DIVIDEND - RS 2\/- PER SHARE (PURPOSE REVISED)","yPC":"-9.05","mPC":"-1.57"},{"symbol":"WOCKPHARMA","open":"934.30","high":"945.00","low":"923.00","ltP":"933.00","ptsC":"6.35","per":"0.69","trdVol":"4.69","trdVolM":"0.47","ntP":"43.87","mVal":"0.44","wkhi":"1,745.00","wklo":"705.75","wkhicm_adj":"887.00","wklocm_adj":"336.55","xDt":"31-DEC-2999","cAct":"-","yPC":"-34.89","mPC":"-9.32"},{"symbol":"UNIONBANK","open":"117.90","high":"117.90","low":"114.50","ltP":"115.95","ptsC":"0.80","per":"0.69","trdVol":"22.67","trdVolM":"2.27","ntP":"26.34","mVal":"0.26","wkhi":"222.70","wklo":"104.00","wkhicm_adj":"259.65","wklocm_adj":"100.50","xDt":"31-DEC-2999","cAct":"-","yPC":"-32.39","mPC":"-12.06"},{"symbol":"TATAGLOBAL","open":"118.00","high":"119.65","low":"117.30","ltP":"118.00","ptsC":"0.70","per":"0.60","trdVol":"6.31","trdVolM":"0.63","ntP":"7.48","mVal":"0.07","wkhi":"150.30","wklo":"100.00","wkhicm_adj":"177.15","wklocm_adj":"135.25","xDt":"31-DEC-2999","cAct":"-","yPC":"-18.56","mPC":"-3.59"},{"symbol":"GODREJIND","open":"348.00","high":"356.95","low":"346.15","ltP":"349.80","ptsC":"1.95","per":"0.56","trdVol":"2.84","trdVolM":"0.28","ntP":"10.01","mVal":"0.10","wkhi":"412.00","wklo":"290.00","wkhicm_adj":"372.80","wklocm_adj":"248.50","xDt":"15-MAR-2016","cAct":"INTERIM DIVIDEND - RE 1.75 PER SHARE (PURPOSE REVISED)","yPC":"-7.34","mPC":"-1.64"},{"symbol":"MINDTREE","open":"667.60","high":"681.80","low":"667.60","ltP":"671.00","ptsC":"3.40","per":"0.51","trdVol":"2.66","trdVolM":"0.27","ntP":"17.96","mVal":"0.18","wkhi":"804.50","wklo":"594.03","wkhicm_adj":"1,268.30","wklocm_adj":"648.75","xDt":"11-APR-2016","cAct":"INTERIM DIVIDEND - RS 2\/- PER SHARE (PURPOSE REVISED)","yPC":"-7.38","mPC":"-4.10"},{"symbol":"RPOWER","open":"53.05","high":"53.50","low":"52.10","ltP":"52.50","ptsC":"0.25","per":"0.48","trdVol":"29.93","trdVolM":"2.99","ntP":"15.75","mVal":"0.16","wkhi":"61.25","wklo":"33.10","wkhicm_adj":"113.30","wklocm_adj":"60.00","xDt":"31-DEC-2999","cAct":"-","yPC":"-0.94","mPC":"-1.50"},{"symbol":"CANBK","open":"194.05","high":"195.70","low":"188.70","ltP":"193.50","ptsC":"0.85","per":"0.44","trdVol":"36.36","trdVolM":"3.64","ntP":"70.06","mVal":"0.70","wkhi":"360.45","wklo":"156.00","wkhicm_adj":"498.00","wklocm_adj":"209.00","xDt":"31-DEC-2999","cAct":"-","yPC":"-43.34","mPC":"-8.68"},{"symbol":"AJANTPHARM","open":"1,524.05","high":"1,555.00","low":"1,524.05","ltP":"1,535.05","ptsC":"4.85","per":"0.32","trdVol":"0.61","trdVolM":"0.06","ntP":"9.36","mVal":"0.09","wkhi":"1,720.00","wklo":"1,101.05","wkhicm_adj":"2,526.95","wklocm_adj":"776.65","xDt":"31-DEC-2999","cAct":"-","yPC":"5.77","mPC":"0.17"},{"symbol":"IDBI","open":"68.20","high":"68.70","low":"66.60","ltP":"67.65","ptsC":"0.20","per":"0.30","trdVol":"22.08","trdVolM":"2.21","ntP":"14.92","mVal":"0.15","wkhi":"95.70","wklo":"47.25","wkhicm_adj":"116.40","wklocm_adj":"52.90","xDt":"31-DEC-2999","cAct":"-","yPC":"-4.25","mPC":"-4.58"},{"symbol":"JSWENERGY","open":"72.50","high":"74.40","low":"70.65","ltP":"71.90","ptsC":"0.20","per":"0.28","trdVol":"18.25","trdVolM":"1.83","ntP":"13.19","mVal":"0.13","wkhi":"114.30","wklo":"59.00","wkhicm_adj":"97.40","wklocm_adj":"39.85","xDt":"31-DEC-2999","cAct":"-","yPC":"-35.69","mPC":"5.97"},{"symbol":"RELCAPITAL","open":"417.75","high":"420.90","low":"412.10","ltP":"414.90","ptsC":"0.90","per":"0.22","trdVol":"21.37","trdVolM":"2.14","ntP":"88.96","mVal":"0.89","wkhi":"471.00","wklo":"246.35","wkhicm_adj":"669.90","wklocm_adj":"304.50","xDt":"31-DEC-2999","cAct":"-","yPC":"7.21","mPC":"2.72"},{"symbol":"APOLLOTYRE","open":"157.90","high":"159.10","low":"154.30","ltP":"157.15","ptsC":"0.30","per":"0.19","trdVol":"6.80","trdVolM":"0.68","ntP":"10.65","mVal":"0.11","wkhi":"223.40","wklo":"127.05","wkhicm_adj":"242.95","wklocm_adj":"77.50","xDt":"31-DEC-2999","cAct":"-","yPC":"-13.70","mPC":"-5.59"},{"symbol":"ADANIPOWER","open":"30.25","high":"30.50","low":"29.75","ltP":"30.10","ptsC":"0.05","per":"0.17","trdVol":"32.64","trdVolM":"3.26","ntP":"9.83","mVal":"0.10","wkhi":"40.15","wklo":"19.60","wkhicm_adj":"68.35","wklocm_adj":"31.80","xDt":"31-DEC-2999","cAct":"-","yPC":"-21.92","mPC":"-6.81"},{"symbol":"FEDERALBNK","open":"53.00","high":"53.30","low":"52.30","ltP":"52.60","ptsC":"0.05","per":"0.10","trdVol":"28.24","trdVolM":"2.82","ntP":"14.90","mVal":"0.15","wkhi":"79.80","wklo":"41.35","wkhicm_adj":"152.95","wklocm_adj":"72.35","xDt":"31-DEC-2999","cAct":"-","yPC":"-26.36","mPC":"9.58"},{"symbol":"ARVIND","open":"315.50","high":"318.00","low":"313.35","ltP":"315.40","ptsC":"0.05","per":"0.02","trdVol":"6.56","trdVolM":"0.66","ntP":"20.67","mVal":"0.21","wkhi":"365.70","wklo":"216.30","wkhicm_adj":"341.50","wklocm_adj":"119.00","xDt":"31-DEC-2999","cAct":"-","yPC":"32.41","mPC":"8.29"},{"symbol":"BIOCON","open":"703.90","high":"707.50","low":"686.05","ltP":"699.45","ptsC":"0.00","per":"0.00","trdVol":"6.05","trdVolM":"0.60","ntP":"41.94","mVal":"0.42","wkhi":"717.00","wklo":"395.30","wkhicm_adj":"553.60","wklocm_adj":"378.65","xDt":"17-MAR-2016","cAct":"INTERIM DIVIDEND - RS 5\/- PER SHARE (PURPOSE REVISED)","yPC":"58.14","mPC":"22.30"},{"symbol":"ALBK","open":"53.60","high":"54.00","low":"52.20","ltP":"52.70","ptsC":"0.00","per":"0.00","trdVol":"16.94","trdVolM":"1.69","ntP":"8.96","mVal":"0.09","wkhi":"108.25","wklo":"39.40","wkhicm_adj":"150.00","wklocm_adj":"72.20","xDt":"31-DEC-2999","cAct":"-","yPC":"-50.02","mPC":"-11.58"},{"symbol":"IRB","open":"219.95","high":"221.70","low":"216.70","ltP":"218.80","ptsC":"-0.10","per":"-0.05","trdVol":"7.36","trdVolM":"0.74","ntP":"16.11","mVal":"0.16","wkhi":"272.00","wklo":"197.10","wkhicm_adj":"289.65","wklocm_adj":"67.20","xDt":"16-MAR-2016","cAct":"INTERIM DIVIDEND - RS 2\/- PER SHARE (PURPOSE REVISED)","yPC":"-11.26","mPC":"1.41"},{"symbol":"MRF","open":"33,719.00","high":"33,840.00","low":"33,222.10","ltP":"33,482.75","ptsC":"-59.45","per":"-0.18","trdVol":"0.03","trdVolM":"0.00","ntP":"8.53","mVal":"0.09","wkhi":"46,399.00","wklo":"31,002.00","wkhicm_adj":"33,980.00","wklocm_adj":"17,070.00","xDt":"31-DEC-2999","cAct":"-","yPC":"-5.37","mPC":"-3.75"},{"symbol":"CENTURYTEX","open":"627.40","high":"628.90","low":"616.85","ltP":"620.85","ptsC":"-2.35","per":"-0.38","trdVol":"3.74","trdVolM":"0.37","ntP":"23.25","mVal":"0.23","wkhi":"748.60","wklo":"403.00","wkhicm_adj":"664.40","wklocm_adj":"248.25","xDt":"31-DEC-2999","cAct":"-","yPC":"-6.43","mPC":"-1.35"},{"symbol":"STAR","open":"1,128.50","high":"1,130.00","low":"1,100.10","ltP":"1,114.95","ptsC":"-5.90","per":"-0.53","trdVol":"1.23","trdVolM":"0.12","ntP":"13.70","mVal":"0.14","wkhi":"1,414.00","wklo":"847.00","wkhicm_adj":"1,045.00","wklocm_adj":"310.15","xDt":"31-DEC-2999","cAct":"-","yPC":"-8.65","mPC":"1.00"},{"symbol":"HAVELLS","open":"374.50","high":"377.80","low":"370.35","ltP":"372.75","ptsC":"-2.15","per":"-0.57","trdVol":"13.70","trdVolM":"1.37","ntP":"51.01","mVal":"0.51","wkhi":"378.40","wklo":"235.30","wkhicm_adj":"326.50","wklocm_adj":"143.57","xDt":"31-DEC-2999","cAct":"-","yPC":"37.37","mPC":"8.29"},{"symbol":"BANKINDIA","open":"87.55","high":"88.45","low":"85.50","ltP":"86.35","ptsC":"-0.60","per":"-0.69","trdVol":"25.58","trdVolM":"2.56","ntP":"22.13","mVal":"0.22","wkhi":"205.00","wklo":"78.40","wkhicm_adj":"357.00","wklocm_adj":"165.55","xDt":"31-DEC-2999","cAct":"-","yPC":"-54.99","mPC":"-10.80"},{"symbol":"CESC","open":"563.70","high":"563.70","low":"552.35","ltP":"556.80","ptsC":"-5.55","per":"-0.99","trdVol":"1.63","trdVolM":"0.16","ntP":"9.06","mVal":"0.09","wkhi":"624.30","wklo":"404.55","wkhicm_adj":"827.45","wklocm_adj":"374.40","xDt":"17-MAR-2016","cAct":"INTERIM DIVIDEND - RS 10\/- PER SHARE (PURPOSE REVISED)","yPC":"1.68","mPC":"0.63"},{"symbol":"TVSMOTOR","open":"292.10","high":"293.95","low":"283.75","ltP":"287.90","ptsC":"-3.20","per":"-1.10","trdVol":"12.55","trdVolM":"1.26","ntP":"36.01","mVal":"0.36","wkhi":"340.85","wklo":"201.00","wkhicm_adj":"266.70","wklocm_adj":"52.50","xDt":"17-MAR-2016","cAct":"INTERIM DIVIDEND - RS 1.50 PER SHARE (PURPOSE REVISED)","yPC":"22.09","mPC":"-12.19"},{"symbol":"PCJEWELLER","open":"368.00","high":"370.00","low":"361.65","ltP":"364.00","ptsC":"-4.10","per":"-1.11","trdVol":"1.00","trdVolM":"0.10","ntP":"3.65","mVal":"0.04","wkhi":"493.40","wklo":"295.80","wkhicm_adj":"278.00","wklocm_adj":"72.00","xDt":"31-DEC-2999","cAct":"-","yPC":"-1.77","mPC":"-0.31"},{"symbol":"SUNTV","open":"387.00","high":"387.00","low":"373.50","ltP":"377.50","ptsC":"-4.80","per":"-1.26","trdVol":"7.21","trdVolM":"0.72","ntP":"27.34","mVal":"0.27","wkhi":"436.80","wklo":"255.80","wkhicm_adj":"477.00","wklocm_adj":"300.00","xDt":"21-MAR-2016","cAct":"INTERIM DIVIDEND - RS 7.50\/- PER SHARE (PURPOSE REVISED)","yPC":"-2.47","mPC":"5.91"},{"symbol":"JUSTDIAL","open":"656.00","high":"661.95","low":"641.20","ltP":"644.95","ptsC":"-9.30","per":"-1.42","trdVol":"8.58","trdVolM":"0.86","ntP":"55.67","mVal":"0.56","wkhi":"1,290.00","wklo":"375.70","wkhicm_adj":"1,894.40","wklocm_adj":"982.60","xDt":"31-DEC-2999","cAct":"-","yPC":"-42.66","mPC":"-24.09"},{"symbol":"IGL","open":"574.00","high":"575.60","low":"565.15","ltP":"566.00","ptsC":"-8.30","per":"-1.45","trdVol":"1.98","trdVolM":"0.20","ntP":"11.23","mVal":"0.11","wkhi":"608.00","wklo":"375.35","wkhicm_adj":"458.80","wklocm_adj":"238.05","xDt":"31-DEC-2999","cAct":"-","yPC":"41.45","mPC":"-1.05"},{"symbol":"AMARAJABAT","open":"865.35","high":"866.90","low":"846.00","ltP":"848.00","ptsC":"-13.20","per":"-1.53","trdVol":"1.61","trdVolM":"0.16","ntP":"13.70","mVal":"0.14","wkhi":"1,128.00","wklo":"774.15","wkhicm_adj":"794.00","wklocm_adj":"315.05","xDt":"22-MAR-2016","cAct":"INTERIM DIVIDEND - RS 4.25\/- PER SHARE (PURPOSE REVISED)","yPC":"-1.85","mPC":"-9.89"},{"symbol":"TATACHEM","open":"434.95","high":"441.00","low":"423.50","ltP":"425.50","ptsC":"-6.95","per":"-1.61","trdVol":"4.73","trdVolM":"0.47","ntP":"20.21","mVal":"0.20","wkhi":"526.00","wklo":"309.60","wkhicm_adj":"442.75","wklocm_adj":"244.20","xDt":"31-DEC-2999","cAct":"-","yPC":"-2.17","mPC":"1.75"},{"symbol":"JUBLFOOD","open":"1,094.00","high":"1,094.00","low":"1,011.10","ltP":"1,025.15","ptsC":"-86.80","per":"-7.81","trdVol":"18.89","trdVolM":"1.89","ntP":"197.25","mVal":"1.97","wkhi":"1,959.50","wklo":"887.35","wkhicm_adj":"1,497.40","wklocm_adj":"937.70","xDt":"31-DEC-2999","cAct":"-","yPC":"-41.66","mPC":"-23.06"}],"trdValueSumMil":"15.04","unchanged":2,"trdVolumesum":"804.16","advances":33} </t>
  </si>
  <si>
    <t xml:space="preserve">{"trdVolumesumMil":"106.24","time":"May 30, 2016 15:11:10","latestData":[{"indexName":"NIFTY NEXT 50","open":"19,791.95","high":"19,843.55","low":"19,688.05","ltp":"19,819.75","ch":"103.60","per":"0.53","yCls":"10.76","mCls":"1.79","yHigh":"21,730.80","yLow":"16,607.80"}],"declines":18,"trdValueSum":"2,034.62","data":[{"symbol":"CAIRN","open":"139.20","high":"144.80","low":"139.20","ltP":"144.60","ptsC":"6.55","per":"4.74","trdVol":"16.70","trdVolM":"1.67","ntP":"23.69","mVal":"0.24","wkhi":"197.90","wklo":"106.50","wkhicm_adj":"386.00","wklocm_adj":"255.00","xDt":"31-DEC-2999","cAct":"-","yPC":"-24.27","mPC":"-1.73"},{"symbol":"CONCOR","open":"1,385.05","high":"1,448.00","low":"1,385.05","ltP":"1,435.00","ptsC":"54.75","per":"3.97","trdVol":"2.90","trdVolM":"0.29","ntP":"41.54","mVal":"0.42","wkhi":"1,947.70","wklo":"1,051.00","wkhicm_adj":"1,504.70","wklocm_adj":"697.55","xDt":"31-DEC-2999","cAct":"-","yPC":"-15.00","mPC":"6.56"},{"symbol":"VEDL","open":"104.50","high":"107.45","low":"104.15","ltP":"106.75","ptsC":"3.95","per":"3.84","trdVol":"122.03","trdVolM":"12.20","ntP":"129.24","mVal":"1.29","wkhi":"204.00","wklo":"58.15","wkhicm_adj":"318.30","wklocm_adj":"168.85","xDt":"31-DEC-2999","cAct":"-","yPC":"-45.74","mPC":"1.81"},{"symbol":"APOLLOHOSP","open":"1,348.75","high":"1,397.00","low":"1,348.20","ltP":"1,396.85","ptsC":"48.65","per":"3.61","trdVol":"2.92","trdVolM":"0.29","ntP":"40.20","mVal":"0.40","wkhi":"1,544.90","wklo":"1,150.00","wkhicm_adj":"1,246.50","wklocm_adj":"815.35","xDt":"22-MAR-2016","cAct":"INTERIM DIVIDEND - RS 6\/- PER SHARE (PURPOSE REVISED)","yPC":"14.29","mPC":"6.08"},{"symbol":"RECLTD","open":"159.50","high":"163.50","low":"159.50","ltP":"160.80","ptsC":"5.40","per":"3.47","trdVol":"53.64","trdVolM":"5.36","ntP":"86.65","mVal":"0.87","wkhi":"304.90","wklo":"152.25","wkhicm_adj":"383.40","wklocm_adj":"166.50","xDt":"31-DEC-2999","cAct":"-","yPC":"-46.70","mPC":"-11.79"},{"symbol":"DIVISLAB","open":"1,120.65","high":"1,120.80","low":"1,081.00","ltP":"1,110.70","ptsC":"26.05","per":"2.40","trdVol":"6.30","trdVolM":"0.63","ntP":"69.00","mVal":"0.69","wkhi":"1,242.35","wklo":"863.90","wkhicm_adj":"1,888.05","wklocm_adj":"1,097.00","xDt":"17-MAR-2016","cAct":"INTERIM DIVIDEND - RS 10\/- PER SHARE (PURPOSE REVISED)","yPC":"-38.56","mPC":"6.57"},{"symbol":"HINDZINC","open":"169.95","high":"172.90","low":"167.15","ltP":"172.35","ptsC":"3.85","per":"2.28","trdVol":"8.65","trdVolM":"0.87","ntP":"14.70","mVal":"0.15","wkhi":"196.80","wklo":"117.05","wkhicm_adj":"184.00","wklocm_adj":"114.80","xDt":"31-DEC-2999","cAct":"-","yPC":"0.61","mPC":"-0.32"},{"symbol":"COLPAL","open":"838.00","high":"857.90","low":"835.80","ltP":"857.10","ptsC":"17.80","per":"2.12","trdVol":"1.70","trdVolM":"0.17","ntP":"14.36","mVal":"0.14","wkhi":"1,050.00","wklo":"787.20","wkhicm_adj":"2,049.00","wklocm_adj":"1,235.20","xDt":"06-APR-2016","cAct":"INTERIM DIVIDEND - RS 3\/- PER SHARE (PURPOSE REVISED)","yPC":"-14.04","mPC":"0.18"},{"symbol":"CADILAHC","open":"329.25","high":"335.00","low":"326.10","ltP":"334.05","ptsC":"6.85","per":"2.09","trdVol":"3.95","trdVolM":"0.39","ntP":"13.13","mVal":"0.13","wkhi":"453.30","wklo":"295.00","wkhicm_adj":"1,760.15","wklocm_adj":"723.20","xDt":"17-MAR-2016","cAct":"INTERIM DIVIDEND - RS 3.20\/- PER SHARE","yPC":"-10.51","mPC":"2.20"},{"symbol":"MOTHERSUMI","open":"278.10","high":"286.75","low":"276.00","ltP":"284.80","ptsC":"5.55","per":"1.99","trdVol":"23.83","trdVolM":"2.38","ntP":"67.40","mVal":"0.67","wkhi":"396.00","wklo":"205.90","wkhicm_adj":"450.70","wklocm_adj":"178.25","xDt":"22-MAR-2016","cAct":"INTERIM DIVIDEND - RS 2.50\/- PER SHARE (PURPOSE REVISED)","yPC":"-39.88","mPC":"8.29"},{"symbol":"SHREECEM","open":"13,142.00","high":"13,450.00","low":"13,140.00","ltP":"13,399.90","ptsC":"259.85","per":"1.98","trdVol":"0.07","trdVolM":"0.01","ntP":"9.38","mVal":"0.09","wkhi":"13,888.00","wklo":"9,399.95","wkhicm_adj":"9,297.70","wklocm_adj":"4,100.10","xDt":"17-MAR-2016","cAct":"INTERIM DIVIDEND - RS 12\/- PER SHARE (PUPOSE REVISED)","yPC":"22.90","mPC":"5.30"},{"symbol":"SIEMENS","open":"1,202.80","high":"1,231.00","low":"1,198.10","ltP":"1,224.00","ptsC":"21.25","per":"1.77","trdVol":"2.80","trdVolM":"0.28","ntP":"34.19","mVal":"0.34","wkhi":"1,559.70","wklo":"968.60","wkhicm_adj":"1,010.00","wklocm_adj":"513.00","xDt":"31-DEC-2999","cAct":"-","yPC":"-11.76","mPC":"3.52"},{"symbol":"PFC","open":"166.55","high":"170.90","low":"165.80","ltP":"168.95","ptsC":"2.65","per":"1.59","trdVol":"16.22","trdVolM":"1.62","ntP":"27.24","mVal":"0.27","wkhi":"283.40","wklo":"140.25","wkhicm_adj":"344.75","wklocm_adj":"128.75","xDt":"31-DEC-2999","cAct":"-","yPC":"-39.75","mPC":"-5.77"},{"symbol":"LICHSGFIN","open":"463.90","high":"470.40","low":"460.55","ltP":"469.20","ptsC":"7.25","per":"1.57","trdVol":"14.23","trdVolM":"1.42","ntP":"66.36","mVal":"0.66","wkhi":"523.95","wklo":"388.65","wkhicm_adj":"429.50","wklocm_adj":"187.05","xDt":"31-DEC-2999","cAct":"-","yPC":"14.11","mPC":"1.44"},{"symbol":"GLAXO","open":"3,482.00","high":"3,588.60","low":"3,482.00","ltP":"3,581.90","ptsC":"53.55","per":"1.52","trdVol":"0.03","trdVolM":"0.00","ntP":"1.20","mVal":"0.01","wkhi":"3,872.00","wklo":"3,032.05","wkhicm_adj":"3,054.50","wklocm_adj":"2,365.00","xDt":"31-DEC-2999","cAct":"-","yPC":"11.90","mPC":"-4.96"},{"symbol":"GSKCONS","open":"5,919.00","high":"6,036.00","low":"5,880.00","ltP":"5,995.65","ptsC":"82.85","per":"1.40","trdVol":"0.07","trdVolM":"0.01","ntP":"4.43","mVal":"0.04","wkhi":"6,800.00","wklo":"5,405.00","wkhicm_adj":"5,999.00","wklocm_adj":"4,011.00","xDt":"31-DEC-2999","cAct":"-","yPC":"-5.97","mPC":"-0.35"},{"symbol":"SAIL","open":"43.00","high":"43.65","low":"42.35","ltP":"43.15","ptsC":"0.45","per":"1.05","trdVol":"58.01","trdVolM":"5.80","ntP":"24.95","mVal":"0.25","wkhi":"67.30","wklo":"33.50","wkhicm_adj":"112.95","wklocm_adj":"54.05","xDt":"31-DEC-2999","cAct":"-","yPC":"-34.42","mPC":"-6.09"},{"symbol":"EMAMILTD","open":"1,016.20","high":"1,032.00","low":"1,007.50","ltP":"1,025.40","ptsC":"10.50","per":"1.03","trdVol":"0.91","trdVolM":"0.09","ntP":"9.27","mVal":"0.09","wkhi":"1,365.00","wklo":"901.00","wkhicm_adj":"824.70","wklocm_adj":"420.00","xDt":"31-DEC-2999","cAct":"-","yPC":"-7.11","mPC":"1.79"},{"symbol":"BRITANNIA","open":"2,720.00","high":"2,758.00","low":"2,720.00","ltP":"2,746.95","ptsC":"27.65","per":"1.02","trdVol":"1.00","trdVolM":"0.10","ntP":"27.48","mVal":"0.27","wkhi":"3,434.20","wklo":"2,424.00","wkhicm_adj":"1,729.80","wklocm_adj":"809.10","xDt":"31-DEC-2999","cAct":"-","yPC":"3.38","mPC":"-4.00"},{"symbol":"TITAN","open":"361.10","high":"364.45","low":"354.25","ltP":"364.00","ptsC":"3.55","per":"0.98","trdVol":"17.73","trdVolM":"1.77","ntP":"63.43","mVal":"0.63","wkhi":"392.40","wklo":"301.70","wkhicm_adj":"425.00","wklocm_adj":"202.45","xDt":"22-MAR-2016","cAct":"INTERIM DIVIDEND - RS 2.20\/- PER SHARE (PURPOSE REVISED)","yPC":"-4.27","mPC":"-2.02"},{"symbol":"DABUR","open":"295.55","high":"299.90","low":"292.00","ltP":"298.65","ptsC":"2.85","per":"0.96","trdVol":"6.99","trdVolM":"0.70","ntP":"20.78","mVal":"0.21","wkhi":"316.40","wklo":"231.50","wkhicm_adj":"249.15","wklocm_adj":"159.50","xDt":"31-DEC-2999","cAct":"-","yPC":"9.92","mPC":"9.60"},{"symbol":"PNB","open":"78.00","high":"78.90","low":"76.40","ltP":"77.25","ptsC":"0.65","per":"0.85","trdVol":"81.54","trdVolM":"8.15","ntP":"63.31","mVal":"0.63","wkhi":"180.55","wklo":"69.25","wkhicm_adj":"1,096.50","wklocm_adj":"509.15","xDt":"31-DEC-2999","cAct":"-","yPC":"-50.56","mPC":"-14.26"},{"symbol":"BEL","open":"1,195.00","high":"1,199.00","low":"1,170.00","ltP":"1,191.55","ptsC":"8.50","per":"0.72","trdVol":"2.86","trdVolM":"0.29","ntP":"33.85","mVal":"0.34","wkhi":"1,416.85","wklo":"984.00","wkhicm_adj":"2,375.00","wklocm_adj":"893.00","xDt":"31-DEC-2999","cAct":"-","yPC":"7.14","mPC":"-1.74"},{"symbol":"SRTRANSFIN","open":"1,190.15","high":"1,219.80","low":"1,175.65","ltP":"1,201.00","ptsC":"6.95","per":"0.58","trdVol":"4.77","trdVolM":"0.48","ntP":"57.09","mVal":"0.57","wkhi":"1,219.80","wklo":"736.95","wkhicm_adj":"1,139.00","wklocm_adj":"548.70","xDt":"31-DEC-2999","cAct":"-","yPC":"44.19","mPC":"20.78"},{"symbol":"CUMMINSIND","open":"778.00","high":"793.90","low":"778.00","ltP":"788.05","ptsC":"4.15","per":"0.53","trdVol":"2.14","trdVolM":"0.21","ntP":"16.86","mVal":"0.17","wkhi":"1,247.65","wklo":"746.15","wkhicm_adj":"955.60","wklocm_adj":"417.70","xDt":"31-DEC-2999","cAct":"-","yPC":"-7.32","mPC":"-11.31"},{"symbol":"OIL","open":"351.90","high":"354.95","low":"343.10","ltP":"350.00","ptsC":"1.30","per":"0.37","trdVol":"2.52","trdVolM":"0.25","ntP":"8.78","mVal":"0.09","wkhi":"487.55","wklo":"300.35","wkhicm_adj":"669.95","wklocm_adj":"438.00","xDt":"31-DEC-2999","cAct":"-","yPC":"-26.48","mPC":"6.74"},{"symbol":"PIDILITIND","open":"698.50","high":"708.65","low":"691.35","ltP":"697.10","ptsC":"2.45","per":"0.35","trdVol":"2.86","trdVolM":"0.29","ntP":"20.01","mVal":"0.20","wkhi":"709.00","wklo":"507.30","wkhicm_adj":"505.90","wklocm_adj":"269.60","xDt":"18-MAR-2016","cAct":"INTERIM DIVIDEND - RS 3.65\/- PER SHARE (PURPOSE REVISED)","yPC":"26.41","mPC":"14.96"},{"symbol":"MCDOWELL-N","open":"2,505.00","high":"2,507.00","low":"2,464.10","ltP":"2,487.90","ptsC":"6.75","per":"0.27","trdVol":"1.35","trdVolM":"0.13","ntP":"33.55","mVal":"0.34","wkhi":"3,837.90","wklo":"2,225.45","wkhicm_adj":"2,940.80","wklocm_adj":"2,225.00","xDt":"31-DEC-2999","cAct":"-","yPC":"-27.40","mPC":"5.27"},{"symbol":"BAJAJFINSV","open":"1,838.00","high":"1,864.85","low":"1,828.25","ltP":"1,838.45","ptsC":"2.75","per":"0.15","trdVol":"0.49","trdVolM":"0.05","ntP":"8.96","mVal":"0.09","wkhi":"2,160.00","wklo":"1,435.15","wkhicm_adj":"1,173.95","wklocm_adj":"658.35","xDt":"16-MAR-2016","cAct":"INTERIM DIVIDEND - RS 1.75\/- PER SHARE (PURPOSE REVISED)","yPC":"20.17","mPC":"-2.19"},{"symbol":"BHARATFORG","open":"751.50","high":"751.85","low":"735.50","ltP":"745.65","ptsC":"0.95","per":"0.13","trdVol":"4.09","trdVolM":"0.41","ntP":"30.44","mVal":"0.30","wkhi":"1,293.00","wklo":"704.90","wkhicm_adj":"979.00","wklocm_adj":"291.10","xDt":"18-MAR-2016","cAct":"INTERIM DIVIDEND - RS 4\/- PER SHARE (PURPOSE REVISED)","yPC":"-38.35","mPC":"-7.14"},{"symbol":"RCOM","open":"49.30","high":"50.65","low":"48.65","ltP":"49.00","ptsC":"0.05","per":"0.10","trdVol":"189.87","trdVolM":"18.99","ntP":"94.21","mVal":"0.94","wkhi":"91.75","wklo":"45.50","wkhicm_adj":"157.25","wklocm_adj":"93.05","xDt":"31-DEC-2999","cAct":"-","yPC":"-24.09","mPC":"-17.51"},{"symbol":"GODREJCP","open":"1,527.10","high":"1,536.85","low":"1,512.00","ltP":"1,528.00","ptsC":"1.55","per":"0.10","trdVol":"1.82","trdVolM":"0.18","ntP":"27.73","mVal":"0.28","wkhi":"1,536.85","wklo":"1,037.00","wkhicm_adj":"1,119.00","wklocm_adj":"667.00","xDt":"10-MAY-2016","cAct":"INTERIM DIVIDEND - RS 2.75\/- PER SHARE (PURPOSE REVISED)","yPC":"39.38","mPC":"11.65"},{"symbol":"CASTROLIND","open":"376.05","high":"379.45","low":"372.80","ltP":"376.70","ptsC":"-0.05","per":"-0.01","trdVol":"6.93","trdVolM":"0.69","ntP":"25.99","mVal":"0.26","wkhi":"513.80","wklo":"360.85","wkhicm_adj":"523.50","wklocm_adj":"283.10","xDt":"27-APR-2016","cAct":"ANNUAL GENERAL MEETING\/ DIVIDEND - RS 5\/- PER SHARE","yPC":"-20.10","mPC":"-3.31"},{"symbol":"JSWSTEEL","open":"1,378.00","high":"1,393.00","low":"1,357.80","ltP":"1,374.95","ptsC":"-0.70","per":"-0.05","trdVol":"4.73","trdVolM":"0.47","ntP":"65.00","mVal":"0.65","wkhi":"1,393.00","wklo":"800.00","wkhicm_adj":"1,366.50","wklocm_adj":"804.00","xDt":"31-DEC-2999","cAct":"-","yPC":"50.09","mPC":"0.91"},{"symbol":"GLENMARK","open":"876.50","high":"887.35","low":"874.80","ltP":"875.00","ptsC":"-0.50","per":"-0.06","trdVol":"2.39","trdVolM":"0.24","ntP":"21.02","mVal":"0.21","wkhi":"1,262.90","wklo":"671.10","wkhicm_adj":"841.00","wklocm_adj":"493.00","xDt":"31-DEC-2999","cAct":"-","yPC":"2.05","mPC":"5.85"},{"symbol":"OFSS","open":"3,524.00","high":"3,524.00","low":"3,462.70","ltP":"3,479.90","ptsC":"-6.85","per":"-0.20","trdVol":"0.19","trdVolM":"0.02","ntP":"6.55","mVal":"0.07","wkhi":"4,444.00","wklo":"3,100.00","wkhicm_adj":"4,180.00","wklocm_adj":"2,770.00","xDt":"31-DEC-2999","cAct":"-","yPC":"-4.13","mPC":"-2.03"},{"symbol":"BAJFINANCE","open":"7,700.00","high":"7,720.00","low":"7,559.40","ltP":"7,645.60","ptsC":"-22.30","per":"-0.29","trdVol":"0.66","trdVolM":"0.07","ntP":"50.22","mVal":"0.50","wkhi":"7,858.05","wklo":"4,115.70","wkhicm_adj":"3,385.00","wklocm_adj":"1,375.00","xDt":"16-MAR-2016","cAct":"INTERIM DIVIDEND - RS 18\/- PER SHARE (PURPOSE REVISED)","yPC":"72.81","mPC":"10.08"},{"symbol":"TORNTPHARM","open":"1,379.00","high":"1,384.80","low":"1,353.25","ltP":"1,372.95","ptsC":"-5.55","per":"-0.40","trdVol":"0.46","trdVolM":"0.05","ntP":"6.29","mVal":"0.06","wkhi":"1,718.40","wklo":"1,169.05","wkhicm_adj":"1,135.00","wklocm_adj":"458.00","xDt":"16-MAR-2016","cAct":"INTERIM DIVIDEND - RS 15\/- PER SHARE (PURPOSE REVISED)","yPC":"10.82","mPC":"-4.84"},{"symbol":"UPL","open":"597.90","high":"602.60","low":"586.40","ltP":"592.20","ptsC":"-3.20","per":"-0.54","trdVol":"10.66","trdVolM":"1.07","ntP":"63.20","mVal":"0.63","wkhi":"612.95","wklo":"367.25","wkhicm_adj":"388.70","wklocm_adj":"161.10","xDt":"31-DEC-2999","cAct":"-","yPC":"14.13","mPC":"15.00"},{"symbol":"IBULHSGFIN","open":"750.00","high":"754.25","low":"730.25","ltP":"738.95","ptsC":"-4.80","per":"-0.65","trdVol":"6.24","trdVolM":"0.62","ntP":"46.43","mVal":"0.46","wkhi":"820.85","wklo":"541.50","wkhicm_adj":"484.95","wklocm_adj":"187.05","xDt":"18-MAR-2016","cAct":"INTERIM DIVIDEND - RS 9\/- PER SHARE","yPC":"24.60","mPC":"5.14"},{"symbol":"UBL","open":"726.80","high":"727.90","low":"709.00","ltP":"717.15","ptsC":"-5.15","per":"-0.71","trdVol":"2.77","trdVolM":"0.28","ntP":"19.83","mVal":"0.20","wkhi":"1,074.95","wklo":"690.00","wkhicm_adj":"859.00","wklocm_adj":"615.65","xDt":"31-DEC-2999","cAct":"-","yPC":"-24.68","mPC":"-5.38"},{"symbol":"ASHOKLEY","open":"107.30","high":"107.45","low":"105.10","ltP":"106.00","ptsC":"-0.80","per":"-0.75","trdVol":"78.17","trdVolM":"7.82","ntP":"82.88","mVal":"0.83","wkhi":"112.90","wklo":"64.00","wkhicm_adj":"56.20","wklocm_adj":"14.85","xDt":"31-DEC-2999","cAct":"-","yPC":"50.35","mPC":"-1.81"},{"symbol":"PGHH","open":"6,289.00","high":"6,294.70","low":"6,177.10","ltP":"6,237.05","ptsC":"-52.50","per":"-0.83","trdVol":"0.03","trdVolM":"0.00","ntP":"1.72","mVal":"0.02","wkhi":"6,995.00","wklo":"5,178.65","wkhicm_adj":"5,949.00","wklocm_adj":"2,752.00","xDt":"31-DEC-2999","cAct":"-","yPC":"-2.90","mPC":"-2.90"},{"symbol":"MARICO","open":"257.00","high":"260.45","low":"252.80","ltP":"254.55","ptsC":"-2.75","per":"-1.07","trdVol":"4.90","trdVolM":"0.49","ntP":"12.54","mVal":"0.13","wkhi":"269.25","wklo":"189.30","wkhicm_adj":"350.20","wklocm_adj":"200.05","xDt":"17-MAR-2016","cAct":"INTERIM DIVIDEND - RE 1\/- PER SHARE (PURPOSE REVISED)","yPC":"-37.88","mPC":"1.82"},{"symbol":"NHPC","open":"22.80","high":"23.95","low":"22.05","ltP":"22.70","ptsC":"-0.40","per":"-1.73","trdVol":"118.14","trdVolM":"11.81","ntP":"27.04","mVal":"0.27","wkhi":"24.45","wklo":"15.55","wkhicm_adj":"29.60","wklocm_adj":"17.35","xDt":"31-DEC-2999","cAct":"-","yPC":"12.38","mPC":"5.34"},{"symbol":"DLF","open":"129.00","high":"133.90","low":"126.05","ltP":"126.65","ptsC":"-2.30","per":"-1.78","trdVol":"106.18","trdVolM":"10.62","ntP":"137.24","mVal":"1.37","wkhi":"142.90","wklo":"72.35","wkhicm_adj":"242.95","wklocm_adj":"100.10","xDt":"28-MAR-2016","cAct":"INTERIM DIVIDEND - RS 2\/- PER SHARE (PURPOSE REVISED)","yPC":"6.07","mPC":"2.72"},{"symbol":"HINDPETRO","open":"938.00","high":"945.10","low":"910.05","ltP":"912.20","ptsC":"-19.45","per":"-2.09","trdVol":"19.67","trdVolM":"1.97","ntP":"180.77","mVal":"1.81","wkhi":"990.95","wklo":"625.70","wkhicm_adj":"627.80","wklocm_adj":"205.05","xDt":"17-MAR-2016","cAct":"INTERIM DIVIDEND - RS 7\/- PER SHARE (PURPOSE REVISED)","yPC":"43.46","mPC":"6.31"},{"symbol":"IOC","open":"412.00","high":"412.80","low":"402.05","ltP":"403.00","ptsC":"-9.95","per":"-2.41","trdVol":"17.34","trdVolM":"1.73","ntP":"70.38","mVal":"0.70","wkhi":"465.90","wklo":"336.20","wkhicm_adj":"411.20","wklocm_adj":"193.75","xDt":"31-DEC-2999","cAct":"-","yPC":"11.74","mPC":"-7.81"},{"symbol":"NMDC","open":"93.05","high":"93.25","low":"87.95","ltP":"90.05","ptsC":"-2.65","per":"-2.86","trdVol":"27.13","trdVolM":"2.71","ntP":"24.53","mVal":"0.25","wkhi":"133.50","wklo":"75.15","wkhicm_adj":"196.00","wklocm_adj":"123.10","xDt":"30-MAR-2016","cAct":"INTERIM DIVIDEND - RS 1.50\/- PER SHARE (PURPOSE REVISED)","yPC":"-31.44","mPC":"-8.81"},{"symbol":"ABB","open":"1,259.30","high":"1,259.30","low":"1,210.00","ltP":"1,216.50","ptsC":"-37.45","per":"-2.99","trdVol":"0.78","trdVolM":"0.08","ntP":"9.58","mVal":"0.10","wkhi":"1,445.00","wklo":"955.20","wkhicm_adj":"1,263.50","wklocm_adj":"566.95","xDt":"13-APR-2016","cAct":"ANNUAL GENERAL MEETING\/DIVIDEND - RS 3.70 PER SHARE","yPC":"-9.38","mPC":"-4.48"}],"trdValueSumMil":"20.35","unchanged":0,"trdVolumesum":"1,062.36","advances":32} </t>
  </si>
  <si>
    <t xml:space="preserve">{"trdVolumesumMil":"232.55","time":"May 30, 2016 15:11:10","latestData":[{"indexName":"NIFTY 50","open":"8,166.50","high":"8,200.00","low":"8,150.80","ltp":"8,185.05","ch":"28.40","per":"0.35","yCls":"-1.82","mCls":"2.57","yHigh":"8,654.75","yLow":"6,825.80"}],"declines":21,"trdValueSum":"8,347.41","data":[{"symbol":"HINDALCO","open":"100.00","high":"103.50","low":"98.15","ltP":"102.95","ptsC":"11.05","per":"12.02","trdVol":"403.00","trdVolM":"40.30","ntP":"408.88","mVal":"4.09","wkhi":"134.00","wklo":"58.80","wkhicm_adj":"198.90","wklocm_adj":"96.70","xDt":"31-DEC-2999","cAct":"-","yPC":"-21.77","mPC":"1.18"},{"symbol":"TATAMOTORS","open":"404.80","high":"421.80","low":"401.30","ltP":"421.60","ptsC":"17.70","per":"4.38","trdVol":"144.18","trdVolM":"14.42","ntP":"597.74","mVal":"5.98","wkhi":"490.25","wklo":"265.80","wkhicm_adj":"550.70","wklocm_adj":"332.10","xDt":"31-DEC-2999","cAct":"-","yPC":"-12.96","mPC":"0.73"},{"symbol":"COALINDIA","open":"289.25","high":"295.95","low":"288.50","ltP":"291.75","ptsC":"10.45","per":"3.71","trdVol":"173.93","trdVolM":"17.39","ntP":"509.23","mVal":"5.09","wkhi":"447.10","wklo":"271.65","wkhicm_adj":"423.70","wklocm_adj":"240.30","xDt":"14-MAR-2016","cAct":"INTERIM DIVIDEND - RS 27.40\/- PER SHARE (PURPOSE REVISED)","yPC":"-23.89","mPC":"0.29"},{"symbol":"TATAMTRDVR","open":"272.95","high":"282.35","low":"272.95","ltP":"281.50","ptsC":"9.80","per":"3.61","trdVol":"54.63","trdVolM":"5.46","ntP":"152.22","mVal":"1.52","wkhi":"311.90","wklo":"200.20","wkhicm_adj":"391.35","wklocm_adj":"168.25","xDt":"31-DEC-2999","cAct":"-","yPC":"-5.84","mPC":"-7.49"},{"symbol":"TATAPOWER","open":"72.90","high":"76.00","low":"72.30","ltP":"75.20","ptsC":"2.60","per":"3.58","trdVol":"35.38","trdVolM":"3.54","ntP":"26.29","mVal":"0.26","wkhi":"76.85","wklo":"55.00","wkhicm_adj":"115.60","wklocm_adj":"68.65","xDt":"31-DEC-2999","cAct":"-","yPC":"1.48","mPC":"6.29"},{"symbol":"HEROMOTOCO","open":"3,011.00","high":"3,107.50","low":"3,003.00","ltP":"3,099.00","ptsC":"96.50","per":"3.21","trdVol":"4.53","trdVolM":"0.45","ntP":"139.02","mVal":"1.39","wkhi":"3,172.00","wklo":"2,257.20","wkhicm_adj":"3,269.95","wklocm_adj":"1,907.10","xDt":"21-MAR-2016","cAct":"INTERIM DIVIDEND - RS 40\/- PER SHARE","yPC":"17.24","mPC":"5.05"},{"symbol":"NTPC","open":"140.35","high":"145.20","low":"137.65","ltP":"144.60","ptsC":"4.50","per":"3.21","trdVol":"70.30","trdVolM":"7.03","ntP":"98.70","mVal":"0.99","wkhi":"148.85","wklo":"107.10","wkhicm_adj":"168.90","wklocm_adj":"110.65","xDt":"31-DEC-2999","cAct":"-","yPC":"7.39","mPC":"2.77"},{"symbol":"TCS","open":"2,583.00","high":"2,637.00","low":"2,582.00","ltP":"2,636.50","ptsC":"63.85","per":"2.48","trdVol":"5.83","trdVolM":"0.58","ntP":"152.37","mVal":"1.52","wkhi":"2,770.00","wklo":"2,115.00","wkhicm_adj":"2,839.70","wklocm_adj":"1,970.00","xDt":"31-DEC-2999","cAct":"-","yPC":"1.03","mPC":"4.99"},{"symbol":"SBIN","open":"200.20","high":"203.90","low":"194.60","ltP":"199.55","ptsC":"3.65","per":"1.86","trdVol":"433.99","trdVolM":"43.40","ntP":"861.22","mVal":"8.61","wkhi":"291.80","wklo":"148.25","wkhicm_adj":"326.95","wklocm_adj":"145.51","xDt":"31-DEC-2999","cAct":"-","yPC":"-28.12","mPC":"1.73"},{"symbol":"DRREDDY","open":"3,112.00","high":"3,176.35","low":"3,112.00","ltP":"3,172.50","ptsC":"56.45","per":"1.81","trdVol":"2.44","trdVolM":"0.24","ntP":"77.16","mVal":"0.77","wkhi":"4,386.60","wklo":"2,750.05","wkhicm_adj":"3,666.25","wklocm_adj":"2,246.50","xDt":"31-DEC-2999","cAct":"-","yPC":"-10.08","mPC":"1.33"},{"symbol":"BAJAJ-AUTO","open":"2,583.00","high":"2,610.00","low":"2,570.60","ltP":"2,608.95","ptsC":"45.25","per":"1.77","trdVol":"2.54","trdVolM":"0.25","ntP":"65.90","mVal":"0.66","wkhi":"2,656.00","wklo":"2,133.65","wkhicm_adj":"2,695.00","wklocm_adj":"1,793.20","xDt":"16-MAR-2016","cAct":"INTERIM DIVIDEND - RS 50\/- PER SHARE (PURPOSE REVISED)","yPC":"13.29","mPC":"2.38"},{"symbol":"INFY","open":"1,241.50","high":"1,272.00","low":"1,241.50","ltP":"1,268.45","ptsC":"20.95","per":"1.68","trdVol":"23.82","trdVolM":"2.38","ntP":"301.91","mVal":"3.02","wkhi":"1,272.00","wklo":"932.65","wkhicm_adj":"4,402.20","wklocm_adj":"2,880.00","xDt":"31-DEC-2999","cAct":"-","yPC":"25.80","mPC":"2.28"},{"symbol":"TECHM","open":"535.80","high":"564.00","low":"535.00","ltP":"543.80","ptsC":"7.90","per":"1.47","trdVol":"26.65","trdVolM":"2.66","ntP":"147.20","mVal":"1.47","wkhi":"582.00","wklo":"407.40","wkhicm_adj":"2,734.00","wklocm_adj":"1,662.00","xDt":"31-DEC-2999","cAct":"-","yPC":"-0.24","mPC":"13.47"},{"symbol":"BOSCHLTD","open":"21,811.00","high":"22,399.90","low":"21,811.00","ltP":"22,225.00","ptsC":"278.00","per":"1.27","trdVol":"0.13","trdVolM":"0.01","ntP":"29.36","mVal":"0.29","wkhi":"26,719.95","wklo":"15,736.05","wkhicm_adj":"19,570.00","wklocm_adj":"8,450.00","xDt":"31-DEC-2999","cAct":"-","yPC":"-3.77","mPC":"9.88"},{"symbol":"BHARTIARTL","open":"353.10","high":"357.20","low":"352.25","ltP":"355.70","ptsC":"4.45","per":"1.27","trdVol":"21.42","trdVolM":"2.14","ntP":"75.99","mVal":"0.76","wkhi":"452.45","wklo":"282.30","wkhicm_adj":"420.00","wklocm_adj":"281.90","xDt":"31-DEC-2999","cAct":"-","yPC":"-11.74","mPC":"-4.65"},{"symbol":"ACC","open":"1,530.00","high":"1,546.00","low":"1,525.05","ltP":"1,541.20","ptsC":"18.25","per":"1.20","trdVol":"5.72","trdVolM":"0.57","ntP":"88.01","mVal":"0.88","wkhi":"1,546.00","wklo":"1,174.00","wkhicm_adj":"1,564.65","wklocm_adj":"970.15","xDt":"31-DEC-2999","cAct":"-","yPC":"4.79","mPC":"7.81"},{"symbol":"LT","open":"1,469.90","high":"1,496.45","low":"1,466.15","ltP":"1,485.30","ptsC":"10.40","per":"0.71","trdVol":"21.19","trdVolM":"2.12","ntP":"314.03","mVal":"3.14","wkhi":"1,888.00","wklo":"1,016.05","wkhicm_adj":"1,776.60","wklocm_adj":"951.50","xDt":"31-DEC-2999","cAct":"-","yPC":"-8.70","mPC":"16.36"},{"symbol":"POWERGRID","open":"151.10","high":"152.95","low":"149.35","ltP":"151.90","ptsC":"1.05","per":"0.70","trdVol":"30.29","trdVolM":"3.03","ntP":"45.68","mVal":"0.46","wkhi":"152.95","wklo":"120.55","wkhicm_adj":"150.90","wklocm_adj":"91.65","xDt":"31-DEC-2999","cAct":"-","yPC":"6.08","mPC":"5.23"},{"symbol":"IDEA","open":"112.80","high":"117.35","low":"112.00","ltP":"113.75","ptsC":"0.75","per":"0.66","trdVol":"45.44","trdVolM":"4.54","ntP":"52.10","mVal":"0.52","wkhi":"186.50","wklo":"97.20","wkhicm_adj":"183.70","wklocm_adj":"125.10","xDt":"31-DEC-2999","cAct":"-","yPC":"-32.77","mPC":"-9.00"},{"symbol":"WIPRO","open":"547.20","high":"552.50","low":"544.45","ltP":"548.95","ptsC":"3.55","per":"0.65","trdVol":"9.72","trdVolM":"0.97","ntP":"53.36","mVal":"0.53","wkhi":"613.30","wklo":"507.90","wkhicm_adj":"621.90","wklocm_adj":"466.65","xDt":"05-MAY-2016","cAct":"BUYBACK OF SHARES","yPC":"-1.01","mPC":"-1.97"},{"symbol":"ICICIBANK","open":"243.25","high":"246.60","low":"238.80","ltP":"244.45","ptsC":"1.30","per":"0.53","trdVol":"134.80","trdVolM":"13.48","ntP":"328.47","mVal":"3.28","wkhi":"321.00","wklo":"180.75","wkhicm_adj":"1,779.00","wklocm_adj":"943.60","xDt":"31-DEC-2999","cAct":"-","yPC":"-22.27","mPC":"-0.06"},{"symbol":"ONGC","open":"214.00","high":"215.70","low":"213.10","ltP":"213.80","ptsC":"0.80","per":"0.38","trdVol":"24.29","trdVolM":"2.43","ntP":"52.05","mVal":"0.52","wkhi":"337.20","wklo":"187.75","wkhicm_adj":"471.85","wklocm_adj":"264.15","xDt":"16-MAR-2016","cAct":"INTERIM DIVIDEND - RE 0.75\/- PER SHARE (PURPOSE REVISED)","yPC":"-34.80","mPC":"-3.61"},{"symbol":"AXISBANK","open":"513.95","high":"522.05","low":"512.65","ltP":"514.00","ptsC":"1.60","per":"0.31","trdVol":"44.47","trdVolM":"4.45","ntP":"230.26","mVal":"2.30","wkhi":"613.45","wklo":"366.75","wkhicm_adj":"493.20","wklocm_adj":"216.52","xDt":"31-DEC-2999","cAct":"-","yPC":"-10.55","mPC":"10.42"},{"symbol":"EICHERMOT","open":"18,711.00","high":"18,811.00","low":"18,601.00","ltP":"18,790.00","ptsC":"47.70","per":"0.25","trdVol":"0.18","trdVolM":"0.02","ntP":"32.77","mVal":"0.33","wkhi":"21,620.00","wklo":"14,800.00","wkhicm_adj":"15,149.90","wklocm_adj":"4,401.10","xDt":"22-MAR-2016","cAct":"INTERIM DIVIDEND - RS 100\/- PER SHARE","yPC":"4.47","mPC":"-6.58"},{"symbol":"KOTAKBANK","open":"748.70","high":"754.50","low":"740.05","ltP":"744.25","ptsC":"1.70","per":"0.23","trdVol":"6.13","trdVolM":"0.61","ntP":"45.73","mVal":"0.46","wkhi":"754.50","wklo":"585.75","wkhicm_adj":"1,264.70","wklocm_adj":"630.50","xDt":"31-DEC-2999","cAct":"-","yPC":"8.80","mPC":"4.46"},{"symbol":"GAIL","open":"382.45","high":"384.80","low":"377.10","ltP":"380.00","ptsC":"0.70","per":"0.18","trdVol":"19.84","trdVolM":"1.98","ntP":"75.39","mVal":"0.75","wkhi":"417.90","wklo":"260.05","wkhicm_adj":"551.90","wklocm_adj":"328.80","xDt":"31-DEC-2999","cAct":"-","yPC":"0.01","mPC":"1.82"},{"symbol":"YESBANK","open":"1,024.40","high":"1,034.85","low":"1,021.30","ltP":"1,027.20","ptsC":"11.70","per":"1.15","trdVol":"24.30","trdVolM":"2.43","ntP":"250.01","mVal":"2.50","wkhi":"1,041.80","wklo":"595.00","wkhicm_adj":"719.90","wklocm_adj":"291.40","xDt":"30-MAY-2016","cAct":"ANNUAL GENERAL MEETING\/ DIVIDEND - RS 10\/- PER SHARE","yPC":"19.57","mPC":"12.20"},{"symbol":"CIPLA","open":"476.95","high":"478.50","low":"470.00","ltP":"474.00","ptsC":"0.55","per":"0.12","trdVol":"10.76","trdVolM":"1.08","ntP":"51.09","mVal":"0.51","wkhi":"745.00","wklo":"457.45","wkhicm_adj":"673.00","wklocm_adj":"366.50","xDt":"31-DEC-2999","cAct":"-","yPC":"-26.40","mPC":"-12.25"},{"symbol":"BANKBARODA","open":"141.00","high":"141.40","low":"136.50","ltP":"138.70","ptsC":"0.10","per":"0.07","trdVol":"64.08","trdVolM":"6.41","ntP":"88.95","mVal":"0.89","wkhi":"216.30","wklo":"109.35","wkhicm_adj":"1,104.70","wklocm_adj":"511.15","xDt":"31-DEC-2999","cAct":"-","yPC":"-13.37","mPC":"-13.88"},{"symbol":"M&amp;M","open":"1,334.00","high":"1,351.70","low":"1,312.80","ltP":"1,332.45","ptsC":"-1.25","per":"-0.09","trdVol":"22.48","trdVolM":"2.25","ntP":"299.80","mVal":"3.00","wkhi":"1,442.05","wklo":"1,091.25","wkhicm_adj":"1,433.70","wklocm_adj":"846.60","xDt":"31-DEC-2999","cAct":"-","yPC":"11.21","mPC":"-3.78"},{"symbol":"INFRATEL","open":"387.80","high":"392.00","low":"385.95","ltP":"386.40","ptsC":"-0.45","per":"-0.12","trdVol":"8.31","trdVolM":"0.83","ntP":"32.30","mVal":"0.32","wkhi":"499.65","wklo":"341.35","wkhicm_adj":"322.00","wklocm_adj":"156.00","xDt":"31-DEC-2999","cAct":"-","yPC":"-12.33","mPC":"2.85"},{"symbol":"GRASIM","open":"4,372.25","high":"4,404.35","low":"4,341.25","ltP":"4,354.00","ptsC":"-7.25","per":"-0.17","trdVol":"0.31","trdVolM":"0.03","ntP":"13.41","mVal":"0.13","wkhi":"4,404.35","wklo":"3,233.00","wkhicm_adj":"3,789.00","wklocm_adj":"2,426.35","xDt":"31-DEC-2999","cAct":"-","yPC":"23.98","mPC":"5.39"},{"symbol":"RELIANCE","open":"976.40","high":"981.50","low":"968.10","ltP":"971.85","ptsC":"-2.85","per":"-0.29","trdVol":"19.53","trdVolM":"1.95","ntP":"189.95","mVal":"1.90","wkhi":"1,089.75","wklo":"818.00","wkhicm_adj":"1,145.25","wklocm_adj":"793.10","xDt":"17-MAR-2016","cAct":"INTERIM DIVIDEND - RS 10.50\/- PER SHARE (PURPOSE REVISED)","yPC":"10.97","mPC":"-4.66"},{"symbol":"INDUSINDBK","open":"1,106.20","high":"1,113.55","low":"1,096.90","ltP":"1,100.50","ptsC":"-3.60","per":"-0.33","trdVol":"8.45","trdVolM":"0.85","ntP":"93.24","mVal":"0.93","wkhi":"1,113.55","wklo":"784.00","wkhicm_adj":"776.00","wklocm_adj":"369.50","xDt":"31-DEC-2999","cAct":"-","yPC":"28.67","mPC":"5.82"},{"symbol":"AMBUJACEM","open":"232.00","high":"232.60","low":"228.65","ltP":"229.40","ptsC":"-0.85","per":"-0.37","trdVol":"12.46","trdVolM":"1.25","ntP":"28.64","mVal":"0.29","wkhi":"257.30","wklo":"185.00","wkhicm_adj":"243.80","wklocm_adj":"150.10","xDt":"31-DEC-2999","cAct":"-","yPC":"-0.24","mPC":"1.82"},{"symbol":"ITC","open":"353.40","high":"358.50","low":"352.80","ltP":"357.70","ptsC":"6.90","per":"1.97","trdVol":"45.68","trdVolM":"4.57","ntP":"162.79","mVal":"1.63","wkhi":"364.00","wklo":"268.00","wkhicm_adj":"387.50","wklocm_adj":"307.55","xDt":"30-MAY-2016","cAct":"DIVIDEND-RS.8.50 PER SHARE (INCLUDING SPECIAL DIVIDEND OF RS.2\/- PER SHARE).","yPC":"11.28","mPC":"7.24"},{"symbol":"ADANIPORTS","open":"192.70","high":"194.00","low":"185.45","ltP":"190.60","ptsC":"-1.10","per":"-0.57","trdVol":"34.61","trdVolM":"3.46","ntP":"65.54","mVal":"0.66","wkhi":"374.80","wklo":"169.15","wkhicm_adj":"308.75","wklocm_adj":"141.00","xDt":"22-MAR-2016","cAct":"INTERIM DIVIDEND - RS 1.10\/- PER SHARE (PURPOSE REVISED)","yPC":"-42.76","mPC":"-20.99"},{"symbol":"HDFCBANK","open":"1,187.00","high":"1,195.00","low":"1,178.10","ltP":"1,179.95","ptsC":"-6.85","per":"-0.58","trdVol":"8.32","trdVolM":"0.83","ntP":"98.56","mVal":"0.99","wkhi":"1,195.00","wklo":"928.00","wkhicm_adj":"965.90","wklocm_adj":"616.80","xDt":"31-DEC-2999","cAct":"-","yPC":"14.63","mPC":"4.96"},{"symbol":"LUPIN","open":"1,489.95","high":"1,493.70","low":"1,454.10","ltP":"1,468.80","ptsC":"-11.30","per":"-0.76","trdVol":"12.49","trdVolM":"1.25","ntP":"183.34","mVal":"1.83","wkhi":"2,129.00","wklo":"1,280.00","wkhicm_adj":"1,497.50","wklocm_adj":"851.50","xDt":"31-DEC-2999","cAct":"-","yPC":"-15.82","mPC":"-6.44"},{"symbol":"HINDUNILVR","open":"864.00","high":"867.20","low":"849.75","ltP":"854.40","ptsC":"-6.80","per":"-0.79","trdVol":"7.01","trdVolM":"0.70","ntP":"59.96","mVal":"0.60","wkhi":"944.00","wklo":"766.40","wkhicm_adj":"814.85","wklocm_adj":"537.20","xDt":"31-DEC-2999","cAct":"-","yPC":"0.97","mPC":"-4.24"},{"symbol":"AUROPHARMA","open":"769.95","high":"775.00","low":"753.00","ltP":"756.65","ptsC":"-6.45","per":"-0.85","trdVol":"11.82","trdVolM":"1.18","ntP":"90.41","mVal":"0.90","wkhi":"891.50","wklo":"582.00","wkhicm_adj":"1,152.40","wklocm_adj":"286.55","xDt":"31-DEC-2999","cAct":"-","yPC":"16.03","mPC":"-1.08"},{"symbol":"ULTRACEMCO","open":"3,257.10","high":"3,257.10","low":"3,192.05","ltP":"3,209.90","ptsC":"-38.40","per":"-1.18","trdVol":"1.55","trdVolM":"0.15","ntP":"49.74","mVal":"0.50","wkhi":"3,454.90","wklo":"2,579.00","wkhicm_adj":"2,872.00","wklocm_adj":"1,634.00","xDt":"31-DEC-2999","cAct":"-","yPC":"10.02","mPC":"0.57"},{"symbol":"BPCL","open":"1,020.00","high":"1,023.95","low":"993.60","ltP":"999.10","ptsC":"-12.90","per":"-1.27","trdVol":"11.65","trdVolM":"1.16","ntP":"116.76","mVal":"1.17","wkhi":"1,024.70","wklo":"731.15","wkhicm_adj":"785.00","wklocm_adj":"316.05","xDt":"31-DEC-2999","cAct":"-","yPC":"22.18","mPC":"1.71"},{"symbol":"HCLTECH","open":"761.10","high":"763.70","low":"745.20","ltP":"747.50","ptsC":"-10.10","per":"-1.33","trdVol":"14.62","trdVolM":"1.46","ntP":"109.79","mVal":"1.10","wkhi":"1,044.95","wklo":"706.40","wkhicm_adj":"1,776.25","wklocm_adj":"1,057.60","xDt":"05-MAY-2016","cAct":"INTERIM DIVIDEND - RS 6\/- PER SHARE (PURPOSE REVISED)","yPC":"-23.73","mPC":"-10.75"},{"symbol":"SUNPHARMA","open":"831.00","high":"842.00","low":"808.25","ltP":"813.00","ptsC":"-11.95","per":"-1.45","trdVol":"43.05","trdVolM":"4.31","ntP":"352.31","mVal":"3.52","wkhi":"979.00","wklo":"704.00","wkhicm_adj":"932.50","wklocm_adj":"552.55","xDt":"31-DEC-2999","cAct":"-","yPC":"-14.85","mPC":"-0.12"},{"symbol":"ASIANPAINT","open":"994.00","high":"1,004.25","low":"978.45","ltP":"983.20","ptsC":"-15.05","per":"-1.51","trdVol":"13.73","trdVolM":"1.37","ntP":"135.72","mVal":"1.36","wkhi":"1,004.25","wklo":"693.00","wkhicm_adj":"802.20","wklocm_adj":"460.20","xDt":"31-DEC-2999","cAct":"-","yPC":"28.13","mPC":"10.49"},{"symbol":"MARUTI","open":"4,132.00","high":"4,155.20","low":"4,054.00","ltP":"4,078.70","ptsC":"-67.90","per":"-1.64","trdVol":"4.95","trdVolM":"0.50","ntP":"203.18","mVal":"2.03","wkhi":"4,790.00","wklo":"3,193.25","wkhicm_adj":"3,432.00","wklocm_adj":"1,540.40","xDt":"31-DEC-2999","cAct":"-","yPC":"9.97","mPC":"5.68"},{"symbol":"HDFC","open":"1,255.20","high":"1,259.00","low":"1,212.35","ltP":"1,234.50","ptsC":"-21.05","per":"-1.68","trdVol":"27.69","trdVolM":"2.77","ntP":"341.18","mVal":"3.41","wkhi":"1,372.40","wklo":"1,011.45","wkhicm_adj":"1,177.80","wklocm_adj":"755.00","xDt":"30-MAR-2016","cAct":"INTERIM DIVIDEND - RS 3\/- PER SHARE (PURPOSE REVISED)","yPC":"0.43","mPC":"10.08"},{"symbol":"ZEEL","open":"456.50","high":"456.50","low":"441.60","ltP":"444.55","ptsC":"-8.85","per":"-1.95","trdVol":"12.26","trdVolM":"1.23","ntP":"54.46","mVal":"0.54","wkhi":"458.95","wklo":"317.45","wkhicm_adj":"402.40","wklocm_adj":"251.80","xDt":"31-DEC-2999","cAct":"-","yPC":"39.73","mPC":"9.00"},{"symbol":"TATASTEEL","open":"332.05","high":"334.60","low":"322.75","ltP":"323.10","ptsC":"-6.50","per":"-1.97","trdVol":"57.73","trdVolM":"5.77","ntP":"188.63","mVal":"1.89","wkhi":"364.05","wklo":"199.70","wkhicm_adj":"579.90","wklocm_adj":"332.00","xDt":"31-DEC-2999","cAct":"-","yPC":"-0.49","mPC":"-9.43"},{"symbol":"BHEL","open":"122.90","high":"125.80","low":"120.70","ltP":"120.90","ptsC":"-7.20","per":"-5.62","trdVol":"102.79","trdVolM":"10.28","ntP":"126.61","mVal":"1.27","wkhi":"290.00","wklo":"90.15","wkhicm_adj":"291.50","wklocm_adj":"145.55","xDt":"31-DEC-2999","cAct":"-","yPC":"-52.16","mPC":"-5.36"}],"trdValueSumMil":"83.47","unchanged":0,"trdVolumesum":"2,325.47","advances":30}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</si>
</sst>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9" tint="-0.249977111117893"/>
      <name val="Calibri"/>
      <family val="2"/>
      <scheme val="minor"/>
    </font>
    <font>
      <sz val="9"/>
      <color rgb="FF212121"/>
      <name val="Consolas"/>
      <family val="3"/>
    </font>
    <font>
      <sz val="9"/>
      <color rgb="FF881391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Font="1"/>
    <xf numFmtId="0" fontId="3" fillId="0" borderId="0" xfId="0" applyFont="1" applyAlignment="1">
      <alignment horizontal="right"/>
    </xf>
    <xf numFmtId="0" fontId="0" fillId="0" borderId="0" xfId="0" applyNumberFormat="1"/>
    <xf numFmtId="0" fontId="2" fillId="2" borderId="1" xfId="0" applyFont="1" applyFill="1" applyBorder="1"/>
    <xf numFmtId="0" fontId="2" fillId="0" borderId="1" xfId="0" applyFont="1" applyBorder="1"/>
    <xf numFmtId="0" fontId="0" fillId="0" borderId="1" xfId="0" applyBorder="1"/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vertical="top" wrapText="1"/>
    </xf>
    <xf numFmtId="164" fontId="0" fillId="0" borderId="1" xfId="0" applyNumberFormat="1" applyBorder="1"/>
    <xf numFmtId="10" fontId="0" fillId="0" borderId="1" xfId="1" applyNumberFormat="1" applyFont="1" applyBorder="1"/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0" fillId="0" borderId="1" xfId="0" applyFont="1" applyBorder="1"/>
    <xf numFmtId="0" fontId="2" fillId="0" borderId="0" xfId="0" applyFont="1"/>
    <xf numFmtId="19" fontId="0" fillId="0" borderId="1" xfId="0" applyNumberFormat="1" applyBorder="1"/>
  </cellXfs>
  <cellStyles count="2">
    <cellStyle name="Normal" xfId="0" builtinId="0"/>
    <cellStyle name="Percent" xfId="1" builtinId="5"/>
  </cellStyles>
  <dxfs count="8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niftyStockWatch_1" refreshOnLoad="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iftyMidcap50StockWatch_1" refreshOnLoad="1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juniorNiftyStockWatch_1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501"/>
  <sheetViews>
    <sheetView tabSelected="1" topLeftCell="D1" workbookViewId="0">
      <selection activeCell="E14" sqref="E14"/>
    </sheetView>
  </sheetViews>
  <sheetFormatPr defaultRowHeight="15" x14ac:dyDescent="0.25"/>
  <cols>
    <col min="1" max="1" width="25" customWidth="1"/>
    <col min="2" max="2" width="255.7109375" customWidth="1"/>
    <col min="3" max="3" width="14.85546875" style="1" bestFit="1" customWidth="1"/>
    <col min="4" max="4" width="11.5703125" customWidth="1"/>
    <col min="5" max="5" width="81.140625" customWidth="1"/>
    <col min="6" max="6" width="11" customWidth="1"/>
    <col min="7" max="7" width="9.140625" customWidth="1"/>
    <col min="8" max="8" width="16.85546875" bestFit="1" customWidth="1"/>
    <col min="9" max="10" width="9.140625" customWidth="1"/>
    <col min="11" max="11" width="17" bestFit="1" customWidth="1"/>
    <col min="12" max="12" width="10.42578125" bestFit="1" customWidth="1"/>
    <col min="14" max="16" width="81.140625" bestFit="1" customWidth="1"/>
  </cols>
  <sheetData>
    <row r="1" spans="1:13" ht="22.5" customHeight="1" x14ac:dyDescent="0.25">
      <c r="D1" s="2"/>
      <c r="E1" s="3"/>
    </row>
    <row r="2" spans="1:13" x14ac:dyDescent="0.25">
      <c r="A2" t="str">
        <f>MID(M2, 14, 4)</f>
        <v/>
      </c>
    </row>
    <row r="6" spans="1:13" x14ac:dyDescent="0.25">
      <c r="A6" t="str">
        <f>MID(M6, 14, 4)</f>
        <v/>
      </c>
    </row>
    <row r="8" spans="1:13" x14ac:dyDescent="0.25">
      <c r="C8" s="14" t="s">
        <v>163</v>
      </c>
    </row>
    <row r="9" spans="1:13" x14ac:dyDescent="0.25">
      <c r="A9" t="str">
        <f>MID(M9, 14, 4)</f>
        <v/>
      </c>
      <c r="B9" t="s">
        <v>0</v>
      </c>
      <c r="C9" s="4" t="s">
        <v>1</v>
      </c>
      <c r="D9" s="4" t="s">
        <v>2</v>
      </c>
      <c r="E9" s="4" t="s">
        <v>3</v>
      </c>
      <c r="F9" s="4" t="s">
        <v>4</v>
      </c>
      <c r="G9" s="4" t="s">
        <v>5</v>
      </c>
      <c r="H9" s="4" t="s">
        <v>6</v>
      </c>
      <c r="I9" s="4" t="s">
        <v>7</v>
      </c>
      <c r="J9" s="4" t="s">
        <v>8</v>
      </c>
      <c r="K9" s="4" t="s">
        <v>58</v>
      </c>
      <c r="L9" s="4" t="s">
        <v>165</v>
      </c>
    </row>
    <row r="10" spans="1:13" x14ac:dyDescent="0.25">
      <c r="B10" t="str">
        <f>MID($N$500,FIND(C10,$N$500)-1,FIND("}",$N$500,FIND(C10,$N$500))-FIND(C10,$N$500)+1)</f>
        <v>"ACC","open":"1,530.00","high":"1,546.00","low":"1,525.05","ltP":"1,541.20","ptsC":"18.25","per":"1.20","trdVol":"5.72","trdVolM":"0.57","ntP":"88.01","mVal":"0.88","wkhi":"1,546.00","wklo":"1,174.00","wkhicm_adj":"1,564.65","wklocm_adj":"970.15","xDt":"31-DEC-2999","cAct":"-","yPC":"4.79","mPC":"7.81"</v>
      </c>
      <c r="C10" s="5" t="s">
        <v>9</v>
      </c>
      <c r="D10" s="6" t="str">
        <f t="shared" ref="D10:G31" si="0">MID($B10,FIND(D$9,$B10)+LEN(D$9)+3,FIND(CHAR(34),$B10,FIND(D$9,$B10)+LEN(D$9)+3)-(FIND(D$9,$B10)+LEN(D$9)+3))</f>
        <v>1,530.00</v>
      </c>
      <c r="E10" s="6" t="str">
        <f t="shared" si="0"/>
        <v>1,546.00</v>
      </c>
      <c r="F10" s="6" t="str">
        <f t="shared" si="0"/>
        <v>1,525.05</v>
      </c>
      <c r="G10" s="6" t="str">
        <f t="shared" si="0"/>
        <v>1,541.20</v>
      </c>
      <c r="H10" s="7" t="str">
        <f t="shared" ref="H10:H60" si="1">IF(AND(E10=0, F10=0, D10=0),"  ",IF(E10= D10,"SHORT ",IF(F10= D10,"LONG ",IF(E10&lt;&gt; F10&lt;&gt; D10,"   "))))</f>
        <v xml:space="preserve">   </v>
      </c>
      <c r="I10" s="8" t="str">
        <f>IF(AND(E10=0,F10=0,D10=0),"  ",IF(D10=F10,ROUND(((SQRT(F10) +0.0833) ^2),0),IF(E10=D10,ROUND(((SQRT(E10) -0.0833) ^2),0),IF(E10&lt;&gt;F10&lt;&gt;D10,"   "))))</f>
        <v xml:space="preserve">   </v>
      </c>
      <c r="J10" s="9" t="str">
        <f>IF(AND(E10=0, F10=0, D10=0),"  ",IF(E10= D10,D10+0.005*D10,IF(F10= D10,D10-0.005*D10,IF(E10&lt;&gt; F10&lt;&gt; D10,"   "))))</f>
        <v xml:space="preserve">   </v>
      </c>
      <c r="K10" s="10" t="str">
        <f>IF(AND(E10=0, F10=0, D10=0),"  ",IF(E10= D10,(I10-G10)/I10,IF(F10= D10,(G10-I10)/I10,IF(E10&lt;&gt; F10&lt;&gt; D10,"   "))))</f>
        <v xml:space="preserve">   </v>
      </c>
      <c r="L10" s="6"/>
      <c r="M10" s="11"/>
    </row>
    <row r="11" spans="1:13" x14ac:dyDescent="0.25">
      <c r="B11" t="str">
        <f t="shared" ref="B11:B60" si="2">MID($N$500,FIND(C11,$N$500)-1,FIND("}",$N$500,FIND(C11,$N$500))-FIND(C11,$N$500)+1)</f>
        <v>"ADANIPORTS","open":"192.70","high":"194.00","low":"185.45","ltP":"190.60","ptsC":"-1.10","per":"-0.57","trdVol":"34.61","trdVolM":"3.46","ntP":"65.54","mVal":"0.66","wkhi":"374.80","wklo":"169.15","wkhicm_adj":"308.75","wklocm_adj":"141.00","xDt":"22-MAR-2016","cAct":"INTERIM DIVIDEND - RS 1.10\/- PER SHARE (PURPOSE REVISED)","yPC":"-42.76","mPC":"-20.99"</v>
      </c>
      <c r="C11" s="5" t="s">
        <v>60</v>
      </c>
      <c r="D11" s="6" t="str">
        <f t="shared" si="0"/>
        <v>192.70</v>
      </c>
      <c r="E11" s="6" t="str">
        <f t="shared" si="0"/>
        <v>194.00</v>
      </c>
      <c r="F11" s="6" t="str">
        <f t="shared" si="0"/>
        <v>185.45</v>
      </c>
      <c r="G11" s="6" t="str">
        <f t="shared" si="0"/>
        <v>190.60</v>
      </c>
      <c r="H11" s="7" t="str">
        <f t="shared" si="1"/>
        <v xml:space="preserve">   </v>
      </c>
      <c r="I11" s="8" t="str">
        <f>IF(AND(E11=0,F11=0,D11=0),"  ",IF(D11=F11,ROUND(((SQRT(F11) +0.0833) ^2),0),IF(E11=D11,ROUND(((SQRT(E11) -0.0833) ^2),0),IF(E11&lt;&gt;F11&lt;&gt;D11,"   "))))</f>
        <v xml:space="preserve">   </v>
      </c>
      <c r="J11" s="9" t="str">
        <f>IF(AND(E11=0, F11=0, D11=0),"  ",IF(E11= D11,D11+0.005*D11,IF(F11= D11,D11-0.005*D11,IF(E11&lt;&gt; F11&lt;&gt; D11,"   "))))</f>
        <v xml:space="preserve">   </v>
      </c>
      <c r="K11" s="10" t="str">
        <f>IF(AND(E11=0, F11=0, D11=0),"  ",IF(E11= D11,(I11-G11)/I11,IF(F11= D11,(G11-I11)/I11,IF(E11&lt;&gt; F11&lt;&gt; D11,"   "))))</f>
        <v xml:space="preserve">   </v>
      </c>
      <c r="L11" s="15"/>
      <c r="M11" s="11"/>
    </row>
    <row r="12" spans="1:13" x14ac:dyDescent="0.25">
      <c r="B12" t="str">
        <f t="shared" si="2"/>
        <v>"AMBUJACEM","open":"232.00","high":"232.60","low":"228.65","ltP":"229.40","ptsC":"-0.85","per":"-0.37","trdVol":"12.46","trdVolM":"1.25","ntP":"28.64","mVal":"0.29","wkhi":"257.30","wklo":"185.00","wkhicm_adj":"243.80","wklocm_adj":"150.10","xDt":"31-DEC-2999","cAct":"-","yPC":"-0.24","mPC":"1.82"</v>
      </c>
      <c r="C12" s="5" t="s">
        <v>10</v>
      </c>
      <c r="D12" s="6" t="str">
        <f t="shared" si="0"/>
        <v>232.00</v>
      </c>
      <c r="E12" s="6" t="str">
        <f t="shared" si="0"/>
        <v>232.60</v>
      </c>
      <c r="F12" s="6" t="str">
        <f t="shared" si="0"/>
        <v>228.65</v>
      </c>
      <c r="G12" s="6" t="str">
        <f t="shared" si="0"/>
        <v>229.40</v>
      </c>
      <c r="H12" s="7" t="str">
        <f t="shared" si="1"/>
        <v xml:space="preserve">   </v>
      </c>
      <c r="I12" s="8" t="str">
        <f t="shared" ref="I12:I60" si="3">IF(AND(E12=0,F12=0,D12=0),"  ",IF(D12=F12,ROUND(((SQRT(F12) +0.0833) ^2),0),IF(E12=D12,ROUND(((SQRT(E12) -0.0833) ^2),0),IF(E12&lt;&gt;F12&lt;&gt;D12,"   "))))</f>
        <v xml:space="preserve">   </v>
      </c>
      <c r="J12" s="9" t="str">
        <f t="shared" ref="J12:J60" si="4">IF(AND(E12=0, F12=0, D12=0),"  ",IF(E12= D12,D12+0.005*D12,IF(F12= D12,D12-0.005*D12,IF(E12&lt;&gt; F12&lt;&gt; D12,"   "))))</f>
        <v xml:space="preserve">   </v>
      </c>
      <c r="K12" s="10" t="str">
        <f t="shared" ref="K12:K13" si="5">IF(AND(E12=0, F12=0, D12=0),"  ",IF(E12= D12,(I12-G12)/I12,IF(F12= D12,(G12-I12)/I12,IF(E12&lt;&gt; F12&lt;&gt; D12,"   "))))</f>
        <v xml:space="preserve">   </v>
      </c>
      <c r="L12" s="6"/>
      <c r="M12" s="12"/>
    </row>
    <row r="13" spans="1:13" x14ac:dyDescent="0.25">
      <c r="B13" t="str">
        <f t="shared" si="2"/>
        <v>"ASIANPAINT","open":"994.00","high":"1,004.25","low":"978.45","ltP":"983.20","ptsC":"-15.05","per":"-1.51","trdVol":"13.73","trdVolM":"1.37","ntP":"135.72","mVal":"1.36","wkhi":"1,004.25","wklo":"693.00","wkhicm_adj":"802.20","wklocm_adj":"460.20","xDt":"31-DEC-2999","cAct":"-","yPC":"28.13","mPC":"10.49"</v>
      </c>
      <c r="C13" s="5" t="s">
        <v>11</v>
      </c>
      <c r="D13" s="6" t="str">
        <f t="shared" si="0"/>
        <v>994.00</v>
      </c>
      <c r="E13" s="6" t="str">
        <f t="shared" si="0"/>
        <v>1,004.25</v>
      </c>
      <c r="F13" s="6" t="str">
        <f t="shared" si="0"/>
        <v>978.45</v>
      </c>
      <c r="G13" s="6" t="str">
        <f t="shared" si="0"/>
        <v>983.20</v>
      </c>
      <c r="H13" s="7" t="str">
        <f t="shared" si="1"/>
        <v xml:space="preserve">   </v>
      </c>
      <c r="I13" s="8" t="str">
        <f t="shared" si="3"/>
        <v xml:space="preserve">   </v>
      </c>
      <c r="J13" s="9" t="str">
        <f t="shared" si="4"/>
        <v xml:space="preserve">   </v>
      </c>
      <c r="K13" s="10" t="str">
        <f t="shared" si="5"/>
        <v xml:space="preserve">   </v>
      </c>
      <c r="L13" s="6"/>
      <c r="M13" s="12"/>
    </row>
    <row r="14" spans="1:13" x14ac:dyDescent="0.25">
      <c r="B14" t="str">
        <f t="shared" si="2"/>
        <v>"AUROPHARMA","open":"769.95","high":"775.00","low":"753.00","ltP":"756.65","ptsC":"-6.45","per":"-0.85","trdVol":"11.82","trdVolM":"1.18","ntP":"90.41","mVal":"0.90","wkhi":"891.50","wklo":"582.00","wkhicm_adj":"1,152.40","wklocm_adj":"286.55","xDt":"31-DEC-2999","cAct":"-","yPC":"16.03","mPC":"-1.08"</v>
      </c>
      <c r="C14" s="5" t="s">
        <v>61</v>
      </c>
      <c r="D14" s="6" t="str">
        <f t="shared" si="0"/>
        <v>769.95</v>
      </c>
      <c r="E14" s="6" t="str">
        <f t="shared" si="0"/>
        <v>775.00</v>
      </c>
      <c r="F14" s="6" t="str">
        <f t="shared" si="0"/>
        <v>753.00</v>
      </c>
      <c r="G14" s="6" t="str">
        <f t="shared" si="0"/>
        <v>756.65</v>
      </c>
      <c r="H14" s="7" t="str">
        <f t="shared" si="1"/>
        <v xml:space="preserve">   </v>
      </c>
      <c r="I14" s="8" t="str">
        <f t="shared" ref="I14" si="6">IF(AND(E14=0,F14=0,D14=0),"  ",IF(D14=F14,ROUND(((SQRT(F14) +0.0833) ^2),0),IF(E14=D14,ROUND(((SQRT(E14) -0.0833) ^2),0),IF(E14&lt;&gt;F14&lt;&gt;D14,"   "))))</f>
        <v xml:space="preserve">   </v>
      </c>
      <c r="J14" s="9" t="str">
        <f t="shared" ref="J14" si="7">IF(AND(E14=0, F14=0, D14=0),"  ",IF(E14= D14,D14+0.005*D14,IF(F14= D14,D14-0.005*D14,IF(E14&lt;&gt; F14&lt;&gt; D14,"   "))))</f>
        <v xml:space="preserve">   </v>
      </c>
      <c r="K14" s="10" t="str">
        <f t="shared" ref="K14" si="8">IF(AND(E14=0, F14=0, D14=0),"  ",IF(E14= D14,(I14-G14)/I14,IF(F14= D14,(G14-I14)/I14,IF(E14&lt;&gt; F14&lt;&gt; D14,"   "))))</f>
        <v xml:space="preserve">   </v>
      </c>
      <c r="L14" s="6"/>
      <c r="M14" s="12"/>
    </row>
    <row r="15" spans="1:13" x14ac:dyDescent="0.25">
      <c r="B15" t="str">
        <f t="shared" si="2"/>
        <v>"AXISBANK","open":"513.95","high":"522.05","low":"512.65","ltP":"514.00","ptsC":"1.60","per":"0.31","trdVol":"44.47","trdVolM":"4.45","ntP":"230.26","mVal":"2.30","wkhi":"613.45","wklo":"366.75","wkhicm_adj":"493.20","wklocm_adj":"216.52","xDt":"31-DEC-2999","cAct":"-","yPC":"-10.55","mPC":"10.42"</v>
      </c>
      <c r="C15" s="5" t="s">
        <v>12</v>
      </c>
      <c r="D15" s="6" t="str">
        <f t="shared" si="0"/>
        <v>513.95</v>
      </c>
      <c r="E15" s="6" t="str">
        <f t="shared" si="0"/>
        <v>522.05</v>
      </c>
      <c r="F15" s="6" t="str">
        <f t="shared" si="0"/>
        <v>512.65</v>
      </c>
      <c r="G15" s="6" t="str">
        <f t="shared" si="0"/>
        <v>514.00</v>
      </c>
      <c r="H15" s="7" t="str">
        <f t="shared" si="1"/>
        <v xml:space="preserve">   </v>
      </c>
      <c r="I15" s="8" t="str">
        <f t="shared" si="3"/>
        <v xml:space="preserve">   </v>
      </c>
      <c r="J15" s="9" t="str">
        <f t="shared" si="4"/>
        <v xml:space="preserve">   </v>
      </c>
      <c r="K15" s="10" t="str">
        <f t="shared" ref="K15:K21" si="9">IF(AND(E15=0, F15=0, D15=0),"  ",IF(E15= D15,(I15-G15)/I15,IF(F15= D15,(G15-I15)/I15,IF(E15&lt;&gt; F15&lt;&gt; D15,"   "))))</f>
        <v xml:space="preserve">   </v>
      </c>
      <c r="L15" s="6"/>
      <c r="M15" s="12"/>
    </row>
    <row r="16" spans="1:13" x14ac:dyDescent="0.25">
      <c r="B16" t="str">
        <f t="shared" si="2"/>
        <v>"BAJAJ-AUTO","open":"2,583.00","high":"2,610.00","low":"2,570.60","ltP":"2,608.95","ptsC":"45.25","per":"1.77","trdVol":"2.54","trdVolM":"0.25","ntP":"65.90","mVal":"0.66","wkhi":"2,656.00","wklo":"2,133.65","wkhicm_adj":"2,695.00","wklocm_adj":"1,793.20","xDt":"16-MAR-2016","cAct":"INTERIM DIVIDEND - RS 50\/- PER SHARE (PURPOSE REVISED)","yPC":"13.29","mPC":"2.38"</v>
      </c>
      <c r="C16" s="5" t="s">
        <v>13</v>
      </c>
      <c r="D16" s="6" t="str">
        <f t="shared" si="0"/>
        <v>2,583.00</v>
      </c>
      <c r="E16" s="6" t="str">
        <f t="shared" si="0"/>
        <v>2,610.00</v>
      </c>
      <c r="F16" s="6" t="str">
        <f t="shared" si="0"/>
        <v>2,570.60</v>
      </c>
      <c r="G16" s="6" t="str">
        <f t="shared" si="0"/>
        <v>2,608.95</v>
      </c>
      <c r="H16" s="7" t="str">
        <f t="shared" si="1"/>
        <v xml:space="preserve">   </v>
      </c>
      <c r="I16" s="8" t="str">
        <f t="shared" si="3"/>
        <v xml:space="preserve">   </v>
      </c>
      <c r="J16" s="9" t="str">
        <f t="shared" si="4"/>
        <v xml:space="preserve">   </v>
      </c>
      <c r="K16" s="10" t="str">
        <f t="shared" si="9"/>
        <v xml:space="preserve">   </v>
      </c>
      <c r="L16" s="6"/>
      <c r="M16" s="12"/>
    </row>
    <row r="17" spans="2:13" x14ac:dyDescent="0.25">
      <c r="B17" t="str">
        <f t="shared" si="2"/>
        <v>"BANKBARODA","open":"141.00","high":"141.40","low":"136.50","ltP":"138.70","ptsC":"0.10","per":"0.07","trdVol":"64.08","trdVolM":"6.41","ntP":"88.95","mVal":"0.89","wkhi":"216.30","wklo":"109.35","wkhicm_adj":"1,104.70","wklocm_adj":"511.15","xDt":"31-DEC-2999","cAct":"-","yPC":"-13.37","mPC":"-13.88"</v>
      </c>
      <c r="C17" s="5" t="s">
        <v>14</v>
      </c>
      <c r="D17" s="6" t="str">
        <f t="shared" si="0"/>
        <v>141.00</v>
      </c>
      <c r="E17" s="6" t="str">
        <f t="shared" si="0"/>
        <v>141.40</v>
      </c>
      <c r="F17" s="6" t="str">
        <f t="shared" si="0"/>
        <v>136.50</v>
      </c>
      <c r="G17" s="6" t="str">
        <f t="shared" si="0"/>
        <v>138.70</v>
      </c>
      <c r="H17" s="7" t="str">
        <f t="shared" si="1"/>
        <v xml:space="preserve">   </v>
      </c>
      <c r="I17" s="8" t="str">
        <f t="shared" si="3"/>
        <v xml:space="preserve">   </v>
      </c>
      <c r="J17" s="9" t="str">
        <f t="shared" si="4"/>
        <v xml:space="preserve">   </v>
      </c>
      <c r="K17" s="10" t="str">
        <f t="shared" si="9"/>
        <v xml:space="preserve">   </v>
      </c>
      <c r="L17" s="6"/>
      <c r="M17" s="12"/>
    </row>
    <row r="18" spans="2:13" x14ac:dyDescent="0.25">
      <c r="B18" t="str">
        <f t="shared" si="2"/>
        <v>"BHARTIARTL","open":"353.10","high":"357.20","low":"352.25","ltP":"355.70","ptsC":"4.45","per":"1.27","trdVol":"21.42","trdVolM":"2.14","ntP":"75.99","mVal":"0.76","wkhi":"452.45","wklo":"282.30","wkhicm_adj":"420.00","wklocm_adj":"281.90","xDt":"31-DEC-2999","cAct":"-","yPC":"-11.74","mPC":"-4.65"</v>
      </c>
      <c r="C18" s="5" t="s">
        <v>15</v>
      </c>
      <c r="D18" s="6" t="str">
        <f t="shared" si="0"/>
        <v>353.10</v>
      </c>
      <c r="E18" s="6" t="str">
        <f t="shared" si="0"/>
        <v>357.20</v>
      </c>
      <c r="F18" s="6" t="str">
        <f t="shared" si="0"/>
        <v>352.25</v>
      </c>
      <c r="G18" s="6" t="str">
        <f t="shared" si="0"/>
        <v>355.70</v>
      </c>
      <c r="H18" s="7" t="str">
        <f t="shared" si="1"/>
        <v xml:space="preserve">   </v>
      </c>
      <c r="I18" s="8" t="str">
        <f t="shared" si="3"/>
        <v xml:space="preserve">   </v>
      </c>
      <c r="J18" s="9" t="str">
        <f t="shared" si="4"/>
        <v xml:space="preserve">   </v>
      </c>
      <c r="K18" s="10" t="str">
        <f t="shared" si="9"/>
        <v xml:space="preserve">   </v>
      </c>
      <c r="L18" s="6"/>
      <c r="M18" s="12"/>
    </row>
    <row r="19" spans="2:13" x14ac:dyDescent="0.25">
      <c r="B19" t="str">
        <f t="shared" si="2"/>
        <v>"BHEL","open":"122.90","high":"125.80","low":"120.70","ltP":"120.90","ptsC":"-7.20","per":"-5.62","trdVol":"102.79","trdVolM":"10.28","ntP":"126.61","mVal":"1.27","wkhi":"290.00","wklo":"90.15","wkhicm_adj":"291.50","wklocm_adj":"145.55","xDt":"31-DEC-2999","cAct":"-","yPC":"-52.16","mPC":"-5.36"</v>
      </c>
      <c r="C19" s="5" t="s">
        <v>16</v>
      </c>
      <c r="D19" s="6" t="str">
        <f t="shared" si="0"/>
        <v>122.90</v>
      </c>
      <c r="E19" s="6" t="str">
        <f t="shared" si="0"/>
        <v>125.80</v>
      </c>
      <c r="F19" s="6" t="str">
        <f t="shared" si="0"/>
        <v>120.70</v>
      </c>
      <c r="G19" s="6" t="str">
        <f t="shared" si="0"/>
        <v>120.90</v>
      </c>
      <c r="H19" s="7" t="str">
        <f t="shared" si="1"/>
        <v xml:space="preserve">   </v>
      </c>
      <c r="I19" s="8" t="str">
        <f t="shared" si="3"/>
        <v xml:space="preserve">   </v>
      </c>
      <c r="J19" s="9" t="str">
        <f t="shared" si="4"/>
        <v xml:space="preserve">   </v>
      </c>
      <c r="K19" s="10" t="str">
        <f t="shared" si="9"/>
        <v xml:space="preserve">   </v>
      </c>
      <c r="L19" s="6"/>
      <c r="M19" s="12"/>
    </row>
    <row r="20" spans="2:13" x14ac:dyDescent="0.25">
      <c r="B20" t="str">
        <f t="shared" si="2"/>
        <v>"BOSCHLTD","open":"21,811.00","high":"22,399.90","low":"21,811.00","ltP":"22,225.00","ptsC":"278.00","per":"1.27","trdVol":"0.13","trdVolM":"0.01","ntP":"29.36","mVal":"0.29","wkhi":"26,719.95","wklo":"15,736.05","wkhicm_adj":"19,570.00","wklocm_adj":"8,450.00","xDt":"31-DEC-2999","cAct":"-","yPC":"-3.77","mPC":"9.88"</v>
      </c>
      <c r="C20" s="5" t="s">
        <v>17</v>
      </c>
      <c r="D20" s="6" t="str">
        <f t="shared" si="0"/>
        <v>21,811.00</v>
      </c>
      <c r="E20" s="6" t="str">
        <f t="shared" si="0"/>
        <v>22,399.90</v>
      </c>
      <c r="F20" s="6" t="str">
        <f t="shared" si="0"/>
        <v>21,811.00</v>
      </c>
      <c r="G20" s="6" t="str">
        <f t="shared" si="0"/>
        <v>22,225.00</v>
      </c>
      <c r="H20" s="7" t="str">
        <f t="shared" si="1"/>
        <v xml:space="preserve">LONG </v>
      </c>
      <c r="I20" s="8">
        <f t="shared" si="3"/>
        <v>21836</v>
      </c>
      <c r="J20" s="9">
        <f t="shared" si="4"/>
        <v>21701.945</v>
      </c>
      <c r="K20" s="10">
        <f t="shared" si="9"/>
        <v>1.7814618061916102E-2</v>
      </c>
      <c r="L20" s="6"/>
      <c r="M20" s="12"/>
    </row>
    <row r="21" spans="2:13" x14ac:dyDescent="0.25">
      <c r="B21" t="str">
        <f t="shared" si="2"/>
        <v>"BPCL","open":"1,020.00","high":"1,023.95","low":"993.60","ltP":"999.10","ptsC":"-12.90","per":"-1.27","trdVol":"11.65","trdVolM":"1.16","ntP":"116.76","mVal":"1.17","wkhi":"1,024.70","wklo":"731.15","wkhicm_adj":"785.00","wklocm_adj":"316.05","xDt":"31-DEC-2999","cAct":"-","yPC":"22.18","mPC":"1.71"</v>
      </c>
      <c r="C21" s="5" t="s">
        <v>18</v>
      </c>
      <c r="D21" s="6" t="str">
        <f t="shared" si="0"/>
        <v>1,020.00</v>
      </c>
      <c r="E21" s="6" t="str">
        <f t="shared" si="0"/>
        <v>1,023.95</v>
      </c>
      <c r="F21" s="6" t="str">
        <f t="shared" si="0"/>
        <v>993.60</v>
      </c>
      <c r="G21" s="6" t="str">
        <f t="shared" si="0"/>
        <v>999.10</v>
      </c>
      <c r="H21" s="7" t="str">
        <f t="shared" si="1"/>
        <v xml:space="preserve">   </v>
      </c>
      <c r="I21" s="8" t="str">
        <f t="shared" si="3"/>
        <v xml:space="preserve">   </v>
      </c>
      <c r="J21" s="9" t="str">
        <f t="shared" si="4"/>
        <v xml:space="preserve">   </v>
      </c>
      <c r="K21" s="10" t="str">
        <f t="shared" si="9"/>
        <v xml:space="preserve">   </v>
      </c>
      <c r="L21" s="6"/>
      <c r="M21" s="12"/>
    </row>
    <row r="22" spans="2:13" x14ac:dyDescent="0.25">
      <c r="B22" t="str">
        <f t="shared" si="2"/>
        <v>"CIPLA","open":"476.95","high":"478.50","low":"470.00","ltP":"474.00","ptsC":"0.55","per":"0.12","trdVol":"10.76","trdVolM":"1.08","ntP":"51.09","mVal":"0.51","wkhi":"745.00","wklo":"457.45","wkhicm_adj":"673.00","wklocm_adj":"366.50","xDt":"31-DEC-2999","cAct":"-","yPC":"-26.40","mPC":"-12.25"</v>
      </c>
      <c r="C22" s="5" t="s">
        <v>20</v>
      </c>
      <c r="D22" s="6" t="str">
        <f t="shared" si="0"/>
        <v>476.95</v>
      </c>
      <c r="E22" s="6" t="str">
        <f t="shared" si="0"/>
        <v>478.50</v>
      </c>
      <c r="F22" s="6" t="str">
        <f t="shared" si="0"/>
        <v>470.00</v>
      </c>
      <c r="G22" s="6" t="str">
        <f t="shared" si="0"/>
        <v>474.00</v>
      </c>
      <c r="H22" s="7" t="str">
        <f t="shared" si="1"/>
        <v xml:space="preserve">   </v>
      </c>
      <c r="I22" s="8" t="str">
        <f t="shared" si="3"/>
        <v xml:space="preserve">   </v>
      </c>
      <c r="J22" s="9" t="str">
        <f t="shared" si="4"/>
        <v xml:space="preserve">   </v>
      </c>
      <c r="K22" s="10" t="str">
        <f t="shared" ref="K22:K60" si="10">IF(AND(E22=0, F22=0, D22=0),"  ",IF(E22= D22,(I22-G22)/I22,IF(F22= D22,(G22-I22)/I22,IF(E22&lt;&gt; F22&lt;&gt; D22,"   "))))</f>
        <v xml:space="preserve">   </v>
      </c>
      <c r="L22" s="6"/>
      <c r="M22" s="12"/>
    </row>
    <row r="23" spans="2:13" x14ac:dyDescent="0.25">
      <c r="B23" t="str">
        <f t="shared" si="2"/>
        <v>"COALINDIA","open":"289.25","high":"295.95","low":"288.50","ltP":"291.75","ptsC":"10.45","per":"3.71","trdVol":"173.93","trdVolM":"17.39","ntP":"509.23","mVal":"5.09","wkhi":"447.10","wklo":"271.65","wkhicm_adj":"423.70","wklocm_adj":"240.30","xDt":"14-MAR-2016","cAct":"INTERIM DIVIDEND - RS 27.40\/- PER SHARE (PURPOSE REVISED)","yPC":"-23.89","mPC":"0.29"</v>
      </c>
      <c r="C23" s="5" t="s">
        <v>21</v>
      </c>
      <c r="D23" s="6" t="str">
        <f t="shared" si="0"/>
        <v>289.25</v>
      </c>
      <c r="E23" s="6" t="str">
        <f t="shared" si="0"/>
        <v>295.95</v>
      </c>
      <c r="F23" s="6" t="str">
        <f t="shared" si="0"/>
        <v>288.50</v>
      </c>
      <c r="G23" s="6" t="str">
        <f t="shared" si="0"/>
        <v>291.75</v>
      </c>
      <c r="H23" s="7" t="str">
        <f t="shared" si="1"/>
        <v xml:space="preserve">   </v>
      </c>
      <c r="I23" s="8" t="str">
        <f t="shared" si="3"/>
        <v xml:space="preserve">   </v>
      </c>
      <c r="J23" s="9" t="str">
        <f t="shared" si="4"/>
        <v xml:space="preserve">   </v>
      </c>
      <c r="K23" s="10" t="str">
        <f t="shared" si="10"/>
        <v xml:space="preserve">   </v>
      </c>
      <c r="L23" s="6"/>
      <c r="M23" s="12"/>
    </row>
    <row r="24" spans="2:13" x14ac:dyDescent="0.25">
      <c r="B24" t="str">
        <f t="shared" si="2"/>
        <v>"DRREDDY","open":"3,112.00","high":"3,176.35","low":"3,112.00","ltP":"3,172.50","ptsC":"56.45","per":"1.81","trdVol":"2.44","trdVolM":"0.24","ntP":"77.16","mVal":"0.77","wkhi":"4,386.60","wklo":"2,750.05","wkhicm_adj":"3,666.25","wklocm_adj":"2,246.50","xDt":"31-DEC-2999","cAct":"-","yPC":"-10.08","mPC":"1.33"</v>
      </c>
      <c r="C24" s="5" t="s">
        <v>22</v>
      </c>
      <c r="D24" s="6" t="str">
        <f t="shared" si="0"/>
        <v>3,112.00</v>
      </c>
      <c r="E24" s="6" t="str">
        <f t="shared" si="0"/>
        <v>3,176.35</v>
      </c>
      <c r="F24" s="6" t="str">
        <f t="shared" si="0"/>
        <v>3,112.00</v>
      </c>
      <c r="G24" s="6" t="str">
        <f t="shared" si="0"/>
        <v>3,172.50</v>
      </c>
      <c r="H24" s="7" t="str">
        <f t="shared" si="1"/>
        <v xml:space="preserve">LONG </v>
      </c>
      <c r="I24" s="8">
        <f t="shared" si="3"/>
        <v>3121</v>
      </c>
      <c r="J24" s="9">
        <f t="shared" si="4"/>
        <v>3096.44</v>
      </c>
      <c r="K24" s="10">
        <f t="shared" si="10"/>
        <v>1.650112143543736E-2</v>
      </c>
      <c r="L24" s="6"/>
      <c r="M24" s="12"/>
    </row>
    <row r="25" spans="2:13" x14ac:dyDescent="0.25">
      <c r="B25" t="str">
        <f t="shared" si="2"/>
        <v>"EICHERMOT","open":"18,711.00","high":"18,811.00","low":"18,601.00","ltP":"18,790.00","ptsC":"47.70","per":"0.25","trdVol":"0.18","trdVolM":"0.02","ntP":"32.77","mVal":"0.33","wkhi":"21,620.00","wklo":"14,800.00","wkhicm_adj":"15,149.90","wklocm_adj":"4,401.10","xDt":"22-MAR-2016","cAct":"INTERIM DIVIDEND - RS 100\/- PER SHARE","yPC":"4.47","mPC":"-6.58"</v>
      </c>
      <c r="C25" s="5" t="s">
        <v>62</v>
      </c>
      <c r="D25" s="6" t="str">
        <f t="shared" si="0"/>
        <v>18,711.00</v>
      </c>
      <c r="E25" s="6" t="str">
        <f t="shared" si="0"/>
        <v>18,811.00</v>
      </c>
      <c r="F25" s="6" t="str">
        <f t="shared" si="0"/>
        <v>18,601.00</v>
      </c>
      <c r="G25" s="6" t="str">
        <f t="shared" si="0"/>
        <v>18,790.00</v>
      </c>
      <c r="H25" s="7" t="str">
        <f t="shared" si="1"/>
        <v xml:space="preserve">   </v>
      </c>
      <c r="I25" s="8" t="str">
        <f t="shared" ref="I25" si="11">IF(AND(E25=0,F25=0,D25=0),"  ",IF(D25=F25,ROUND(((SQRT(F25) +0.0833) ^2),0),IF(E25=D25,ROUND(((SQRT(E25) -0.0833) ^2),0),IF(E25&lt;&gt;F25&lt;&gt;D25,"   "))))</f>
        <v xml:space="preserve">   </v>
      </c>
      <c r="J25" s="9" t="str">
        <f t="shared" ref="J25" si="12">IF(AND(E25=0, F25=0, D25=0),"  ",IF(E25= D25,D25+0.005*D25,IF(F25= D25,D25-0.005*D25,IF(E25&lt;&gt; F25&lt;&gt; D25,"   "))))</f>
        <v xml:space="preserve">   </v>
      </c>
      <c r="K25" s="10" t="str">
        <f t="shared" ref="K25" si="13">IF(AND(E25=0, F25=0, D25=0),"  ",IF(E25= D25,(I25-G25)/I25,IF(F25= D25,(G25-I25)/I25,IF(E25&lt;&gt; F25&lt;&gt; D25,"   "))))</f>
        <v xml:space="preserve">   </v>
      </c>
      <c r="L25" s="6"/>
      <c r="M25" s="12"/>
    </row>
    <row r="26" spans="2:13" x14ac:dyDescent="0.25">
      <c r="B26" t="str">
        <f t="shared" si="2"/>
        <v>"GAIL","open":"382.45","high":"384.80","low":"377.10","ltP":"380.00","ptsC":"0.70","per":"0.18","trdVol":"19.84","trdVolM":"1.98","ntP":"75.39","mVal":"0.75","wkhi":"417.90","wklo":"260.05","wkhicm_adj":"551.90","wklocm_adj":"328.80","xDt":"31-DEC-2999","cAct":"-","yPC":"0.01","mPC":"1.82"</v>
      </c>
      <c r="C26" s="5" t="s">
        <v>23</v>
      </c>
      <c r="D26" s="6" t="str">
        <f t="shared" si="0"/>
        <v>382.45</v>
      </c>
      <c r="E26" s="6" t="str">
        <f t="shared" si="0"/>
        <v>384.80</v>
      </c>
      <c r="F26" s="6" t="str">
        <f t="shared" si="0"/>
        <v>377.10</v>
      </c>
      <c r="G26" s="6" t="str">
        <f t="shared" si="0"/>
        <v>380.00</v>
      </c>
      <c r="H26" s="7" t="str">
        <f t="shared" si="1"/>
        <v xml:space="preserve">   </v>
      </c>
      <c r="I26" s="8" t="str">
        <f t="shared" si="3"/>
        <v xml:space="preserve">   </v>
      </c>
      <c r="J26" s="9" t="str">
        <f t="shared" si="4"/>
        <v xml:space="preserve">   </v>
      </c>
      <c r="K26" s="10" t="str">
        <f t="shared" si="10"/>
        <v xml:space="preserve">   </v>
      </c>
      <c r="L26" s="6"/>
      <c r="M26" s="12"/>
    </row>
    <row r="27" spans="2:13" x14ac:dyDescent="0.25">
      <c r="B27" t="str">
        <f t="shared" si="2"/>
        <v>"GRASIM","open":"4,372.25","high":"4,404.35","low":"4,341.25","ltP":"4,354.00","ptsC":"-7.25","per":"-0.17","trdVol":"0.31","trdVolM":"0.03","ntP":"13.41","mVal":"0.13","wkhi":"4,404.35","wklo":"3,233.00","wkhicm_adj":"3,789.00","wklocm_adj":"2,426.35","xDt":"31-DEC-2999","cAct":"-","yPC":"23.98","mPC":"5.39"</v>
      </c>
      <c r="C27" s="5" t="s">
        <v>24</v>
      </c>
      <c r="D27" s="6" t="str">
        <f t="shared" si="0"/>
        <v>4,372.25</v>
      </c>
      <c r="E27" s="6" t="str">
        <f t="shared" si="0"/>
        <v>4,404.35</v>
      </c>
      <c r="F27" s="6" t="str">
        <f t="shared" si="0"/>
        <v>4,341.25</v>
      </c>
      <c r="G27" s="6" t="str">
        <f t="shared" si="0"/>
        <v>4,354.00</v>
      </c>
      <c r="H27" s="7" t="str">
        <f t="shared" si="1"/>
        <v xml:space="preserve">   </v>
      </c>
      <c r="I27" s="8" t="str">
        <f t="shared" si="3"/>
        <v xml:space="preserve">   </v>
      </c>
      <c r="J27" s="9" t="str">
        <f t="shared" si="4"/>
        <v xml:space="preserve">   </v>
      </c>
      <c r="K27" s="10" t="str">
        <f t="shared" si="10"/>
        <v xml:space="preserve">   </v>
      </c>
      <c r="L27" s="6"/>
      <c r="M27" s="12"/>
    </row>
    <row r="28" spans="2:13" x14ac:dyDescent="0.25">
      <c r="B28" t="str">
        <f t="shared" si="2"/>
        <v>"HCLTECH","open":"761.10","high":"763.70","low":"745.20","ltP":"747.50","ptsC":"-10.10","per":"-1.33","trdVol":"14.62","trdVolM":"1.46","ntP":"109.79","mVal":"1.10","wkhi":"1,044.95","wklo":"706.40","wkhicm_adj":"1,776.25","wklocm_adj":"1,057.60","xDt":"05-MAY-2016","cAct":"INTERIM DIVIDEND - RS 6\/- PER SHARE (PURPOSE REVISED)","yPC":"-23.73","mPC":"-10.75"</v>
      </c>
      <c r="C28" s="5" t="s">
        <v>25</v>
      </c>
      <c r="D28" s="6" t="str">
        <f t="shared" si="0"/>
        <v>761.10</v>
      </c>
      <c r="E28" s="6" t="str">
        <f t="shared" si="0"/>
        <v>763.70</v>
      </c>
      <c r="F28" s="6" t="str">
        <f t="shared" si="0"/>
        <v>745.20</v>
      </c>
      <c r="G28" s="6" t="str">
        <f t="shared" si="0"/>
        <v>747.50</v>
      </c>
      <c r="H28" s="7" t="str">
        <f t="shared" si="1"/>
        <v xml:space="preserve">   </v>
      </c>
      <c r="I28" s="8" t="str">
        <f t="shared" si="3"/>
        <v xml:space="preserve">   </v>
      </c>
      <c r="J28" s="9" t="str">
        <f t="shared" si="4"/>
        <v xml:space="preserve">   </v>
      </c>
      <c r="K28" s="10" t="str">
        <f t="shared" si="10"/>
        <v xml:space="preserve">   </v>
      </c>
      <c r="L28" s="6"/>
      <c r="M28" s="12"/>
    </row>
    <row r="29" spans="2:13" x14ac:dyDescent="0.25">
      <c r="B29" t="str">
        <f t="shared" si="2"/>
        <v>"HDFCBANK","open":"1,187.00","high":"1,195.00","low":"1,178.10","ltP":"1,179.95","ptsC":"-6.85","per":"-0.58","trdVol":"8.32","trdVolM":"0.83","ntP":"98.56","mVal":"0.99","wkhi":"1,195.00","wklo":"928.00","wkhicm_adj":"965.90","wklocm_adj":"616.80","xDt":"31-DEC-2999","cAct":"-","yPC":"14.63","mPC":"4.96"</v>
      </c>
      <c r="C29" s="5" t="s">
        <v>26</v>
      </c>
      <c r="D29" s="6" t="str">
        <f t="shared" si="0"/>
        <v>1,187.00</v>
      </c>
      <c r="E29" s="6" t="str">
        <f t="shared" si="0"/>
        <v>1,195.00</v>
      </c>
      <c r="F29" s="6" t="str">
        <f t="shared" si="0"/>
        <v>1,178.10</v>
      </c>
      <c r="G29" s="6" t="str">
        <f t="shared" si="0"/>
        <v>1,179.95</v>
      </c>
      <c r="H29" s="7" t="str">
        <f t="shared" si="1"/>
        <v xml:space="preserve">   </v>
      </c>
      <c r="I29" s="8" t="str">
        <f t="shared" si="3"/>
        <v xml:space="preserve">   </v>
      </c>
      <c r="J29" s="9" t="str">
        <f t="shared" si="4"/>
        <v xml:space="preserve">   </v>
      </c>
      <c r="K29" s="10" t="str">
        <f t="shared" si="10"/>
        <v xml:space="preserve">   </v>
      </c>
      <c r="L29" s="6"/>
      <c r="M29" s="12"/>
    </row>
    <row r="30" spans="2:13" x14ac:dyDescent="0.25">
      <c r="B30" t="str">
        <f t="shared" si="2"/>
        <v>"HDFCBANK","open":"1,187.00","high":"1,195.00","low":"1,178.10","ltP":"1,179.95","ptsC":"-6.85","per":"-0.58","trdVol":"8.32","trdVolM":"0.83","ntP":"98.56","mVal":"0.99","wkhi":"1,195.00","wklo":"928.00","wkhicm_adj":"965.90","wklocm_adj":"616.80","xDt":"31-DEC-2999","cAct":"-","yPC":"14.63","mPC":"4.96"</v>
      </c>
      <c r="C30" s="5" t="s">
        <v>27</v>
      </c>
      <c r="D30" s="6" t="str">
        <f t="shared" si="0"/>
        <v>1,187.00</v>
      </c>
      <c r="E30" s="6" t="str">
        <f t="shared" si="0"/>
        <v>1,195.00</v>
      </c>
      <c r="F30" s="6" t="str">
        <f t="shared" si="0"/>
        <v>1,178.10</v>
      </c>
      <c r="G30" s="6" t="str">
        <f t="shared" si="0"/>
        <v>1,179.95</v>
      </c>
      <c r="H30" s="7" t="str">
        <f t="shared" si="1"/>
        <v xml:space="preserve">   </v>
      </c>
      <c r="I30" s="8" t="str">
        <f t="shared" si="3"/>
        <v xml:space="preserve">   </v>
      </c>
      <c r="J30" s="9" t="str">
        <f t="shared" si="4"/>
        <v xml:space="preserve">   </v>
      </c>
      <c r="K30" s="10" t="str">
        <f t="shared" si="10"/>
        <v xml:space="preserve">   </v>
      </c>
      <c r="L30" s="6"/>
      <c r="M30" s="12"/>
    </row>
    <row r="31" spans="2:13" x14ac:dyDescent="0.25">
      <c r="B31" t="str">
        <f t="shared" si="2"/>
        <v>"HEROMOTOCO","open":"3,011.00","high":"3,107.50","low":"3,003.00","ltP":"3,099.00","ptsC":"96.50","per":"3.21","trdVol":"4.53","trdVolM":"0.45","ntP":"139.02","mVal":"1.39","wkhi":"3,172.00","wklo":"2,257.20","wkhicm_adj":"3,269.95","wklocm_adj":"1,907.10","xDt":"21-MAR-2016","cAct":"INTERIM DIVIDEND - RS 40\/- PER SHARE","yPC":"17.24","mPC":"5.05"</v>
      </c>
      <c r="C31" s="5" t="s">
        <v>28</v>
      </c>
      <c r="D31" s="6" t="str">
        <f t="shared" si="0"/>
        <v>3,011.00</v>
      </c>
      <c r="E31" s="6" t="str">
        <f t="shared" si="0"/>
        <v>3,107.50</v>
      </c>
      <c r="F31" s="6" t="str">
        <f t="shared" si="0"/>
        <v>3,003.00</v>
      </c>
      <c r="G31" s="6" t="str">
        <f t="shared" si="0"/>
        <v>3,099.00</v>
      </c>
      <c r="H31" s="7" t="str">
        <f t="shared" si="1"/>
        <v xml:space="preserve">   </v>
      </c>
      <c r="I31" s="8" t="str">
        <f t="shared" si="3"/>
        <v xml:space="preserve">   </v>
      </c>
      <c r="J31" s="9" t="str">
        <f t="shared" si="4"/>
        <v xml:space="preserve">   </v>
      </c>
      <c r="K31" s="10" t="str">
        <f t="shared" si="10"/>
        <v xml:space="preserve">   </v>
      </c>
      <c r="L31" s="6"/>
      <c r="M31" s="12"/>
    </row>
    <row r="32" spans="2:13" x14ac:dyDescent="0.25">
      <c r="B32" t="str">
        <f t="shared" si="2"/>
        <v>"HINDALCO","open":"100.00","high":"103.50","low":"98.15","ltP":"102.95","ptsC":"11.05","per":"12.02","trdVol":"403.00","trdVolM":"40.30","ntP":"408.88","mVal":"4.09","wkhi":"134.00","wklo":"58.80","wkhicm_adj":"198.90","wklocm_adj":"96.70","xDt":"31-DEC-2999","cAct":"-","yPC":"-21.77","mPC":"1.18"</v>
      </c>
      <c r="C32" s="5" t="s">
        <v>29</v>
      </c>
      <c r="D32" s="6" t="str">
        <f t="shared" ref="D32:G52" si="14">MID($B32,FIND(D$9,$B32)+LEN(D$9)+3,FIND(CHAR(34),$B32,FIND(D$9,$B32)+LEN(D$9)+3)-(FIND(D$9,$B32)+LEN(D$9)+3))</f>
        <v>100.00</v>
      </c>
      <c r="E32" s="6" t="str">
        <f t="shared" si="14"/>
        <v>103.50</v>
      </c>
      <c r="F32" s="6" t="str">
        <f t="shared" si="14"/>
        <v>98.15</v>
      </c>
      <c r="G32" s="6" t="str">
        <f t="shared" si="14"/>
        <v>102.95</v>
      </c>
      <c r="H32" s="7" t="str">
        <f t="shared" si="1"/>
        <v xml:space="preserve">   </v>
      </c>
      <c r="I32" s="8" t="str">
        <f t="shared" si="3"/>
        <v xml:space="preserve">   </v>
      </c>
      <c r="J32" s="9" t="str">
        <f t="shared" si="4"/>
        <v xml:space="preserve">   </v>
      </c>
      <c r="K32" s="10" t="str">
        <f t="shared" si="10"/>
        <v xml:space="preserve">   </v>
      </c>
      <c r="L32" s="6"/>
      <c r="M32" s="12"/>
    </row>
    <row r="33" spans="2:13" x14ac:dyDescent="0.25">
      <c r="B33" t="str">
        <f t="shared" si="2"/>
        <v>"HINDUNILVR","open":"864.00","high":"867.20","low":"849.75","ltP":"854.40","ptsC":"-6.80","per":"-0.79","trdVol":"7.01","trdVolM":"0.70","ntP":"59.96","mVal":"0.60","wkhi":"944.00","wklo":"766.40","wkhicm_adj":"814.85","wklocm_adj":"537.20","xDt":"31-DEC-2999","cAct":"-","yPC":"0.97","mPC":"-4.24"</v>
      </c>
      <c r="C33" s="5" t="s">
        <v>30</v>
      </c>
      <c r="D33" s="6" t="str">
        <f t="shared" si="14"/>
        <v>864.00</v>
      </c>
      <c r="E33" s="6" t="str">
        <f t="shared" si="14"/>
        <v>867.20</v>
      </c>
      <c r="F33" s="6" t="str">
        <f t="shared" si="14"/>
        <v>849.75</v>
      </c>
      <c r="G33" s="6" t="str">
        <f t="shared" si="14"/>
        <v>854.40</v>
      </c>
      <c r="H33" s="7" t="str">
        <f t="shared" si="1"/>
        <v xml:space="preserve">   </v>
      </c>
      <c r="I33" s="8" t="str">
        <f t="shared" si="3"/>
        <v xml:space="preserve">   </v>
      </c>
      <c r="J33" s="9" t="str">
        <f t="shared" si="4"/>
        <v xml:space="preserve">   </v>
      </c>
      <c r="K33" s="10" t="str">
        <f t="shared" si="10"/>
        <v xml:space="preserve">   </v>
      </c>
      <c r="L33" s="6"/>
      <c r="M33" s="12"/>
    </row>
    <row r="34" spans="2:13" x14ac:dyDescent="0.25">
      <c r="B34" t="str">
        <f t="shared" si="2"/>
        <v>"ICICIBANK","open":"243.25","high":"246.60","low":"238.80","ltP":"244.45","ptsC":"1.30","per":"0.53","trdVol":"134.80","trdVolM":"13.48","ntP":"328.47","mVal":"3.28","wkhi":"321.00","wklo":"180.75","wkhicm_adj":"1,779.00","wklocm_adj":"943.60","xDt":"31-DEC-2999","cAct":"-","yPC":"-22.27","mPC":"-0.06"</v>
      </c>
      <c r="C34" s="5" t="s">
        <v>31</v>
      </c>
      <c r="D34" s="6" t="str">
        <f t="shared" si="14"/>
        <v>243.25</v>
      </c>
      <c r="E34" s="6" t="str">
        <f t="shared" si="14"/>
        <v>246.60</v>
      </c>
      <c r="F34" s="6" t="str">
        <f t="shared" si="14"/>
        <v>238.80</v>
      </c>
      <c r="G34" s="6" t="str">
        <f t="shared" si="14"/>
        <v>244.45</v>
      </c>
      <c r="H34" s="7" t="str">
        <f t="shared" si="1"/>
        <v xml:space="preserve">   </v>
      </c>
      <c r="I34" s="8" t="str">
        <f t="shared" si="3"/>
        <v xml:space="preserve">   </v>
      </c>
      <c r="J34" s="9" t="str">
        <f t="shared" si="4"/>
        <v xml:space="preserve">   </v>
      </c>
      <c r="K34" s="10" t="str">
        <f t="shared" si="10"/>
        <v xml:space="preserve">   </v>
      </c>
      <c r="L34" s="6"/>
      <c r="M34" s="12"/>
    </row>
    <row r="35" spans="2:13" x14ac:dyDescent="0.25">
      <c r="B35" t="str">
        <f t="shared" si="2"/>
        <v>"IDEA","open":"112.80","high":"117.35","low":"112.00","ltP":"113.75","ptsC":"0.75","per":"0.66","trdVol":"45.44","trdVolM":"4.54","ntP":"52.10","mVal":"0.52","wkhi":"186.50","wklo":"97.20","wkhicm_adj":"183.70","wklocm_adj":"125.10","xDt":"31-DEC-2999","cAct":"-","yPC":"-32.77","mPC":"-9.00"</v>
      </c>
      <c r="C35" s="5" t="s">
        <v>32</v>
      </c>
      <c r="D35" s="6" t="str">
        <f t="shared" si="14"/>
        <v>112.80</v>
      </c>
      <c r="E35" s="6" t="str">
        <f t="shared" si="14"/>
        <v>117.35</v>
      </c>
      <c r="F35" s="6" t="str">
        <f t="shared" si="14"/>
        <v>112.00</v>
      </c>
      <c r="G35" s="6" t="str">
        <f t="shared" si="14"/>
        <v>113.75</v>
      </c>
      <c r="H35" s="7" t="str">
        <f t="shared" si="1"/>
        <v xml:space="preserve">   </v>
      </c>
      <c r="I35" s="8" t="str">
        <f t="shared" si="3"/>
        <v xml:space="preserve">   </v>
      </c>
      <c r="J35" s="9" t="str">
        <f t="shared" si="4"/>
        <v xml:space="preserve">   </v>
      </c>
      <c r="K35" s="10" t="str">
        <f t="shared" si="10"/>
        <v xml:space="preserve">   </v>
      </c>
      <c r="L35" s="6"/>
      <c r="M35" s="12"/>
    </row>
    <row r="36" spans="2:13" x14ac:dyDescent="0.25">
      <c r="B36" t="str">
        <f t="shared" si="2"/>
        <v>"INDUSINDBK","open":"1,106.20","high":"1,113.55","low":"1,096.90","ltP":"1,100.50","ptsC":"-3.60","per":"-0.33","trdVol":"8.45","trdVolM":"0.85","ntP":"93.24","mVal":"0.93","wkhi":"1,113.55","wklo":"784.00","wkhicm_adj":"776.00","wklocm_adj":"369.50","xDt":"31-DEC-2999","cAct":"-","yPC":"28.67","mPC":"5.82"</v>
      </c>
      <c r="C36" s="5" t="s">
        <v>33</v>
      </c>
      <c r="D36" s="6" t="str">
        <f t="shared" si="14"/>
        <v>1,106.20</v>
      </c>
      <c r="E36" s="6" t="str">
        <f t="shared" si="14"/>
        <v>1,113.55</v>
      </c>
      <c r="F36" s="6" t="str">
        <f t="shared" si="14"/>
        <v>1,096.90</v>
      </c>
      <c r="G36" s="6" t="str">
        <f t="shared" si="14"/>
        <v>1,100.50</v>
      </c>
      <c r="H36" s="7" t="str">
        <f t="shared" si="1"/>
        <v xml:space="preserve">   </v>
      </c>
      <c r="I36" s="8" t="str">
        <f t="shared" si="3"/>
        <v xml:space="preserve">   </v>
      </c>
      <c r="J36" s="9" t="str">
        <f t="shared" si="4"/>
        <v xml:space="preserve">   </v>
      </c>
      <c r="K36" s="10" t="str">
        <f t="shared" si="10"/>
        <v xml:space="preserve">   </v>
      </c>
      <c r="L36" s="6"/>
      <c r="M36" s="12"/>
    </row>
    <row r="37" spans="2:13" x14ac:dyDescent="0.25">
      <c r="B37" t="str">
        <f t="shared" si="2"/>
        <v>"INFRATEL","open":"387.80","high":"392.00","low":"385.95","ltP":"386.40","ptsC":"-0.45","per":"-0.12","trdVol":"8.31","trdVolM":"0.83","ntP":"32.30","mVal":"0.32","wkhi":"499.65","wklo":"341.35","wkhicm_adj":"322.00","wklocm_adj":"156.00","xDt":"31-DEC-2999","cAct":"-","yPC":"-12.33","mPC":"2.85"</v>
      </c>
      <c r="C37" s="5" t="s">
        <v>63</v>
      </c>
      <c r="D37" s="6" t="str">
        <f t="shared" si="14"/>
        <v>387.80</v>
      </c>
      <c r="E37" s="6" t="str">
        <f t="shared" si="14"/>
        <v>392.00</v>
      </c>
      <c r="F37" s="6" t="str">
        <f t="shared" si="14"/>
        <v>385.95</v>
      </c>
      <c r="G37" s="6" t="str">
        <f t="shared" si="14"/>
        <v>386.40</v>
      </c>
      <c r="H37" s="7" t="str">
        <f t="shared" si="1"/>
        <v xml:space="preserve">   </v>
      </c>
      <c r="I37" s="8" t="str">
        <f t="shared" ref="I37" si="15">IF(AND(E37=0,F37=0,D37=0),"  ",IF(D37=F37,ROUND(((SQRT(F37) +0.0833) ^2),0),IF(E37=D37,ROUND(((SQRT(E37) -0.0833) ^2),0),IF(E37&lt;&gt;F37&lt;&gt;D37,"   "))))</f>
        <v xml:space="preserve">   </v>
      </c>
      <c r="J37" s="9" t="str">
        <f t="shared" ref="J37" si="16">IF(AND(E37=0, F37=0, D37=0),"  ",IF(E37= D37,D37+0.005*D37,IF(F37= D37,D37-0.005*D37,IF(E37&lt;&gt; F37&lt;&gt; D37,"   "))))</f>
        <v xml:space="preserve">   </v>
      </c>
      <c r="K37" s="10" t="str">
        <f t="shared" ref="K37" si="17">IF(AND(E37=0, F37=0, D37=0),"  ",IF(E37= D37,(I37-G37)/I37,IF(F37= D37,(G37-I37)/I37,IF(E37&lt;&gt; F37&lt;&gt; D37,"   "))))</f>
        <v xml:space="preserve">   </v>
      </c>
      <c r="L37" s="6"/>
      <c r="M37" s="12"/>
    </row>
    <row r="38" spans="2:13" x14ac:dyDescent="0.25">
      <c r="B38" t="str">
        <f t="shared" si="2"/>
        <v>"INFY","open":"1,241.50","high":"1,272.00","low":"1,241.50","ltP":"1,268.45","ptsC":"20.95","per":"1.68","trdVol":"23.82","trdVolM":"2.38","ntP":"301.91","mVal":"3.02","wkhi":"1,272.00","wklo":"932.65","wkhicm_adj":"4,402.20","wklocm_adj":"2,880.00","xDt":"31-DEC-2999","cAct":"-","yPC":"25.80","mPC":"2.28"</v>
      </c>
      <c r="C38" s="5" t="s">
        <v>34</v>
      </c>
      <c r="D38" s="6" t="str">
        <f t="shared" si="14"/>
        <v>1,241.50</v>
      </c>
      <c r="E38" s="6" t="str">
        <f t="shared" si="14"/>
        <v>1,272.00</v>
      </c>
      <c r="F38" s="6" t="str">
        <f t="shared" si="14"/>
        <v>1,241.50</v>
      </c>
      <c r="G38" s="6" t="str">
        <f t="shared" si="14"/>
        <v>1,268.45</v>
      </c>
      <c r="H38" s="7" t="str">
        <f t="shared" si="1"/>
        <v xml:space="preserve">LONG </v>
      </c>
      <c r="I38" s="8">
        <f t="shared" si="3"/>
        <v>1247</v>
      </c>
      <c r="J38" s="9">
        <f t="shared" si="4"/>
        <v>1235.2925</v>
      </c>
      <c r="K38" s="10">
        <f t="shared" si="10"/>
        <v>1.7201283079390575E-2</v>
      </c>
      <c r="L38" s="6"/>
      <c r="M38" s="12"/>
    </row>
    <row r="39" spans="2:13" x14ac:dyDescent="0.25">
      <c r="B39" t="str">
        <f t="shared" si="2"/>
        <v>"ITC","open":"353.40","high":"358.50","low":"352.80","ltP":"357.70","ptsC":"6.90","per":"1.97","trdVol":"45.68","trdVolM":"4.57","ntP":"162.79","mVal":"1.63","wkhi":"364.00","wklo":"268.00","wkhicm_adj":"387.50","wklocm_adj":"307.55","xDt":"30-MAY-2016","cAct":"DIVIDEND-RS.8.50 PER SHARE (INCLUDING SPECIAL DIVIDEND OF RS.2\/- PER SHARE).","yPC":"11.28","mPC":"7.24"</v>
      </c>
      <c r="C39" s="5" t="s">
        <v>35</v>
      </c>
      <c r="D39" s="6" t="str">
        <f t="shared" si="14"/>
        <v>353.40</v>
      </c>
      <c r="E39" s="6" t="str">
        <f t="shared" si="14"/>
        <v>358.50</v>
      </c>
      <c r="F39" s="6" t="str">
        <f t="shared" si="14"/>
        <v>352.80</v>
      </c>
      <c r="G39" s="6" t="str">
        <f t="shared" si="14"/>
        <v>357.70</v>
      </c>
      <c r="H39" s="7" t="str">
        <f t="shared" si="1"/>
        <v xml:space="preserve">   </v>
      </c>
      <c r="I39" s="8" t="str">
        <f t="shared" si="3"/>
        <v xml:space="preserve">   </v>
      </c>
      <c r="J39" s="9" t="str">
        <f t="shared" si="4"/>
        <v xml:space="preserve">   </v>
      </c>
      <c r="K39" s="10" t="str">
        <f t="shared" si="10"/>
        <v xml:space="preserve">   </v>
      </c>
      <c r="L39" s="6"/>
      <c r="M39" s="12"/>
    </row>
    <row r="40" spans="2:13" x14ac:dyDescent="0.25">
      <c r="B40" t="str">
        <f t="shared" si="2"/>
        <v>"KOTAKBANK","open":"748.70","high":"754.50","low":"740.05","ltP":"744.25","ptsC":"1.70","per":"0.23","trdVol":"6.13","trdVolM":"0.61","ntP":"45.73","mVal":"0.46","wkhi":"754.50","wklo":"585.75","wkhicm_adj":"1,264.70","wklocm_adj":"630.50","xDt":"31-DEC-2999","cAct":"-","yPC":"8.80","mPC":"4.46"</v>
      </c>
      <c r="C40" s="5" t="s">
        <v>36</v>
      </c>
      <c r="D40" s="6" t="str">
        <f t="shared" si="14"/>
        <v>748.70</v>
      </c>
      <c r="E40" s="6" t="str">
        <f t="shared" si="14"/>
        <v>754.50</v>
      </c>
      <c r="F40" s="6" t="str">
        <f t="shared" si="14"/>
        <v>740.05</v>
      </c>
      <c r="G40" s="6" t="str">
        <f t="shared" si="14"/>
        <v>744.25</v>
      </c>
      <c r="H40" s="7" t="str">
        <f t="shared" si="1"/>
        <v xml:space="preserve">   </v>
      </c>
      <c r="I40" s="8" t="str">
        <f t="shared" si="3"/>
        <v xml:space="preserve">   </v>
      </c>
      <c r="J40" s="9" t="str">
        <f t="shared" si="4"/>
        <v xml:space="preserve">   </v>
      </c>
      <c r="K40" s="10" t="str">
        <f t="shared" si="10"/>
        <v xml:space="preserve">   </v>
      </c>
      <c r="L40" s="6"/>
      <c r="M40" s="12"/>
    </row>
    <row r="41" spans="2:13" x14ac:dyDescent="0.25">
      <c r="B41" t="str">
        <f t="shared" si="2"/>
        <v>HLTD","open":"21,811.00","high":"22,399.90","low":"21,811.00","ltP":"22,225.00","ptsC":"278.00","per":"1.27","trdVol":"0.13","trdVolM":"0.01","ntP":"29.36","mVal":"0.29","wkhi":"26,719.95","wklo":"15,736.05","wkhicm_adj":"19,570.00","wklocm_adj":"8,450.00","xDt":"31-DEC-2999","cAct":"-","yPC":"-3.77","mPC":"9.88"</v>
      </c>
      <c r="C41" s="5" t="s">
        <v>37</v>
      </c>
      <c r="D41" s="6" t="str">
        <f t="shared" si="14"/>
        <v>21,811.00</v>
      </c>
      <c r="E41" s="6" t="str">
        <f t="shared" si="14"/>
        <v>22,399.90</v>
      </c>
      <c r="F41" s="6" t="str">
        <f t="shared" si="14"/>
        <v>21,811.00</v>
      </c>
      <c r="G41" s="6" t="str">
        <f t="shared" si="14"/>
        <v>22,225.00</v>
      </c>
      <c r="H41" s="7" t="str">
        <f t="shared" si="1"/>
        <v xml:space="preserve">LONG </v>
      </c>
      <c r="I41" s="8">
        <f t="shared" si="3"/>
        <v>21836</v>
      </c>
      <c r="J41" s="9">
        <f t="shared" si="4"/>
        <v>21701.945</v>
      </c>
      <c r="K41" s="10">
        <f t="shared" si="10"/>
        <v>1.7814618061916102E-2</v>
      </c>
      <c r="L41" s="6"/>
      <c r="M41" s="12"/>
    </row>
    <row r="42" spans="2:13" x14ac:dyDescent="0.25">
      <c r="B42" t="str">
        <f t="shared" si="2"/>
        <v>"LUPIN","open":"1,489.95","high":"1,493.70","low":"1,454.10","ltP":"1,468.80","ptsC":"-11.30","per":"-0.76","trdVol":"12.49","trdVolM":"1.25","ntP":"183.34","mVal":"1.83","wkhi":"2,129.00","wklo":"1,280.00","wkhicm_adj":"1,497.50","wklocm_adj":"851.50","xDt":"31-DEC-2999","cAct":"-","yPC":"-15.82","mPC":"-6.44"</v>
      </c>
      <c r="C42" s="5" t="s">
        <v>38</v>
      </c>
      <c r="D42" s="6" t="str">
        <f t="shared" si="14"/>
        <v>1,489.95</v>
      </c>
      <c r="E42" s="6" t="str">
        <f t="shared" si="14"/>
        <v>1,493.70</v>
      </c>
      <c r="F42" s="6" t="str">
        <f t="shared" si="14"/>
        <v>1,454.10</v>
      </c>
      <c r="G42" s="6" t="str">
        <f t="shared" si="14"/>
        <v>1,468.80</v>
      </c>
      <c r="H42" s="7" t="str">
        <f t="shared" si="1"/>
        <v xml:space="preserve">   </v>
      </c>
      <c r="I42" s="8" t="str">
        <f t="shared" si="3"/>
        <v xml:space="preserve">   </v>
      </c>
      <c r="J42" s="9" t="str">
        <f t="shared" si="4"/>
        <v xml:space="preserve">   </v>
      </c>
      <c r="K42" s="10" t="str">
        <f t="shared" si="10"/>
        <v xml:space="preserve">   </v>
      </c>
      <c r="L42" s="6"/>
      <c r="M42" s="12"/>
    </row>
    <row r="43" spans="2:13" x14ac:dyDescent="0.25">
      <c r="B43" t="str">
        <f t="shared" si="2"/>
        <v>"M&amp;M","open":"1,334.00","high":"1,351.70","low":"1,312.80","ltP":"1,332.45","ptsC":"-1.25","per":"-0.09","trdVol":"22.48","trdVolM":"2.25","ntP":"299.80","mVal":"3.00","wkhi":"1,442.05","wklo":"1,091.25","wkhicm_adj":"1,433.70","wklocm_adj":"846.60","xDt":"31-DEC-2999","cAct":"-","yPC":"11.21","mPC":"-3.78"</v>
      </c>
      <c r="C43" s="5" t="s">
        <v>39</v>
      </c>
      <c r="D43" s="6" t="str">
        <f t="shared" si="14"/>
        <v>1,334.00</v>
      </c>
      <c r="E43" s="6" t="str">
        <f t="shared" si="14"/>
        <v>1,351.70</v>
      </c>
      <c r="F43" s="6" t="str">
        <f t="shared" si="14"/>
        <v>1,312.80</v>
      </c>
      <c r="G43" s="6" t="str">
        <f t="shared" si="14"/>
        <v>1,332.45</v>
      </c>
      <c r="H43" s="7" t="str">
        <f t="shared" si="1"/>
        <v xml:space="preserve">   </v>
      </c>
      <c r="I43" s="8" t="str">
        <f t="shared" si="3"/>
        <v xml:space="preserve">   </v>
      </c>
      <c r="J43" s="9" t="str">
        <f t="shared" si="4"/>
        <v xml:space="preserve">   </v>
      </c>
      <c r="K43" s="10" t="str">
        <f t="shared" si="10"/>
        <v xml:space="preserve">   </v>
      </c>
      <c r="L43" s="6"/>
      <c r="M43" s="12"/>
    </row>
    <row r="44" spans="2:13" x14ac:dyDescent="0.25">
      <c r="B44" t="str">
        <f t="shared" si="2"/>
        <v>"MARUTI","open":"4,132.00","high":"4,155.20","low":"4,054.00","ltP":"4,078.70","ptsC":"-67.90","per":"-1.64","trdVol":"4.95","trdVolM":"0.50","ntP":"203.18","mVal":"2.03","wkhi":"4,790.00","wklo":"3,193.25","wkhicm_adj":"3,432.00","wklocm_adj":"1,540.40","xDt":"31-DEC-2999","cAct":"-","yPC":"9.97","mPC":"5.68"</v>
      </c>
      <c r="C44" s="5" t="s">
        <v>40</v>
      </c>
      <c r="D44" s="6" t="str">
        <f t="shared" si="14"/>
        <v>4,132.00</v>
      </c>
      <c r="E44" s="6" t="str">
        <f t="shared" si="14"/>
        <v>4,155.20</v>
      </c>
      <c r="F44" s="6" t="str">
        <f t="shared" si="14"/>
        <v>4,054.00</v>
      </c>
      <c r="G44" s="6" t="str">
        <f t="shared" si="14"/>
        <v>4,078.70</v>
      </c>
      <c r="H44" s="7" t="str">
        <f t="shared" si="1"/>
        <v xml:space="preserve">   </v>
      </c>
      <c r="I44" s="8" t="str">
        <f t="shared" si="3"/>
        <v xml:space="preserve">   </v>
      </c>
      <c r="J44" s="9" t="str">
        <f t="shared" si="4"/>
        <v xml:space="preserve">   </v>
      </c>
      <c r="K44" s="10" t="str">
        <f t="shared" si="10"/>
        <v xml:space="preserve">   </v>
      </c>
      <c r="L44" s="6"/>
      <c r="M44" s="12"/>
    </row>
    <row r="45" spans="2:13" x14ac:dyDescent="0.25">
      <c r="B45" t="str">
        <f t="shared" si="2"/>
        <v>"NTPC","open":"140.35","high":"145.20","low":"137.65","ltP":"144.60","ptsC":"4.50","per":"3.21","trdVol":"70.30","trdVolM":"7.03","ntP":"98.70","mVal":"0.99","wkhi":"148.85","wklo":"107.10","wkhicm_adj":"168.90","wklocm_adj":"110.65","xDt":"31-DEC-2999","cAct":"-","yPC":"7.39","mPC":"2.77"</v>
      </c>
      <c r="C45" s="5" t="s">
        <v>41</v>
      </c>
      <c r="D45" s="6" t="str">
        <f t="shared" si="14"/>
        <v>140.35</v>
      </c>
      <c r="E45" s="6" t="str">
        <f t="shared" si="14"/>
        <v>145.20</v>
      </c>
      <c r="F45" s="6" t="str">
        <f t="shared" si="14"/>
        <v>137.65</v>
      </c>
      <c r="G45" s="6" t="str">
        <f t="shared" si="14"/>
        <v>144.60</v>
      </c>
      <c r="H45" s="7" t="str">
        <f t="shared" si="1"/>
        <v xml:space="preserve">   </v>
      </c>
      <c r="I45" s="8" t="str">
        <f t="shared" si="3"/>
        <v xml:space="preserve">   </v>
      </c>
      <c r="J45" s="9" t="str">
        <f t="shared" si="4"/>
        <v xml:space="preserve">   </v>
      </c>
      <c r="K45" s="10" t="str">
        <f t="shared" si="10"/>
        <v xml:space="preserve">   </v>
      </c>
      <c r="L45" s="6"/>
      <c r="M45" s="12"/>
    </row>
    <row r="46" spans="2:13" x14ac:dyDescent="0.25">
      <c r="B46" t="str">
        <f t="shared" si="2"/>
        <v>"ONGC","open":"214.00","high":"215.70","low":"213.10","ltP":"213.80","ptsC":"0.80","per":"0.38","trdVol":"24.29","trdVolM":"2.43","ntP":"52.05","mVal":"0.52","wkhi":"337.20","wklo":"187.75","wkhicm_adj":"471.85","wklocm_adj":"264.15","xDt":"16-MAR-2016","cAct":"INTERIM DIVIDEND - RE 0.75\/- PER SHARE (PURPOSE REVISED)","yPC":"-34.80","mPC":"-3.61"</v>
      </c>
      <c r="C46" s="5" t="s">
        <v>42</v>
      </c>
      <c r="D46" s="6" t="str">
        <f t="shared" si="14"/>
        <v>214.00</v>
      </c>
      <c r="E46" s="6" t="str">
        <f t="shared" si="14"/>
        <v>215.70</v>
      </c>
      <c r="F46" s="6" t="str">
        <f t="shared" si="14"/>
        <v>213.10</v>
      </c>
      <c r="G46" s="6" t="str">
        <f t="shared" si="14"/>
        <v>213.80</v>
      </c>
      <c r="H46" s="7" t="str">
        <f t="shared" si="1"/>
        <v xml:space="preserve">   </v>
      </c>
      <c r="I46" s="8" t="str">
        <f t="shared" si="3"/>
        <v xml:space="preserve">   </v>
      </c>
      <c r="J46" s="9" t="str">
        <f t="shared" si="4"/>
        <v xml:space="preserve">   </v>
      </c>
      <c r="K46" s="10" t="str">
        <f t="shared" si="10"/>
        <v xml:space="preserve">   </v>
      </c>
      <c r="L46" s="6"/>
      <c r="M46" s="12"/>
    </row>
    <row r="47" spans="2:13" x14ac:dyDescent="0.25">
      <c r="B47" t="str">
        <f t="shared" si="2"/>
        <v>"POWERGRID","open":"151.10","high":"152.95","low":"149.35","ltP":"151.90","ptsC":"1.05","per":"0.70","trdVol":"30.29","trdVolM":"3.03","ntP":"45.68","mVal":"0.46","wkhi":"152.95","wklo":"120.55","wkhicm_adj":"150.90","wklocm_adj":"91.65","xDt":"31-DEC-2999","cAct":"-","yPC":"6.08","mPC":"5.23"</v>
      </c>
      <c r="C47" s="5" t="s">
        <v>44</v>
      </c>
      <c r="D47" s="6" t="str">
        <f t="shared" si="14"/>
        <v>151.10</v>
      </c>
      <c r="E47" s="6" t="str">
        <f t="shared" si="14"/>
        <v>152.95</v>
      </c>
      <c r="F47" s="6" t="str">
        <f t="shared" si="14"/>
        <v>149.35</v>
      </c>
      <c r="G47" s="6" t="str">
        <f t="shared" si="14"/>
        <v>151.90</v>
      </c>
      <c r="H47" s="7" t="str">
        <f t="shared" si="1"/>
        <v xml:space="preserve">   </v>
      </c>
      <c r="I47" s="8" t="str">
        <f t="shared" si="3"/>
        <v xml:space="preserve">   </v>
      </c>
      <c r="J47" s="9" t="str">
        <f t="shared" si="4"/>
        <v xml:space="preserve">   </v>
      </c>
      <c r="K47" s="10" t="str">
        <f t="shared" si="10"/>
        <v xml:space="preserve">   </v>
      </c>
      <c r="L47" s="6"/>
      <c r="M47" s="12"/>
    </row>
    <row r="48" spans="2:13" x14ac:dyDescent="0.25">
      <c r="B48" t="str">
        <f t="shared" si="2"/>
        <v>"RELIANCE","open":"976.40","high":"981.50","low":"968.10","ltP":"971.85","ptsC":"-2.85","per":"-0.29","trdVol":"19.53","trdVolM":"1.95","ntP":"189.95","mVal":"1.90","wkhi":"1,089.75","wklo":"818.00","wkhicm_adj":"1,145.25","wklocm_adj":"793.10","xDt":"17-MAR-2016","cAct":"INTERIM DIVIDEND - RS 10.50\/- PER SHARE (PURPOSE REVISED)","yPC":"10.97","mPC":"-4.66"</v>
      </c>
      <c r="C48" s="5" t="s">
        <v>45</v>
      </c>
      <c r="D48" s="6" t="str">
        <f t="shared" si="14"/>
        <v>976.40</v>
      </c>
      <c r="E48" s="6" t="str">
        <f t="shared" si="14"/>
        <v>981.50</v>
      </c>
      <c r="F48" s="6" t="str">
        <f t="shared" si="14"/>
        <v>968.10</v>
      </c>
      <c r="G48" s="6" t="str">
        <f t="shared" si="14"/>
        <v>971.85</v>
      </c>
      <c r="H48" s="7" t="str">
        <f t="shared" si="1"/>
        <v xml:space="preserve">   </v>
      </c>
      <c r="I48" s="8" t="str">
        <f t="shared" si="3"/>
        <v xml:space="preserve">   </v>
      </c>
      <c r="J48" s="9" t="str">
        <f t="shared" si="4"/>
        <v xml:space="preserve">   </v>
      </c>
      <c r="K48" s="10" t="str">
        <f t="shared" si="10"/>
        <v xml:space="preserve">   </v>
      </c>
      <c r="L48" s="6"/>
      <c r="M48" s="12"/>
    </row>
    <row r="49" spans="2:13" x14ac:dyDescent="0.25">
      <c r="B49" t="str">
        <f t="shared" si="2"/>
        <v>"SBIN","open":"200.20","high":"203.90","low":"194.60","ltP":"199.55","ptsC":"3.65","per":"1.86","trdVol":"433.99","trdVolM":"43.40","ntP":"861.22","mVal":"8.61","wkhi":"291.80","wklo":"148.25","wkhicm_adj":"326.95","wklocm_adj":"145.51","xDt":"31-DEC-2999","cAct":"-","yPC":"-28.12","mPC":"1.73"</v>
      </c>
      <c r="C49" s="5" t="s">
        <v>46</v>
      </c>
      <c r="D49" s="6" t="str">
        <f t="shared" si="14"/>
        <v>200.20</v>
      </c>
      <c r="E49" s="6" t="str">
        <f t="shared" si="14"/>
        <v>203.90</v>
      </c>
      <c r="F49" s="6" t="str">
        <f t="shared" si="14"/>
        <v>194.60</v>
      </c>
      <c r="G49" s="6" t="str">
        <f t="shared" si="14"/>
        <v>199.55</v>
      </c>
      <c r="H49" s="7" t="str">
        <f t="shared" si="1"/>
        <v xml:space="preserve">   </v>
      </c>
      <c r="I49" s="8" t="str">
        <f t="shared" si="3"/>
        <v xml:space="preserve">   </v>
      </c>
      <c r="J49" s="9" t="str">
        <f t="shared" si="4"/>
        <v xml:space="preserve">   </v>
      </c>
      <c r="K49" s="10" t="str">
        <f t="shared" si="10"/>
        <v xml:space="preserve">   </v>
      </c>
      <c r="L49" s="6"/>
      <c r="M49" s="12"/>
    </row>
    <row r="50" spans="2:13" x14ac:dyDescent="0.25">
      <c r="B50" t="str">
        <f t="shared" si="2"/>
        <v>"SUNPHARMA","open":"831.00","high":"842.00","low":"808.25","ltP":"813.00","ptsC":"-11.95","per":"-1.45","trdVol":"43.05","trdVolM":"4.31","ntP":"352.31","mVal":"3.52","wkhi":"979.00","wklo":"704.00","wkhicm_adj":"932.50","wklocm_adj":"552.55","xDt":"31-DEC-2999","cAct":"-","yPC":"-14.85","mPC":"-0.12"</v>
      </c>
      <c r="C50" s="5" t="s">
        <v>47</v>
      </c>
      <c r="D50" s="6" t="str">
        <f t="shared" si="14"/>
        <v>831.00</v>
      </c>
      <c r="E50" s="6" t="str">
        <f t="shared" si="14"/>
        <v>842.00</v>
      </c>
      <c r="F50" s="6" t="str">
        <f t="shared" si="14"/>
        <v>808.25</v>
      </c>
      <c r="G50" s="6" t="str">
        <f t="shared" si="14"/>
        <v>813.00</v>
      </c>
      <c r="H50" s="7" t="str">
        <f t="shared" si="1"/>
        <v xml:space="preserve">   </v>
      </c>
      <c r="I50" s="8" t="str">
        <f t="shared" si="3"/>
        <v xml:space="preserve">   </v>
      </c>
      <c r="J50" s="9" t="str">
        <f t="shared" si="4"/>
        <v xml:space="preserve">   </v>
      </c>
      <c r="K50" s="10" t="str">
        <f t="shared" si="10"/>
        <v xml:space="preserve">   </v>
      </c>
      <c r="L50" s="6"/>
      <c r="M50" s="12"/>
    </row>
    <row r="51" spans="2:13" x14ac:dyDescent="0.25">
      <c r="B51" t="str">
        <f t="shared" si="2"/>
        <v>"TATAMOTORS","open":"404.80","high":"421.80","low":"401.30","ltP":"421.60","ptsC":"17.70","per":"4.38","trdVol":"144.18","trdVolM":"14.42","ntP":"597.74","mVal":"5.98","wkhi":"490.25","wklo":"265.80","wkhicm_adj":"550.70","wklocm_adj":"332.10","xDt":"31-DEC-2999","cAct":"-","yPC":"-12.96","mPC":"0.73"</v>
      </c>
      <c r="C51" s="5" t="s">
        <v>48</v>
      </c>
      <c r="D51" s="6" t="str">
        <f t="shared" si="14"/>
        <v>404.80</v>
      </c>
      <c r="E51" s="6" t="str">
        <f t="shared" si="14"/>
        <v>421.80</v>
      </c>
      <c r="F51" s="6" t="str">
        <f t="shared" si="14"/>
        <v>401.30</v>
      </c>
      <c r="G51" s="6" t="str">
        <f t="shared" si="14"/>
        <v>421.60</v>
      </c>
      <c r="H51" s="7" t="str">
        <f t="shared" si="1"/>
        <v xml:space="preserve">   </v>
      </c>
      <c r="I51" s="8" t="str">
        <f t="shared" si="3"/>
        <v xml:space="preserve">   </v>
      </c>
      <c r="J51" s="9" t="str">
        <f t="shared" si="4"/>
        <v xml:space="preserve">   </v>
      </c>
      <c r="K51" s="10" t="str">
        <f t="shared" si="10"/>
        <v xml:space="preserve">   </v>
      </c>
      <c r="L51" s="6"/>
      <c r="M51" s="12"/>
    </row>
    <row r="52" spans="2:13" x14ac:dyDescent="0.25">
      <c r="B52" t="str">
        <f t="shared" si="2"/>
        <v>"TATAMTRDVR","open":"272.95","high":"282.35","low":"272.95","ltP":"281.50","ptsC":"9.80","per":"3.61","trdVol":"54.63","trdVolM":"5.46","ntP":"152.22","mVal":"1.52","wkhi":"311.90","wklo":"200.20","wkhicm_adj":"391.35","wklocm_adj":"168.25","xDt":"31-DEC-2999","cAct":"-","yPC":"-5.84","mPC":"-7.49"</v>
      </c>
      <c r="C52" s="5" t="s">
        <v>64</v>
      </c>
      <c r="D52" s="6" t="str">
        <f t="shared" si="14"/>
        <v>272.95</v>
      </c>
      <c r="E52" s="6" t="str">
        <f t="shared" si="14"/>
        <v>282.35</v>
      </c>
      <c r="F52" s="6" t="str">
        <f t="shared" si="14"/>
        <v>272.95</v>
      </c>
      <c r="G52" s="6" t="str">
        <f t="shared" si="14"/>
        <v>281.50</v>
      </c>
      <c r="H52" s="7" t="str">
        <f t="shared" si="1"/>
        <v xml:space="preserve">LONG </v>
      </c>
      <c r="I52" s="8">
        <f t="shared" ref="I52" si="18">IF(AND(E52=0,F52=0,D52=0),"  ",IF(D52=F52,ROUND(((SQRT(F52) +0.0833) ^2),0),IF(E52=D52,ROUND(((SQRT(E52) -0.0833) ^2),0),IF(E52&lt;&gt;F52&lt;&gt;D52,"   "))))</f>
        <v>276</v>
      </c>
      <c r="J52" s="9">
        <f t="shared" ref="J52" si="19">IF(AND(E52=0, F52=0, D52=0),"  ",IF(E52= D52,D52+0.005*D52,IF(F52= D52,D52-0.005*D52,IF(E52&lt;&gt; F52&lt;&gt; D52,"   "))))</f>
        <v>271.58524999999997</v>
      </c>
      <c r="K52" s="10">
        <f t="shared" ref="K52" si="20">IF(AND(E52=0, F52=0, D52=0),"  ",IF(E52= D52,(I52-G52)/I52,IF(F52= D52,(G52-I52)/I52,IF(E52&lt;&gt; F52&lt;&gt; D52,"   "))))</f>
        <v>1.9927536231884056E-2</v>
      </c>
      <c r="L52" s="6"/>
      <c r="M52" s="12"/>
    </row>
    <row r="53" spans="2:13" x14ac:dyDescent="0.25">
      <c r="B53" t="str">
        <f t="shared" si="2"/>
        <v>"TATAPOWER","open":"72.90","high":"76.00","low":"72.30","ltP":"75.20","ptsC":"2.60","per":"3.58","trdVol":"35.38","trdVolM":"3.54","ntP":"26.29","mVal":"0.26","wkhi":"76.85","wklo":"55.00","wkhicm_adj":"115.60","wklocm_adj":"68.65","xDt":"31-DEC-2999","cAct":"-","yPC":"1.48","mPC":"6.29"</v>
      </c>
      <c r="C53" s="5" t="s">
        <v>49</v>
      </c>
      <c r="D53" s="6" t="str">
        <f t="shared" ref="D53:G60" si="21">MID($B53,FIND(D$9,$B53)+LEN(D$9)+3,FIND(CHAR(34),$B53,FIND(D$9,$B53)+LEN(D$9)+3)-(FIND(D$9,$B53)+LEN(D$9)+3))</f>
        <v>72.90</v>
      </c>
      <c r="E53" s="6" t="str">
        <f t="shared" si="21"/>
        <v>76.00</v>
      </c>
      <c r="F53" s="6" t="str">
        <f t="shared" si="21"/>
        <v>72.30</v>
      </c>
      <c r="G53" s="6" t="str">
        <f t="shared" si="21"/>
        <v>75.20</v>
      </c>
      <c r="H53" s="7" t="str">
        <f t="shared" si="1"/>
        <v xml:space="preserve">   </v>
      </c>
      <c r="I53" s="8" t="str">
        <f t="shared" si="3"/>
        <v xml:space="preserve">   </v>
      </c>
      <c r="J53" s="9" t="str">
        <f t="shared" si="4"/>
        <v xml:space="preserve">   </v>
      </c>
      <c r="K53" s="10" t="str">
        <f t="shared" si="10"/>
        <v xml:space="preserve">   </v>
      </c>
      <c r="L53" s="6"/>
      <c r="M53" s="12"/>
    </row>
    <row r="54" spans="2:13" x14ac:dyDescent="0.25">
      <c r="B54" t="str">
        <f t="shared" si="2"/>
        <v>"TATASTEEL","open":"332.05","high":"334.60","low":"322.75","ltP":"323.10","ptsC":"-6.50","per":"-1.97","trdVol":"57.73","trdVolM":"5.77","ntP":"188.63","mVal":"1.89","wkhi":"364.05","wklo":"199.70","wkhicm_adj":"579.90","wklocm_adj":"332.00","xDt":"31-DEC-2999","cAct":"-","yPC":"-0.49","mPC":"-9.43"</v>
      </c>
      <c r="C54" s="5" t="s">
        <v>50</v>
      </c>
      <c r="D54" s="6" t="str">
        <f t="shared" si="21"/>
        <v>332.05</v>
      </c>
      <c r="E54" s="6" t="str">
        <f t="shared" si="21"/>
        <v>334.60</v>
      </c>
      <c r="F54" s="6" t="str">
        <f t="shared" si="21"/>
        <v>322.75</v>
      </c>
      <c r="G54" s="6" t="str">
        <f t="shared" si="21"/>
        <v>323.10</v>
      </c>
      <c r="H54" s="7" t="str">
        <f t="shared" si="1"/>
        <v xml:space="preserve">   </v>
      </c>
      <c r="I54" s="8" t="str">
        <f t="shared" si="3"/>
        <v xml:space="preserve">   </v>
      </c>
      <c r="J54" s="9" t="str">
        <f t="shared" si="4"/>
        <v xml:space="preserve">   </v>
      </c>
      <c r="K54" s="10" t="str">
        <f t="shared" si="10"/>
        <v xml:space="preserve">   </v>
      </c>
      <c r="L54" s="6"/>
      <c r="M54" s="12"/>
    </row>
    <row r="55" spans="2:13" x14ac:dyDescent="0.25">
      <c r="B55" t="str">
        <f t="shared" si="2"/>
        <v>"TCS","open":"2,583.00","high":"2,637.00","low":"2,582.00","ltP":"2,636.50","ptsC":"63.85","per":"2.48","trdVol":"5.83","trdVolM":"0.58","ntP":"152.37","mVal":"1.52","wkhi":"2,770.00","wklo":"2,115.00","wkhicm_adj":"2,839.70","wklocm_adj":"1,970.00","xDt":"31-DEC-2999","cAct":"-","yPC":"1.03","mPC":"4.99"</v>
      </c>
      <c r="C55" s="5" t="s">
        <v>51</v>
      </c>
      <c r="D55" s="6" t="str">
        <f t="shared" si="21"/>
        <v>2,583.00</v>
      </c>
      <c r="E55" s="6" t="str">
        <f t="shared" si="21"/>
        <v>2,637.00</v>
      </c>
      <c r="F55" s="6" t="str">
        <f t="shared" si="21"/>
        <v>2,582.00</v>
      </c>
      <c r="G55" s="6" t="str">
        <f t="shared" si="21"/>
        <v>2,636.50</v>
      </c>
      <c r="H55" s="7" t="str">
        <f t="shared" si="1"/>
        <v xml:space="preserve">   </v>
      </c>
      <c r="I55" s="8" t="str">
        <f t="shared" si="3"/>
        <v xml:space="preserve">   </v>
      </c>
      <c r="J55" s="9" t="str">
        <f t="shared" si="4"/>
        <v xml:space="preserve">   </v>
      </c>
      <c r="K55" s="10" t="str">
        <f t="shared" si="10"/>
        <v xml:space="preserve">   </v>
      </c>
      <c r="L55" s="6"/>
      <c r="M55" s="12"/>
    </row>
    <row r="56" spans="2:13" x14ac:dyDescent="0.25">
      <c r="B56" t="str">
        <f t="shared" si="2"/>
        <v>"TECHM","open":"535.80","high":"564.00","low":"535.00","ltP":"543.80","ptsC":"7.90","per":"1.47","trdVol":"26.65","trdVolM":"2.66","ntP":"147.20","mVal":"1.47","wkhi":"582.00","wklo":"407.40","wkhicm_adj":"2,734.00","wklocm_adj":"1,662.00","xDt":"31-DEC-2999","cAct":"-","yPC":"-0.24","mPC":"13.47"</v>
      </c>
      <c r="C56" s="5" t="s">
        <v>52</v>
      </c>
      <c r="D56" s="6" t="str">
        <f t="shared" si="21"/>
        <v>535.80</v>
      </c>
      <c r="E56" s="6" t="str">
        <f t="shared" si="21"/>
        <v>564.00</v>
      </c>
      <c r="F56" s="6" t="str">
        <f t="shared" si="21"/>
        <v>535.00</v>
      </c>
      <c r="G56" s="6" t="str">
        <f t="shared" si="21"/>
        <v>543.80</v>
      </c>
      <c r="H56" s="7" t="str">
        <f t="shared" si="1"/>
        <v xml:space="preserve">   </v>
      </c>
      <c r="I56" s="8" t="str">
        <f t="shared" si="3"/>
        <v xml:space="preserve">   </v>
      </c>
      <c r="J56" s="9" t="str">
        <f t="shared" si="4"/>
        <v xml:space="preserve">   </v>
      </c>
      <c r="K56" s="10" t="str">
        <f t="shared" si="10"/>
        <v xml:space="preserve">   </v>
      </c>
      <c r="L56" s="6"/>
      <c r="M56" s="12"/>
    </row>
    <row r="57" spans="2:13" x14ac:dyDescent="0.25">
      <c r="B57" t="str">
        <f t="shared" si="2"/>
        <v>"ULTRACEMCO","open":"3,257.10","high":"3,257.10","low":"3,192.05","ltP":"3,209.90","ptsC":"-38.40","per":"-1.18","trdVol":"1.55","trdVolM":"0.15","ntP":"49.74","mVal":"0.50","wkhi":"3,454.90","wklo":"2,579.00","wkhicm_adj":"2,872.00","wklocm_adj":"1,634.00","xDt":"31-DEC-2999","cAct":"-","yPC":"10.02","mPC":"0.57"</v>
      </c>
      <c r="C57" s="5" t="s">
        <v>53</v>
      </c>
      <c r="D57" s="6" t="str">
        <f t="shared" si="21"/>
        <v>3,257.10</v>
      </c>
      <c r="E57" s="6" t="str">
        <f t="shared" si="21"/>
        <v>3,257.10</v>
      </c>
      <c r="F57" s="6" t="str">
        <f t="shared" si="21"/>
        <v>3,192.05</v>
      </c>
      <c r="G57" s="6" t="str">
        <f t="shared" si="21"/>
        <v>3,209.90</v>
      </c>
      <c r="H57" s="7" t="str">
        <f t="shared" si="1"/>
        <v xml:space="preserve">SHORT </v>
      </c>
      <c r="I57" s="8">
        <f t="shared" si="3"/>
        <v>3248</v>
      </c>
      <c r="J57" s="9">
        <f t="shared" si="4"/>
        <v>3273.3854999999999</v>
      </c>
      <c r="K57" s="10">
        <f t="shared" si="10"/>
        <v>1.1730295566502435E-2</v>
      </c>
      <c r="L57" s="6"/>
      <c r="M57" s="12"/>
    </row>
    <row r="58" spans="2:13" x14ac:dyDescent="0.25">
      <c r="B58" t="str">
        <f t="shared" si="2"/>
        <v>"WIPRO","open":"547.20","high":"552.50","low":"544.45","ltP":"548.95","ptsC":"3.55","per":"0.65","trdVol":"9.72","trdVolM":"0.97","ntP":"53.36","mVal":"0.53","wkhi":"613.30","wklo":"507.90","wkhicm_adj":"621.90","wklocm_adj":"466.65","xDt":"05-MAY-2016","cAct":"BUYBACK OF SHARES","yPC":"-1.01","mPC":"-1.97"</v>
      </c>
      <c r="C58" s="5" t="s">
        <v>55</v>
      </c>
      <c r="D58" s="6" t="str">
        <f t="shared" si="21"/>
        <v>547.20</v>
      </c>
      <c r="E58" s="6" t="str">
        <f t="shared" si="21"/>
        <v>552.50</v>
      </c>
      <c r="F58" s="6" t="str">
        <f t="shared" si="21"/>
        <v>544.45</v>
      </c>
      <c r="G58" s="6" t="str">
        <f t="shared" si="21"/>
        <v>548.95</v>
      </c>
      <c r="H58" s="7" t="str">
        <f t="shared" si="1"/>
        <v xml:space="preserve">   </v>
      </c>
      <c r="I58" s="8" t="str">
        <f t="shared" si="3"/>
        <v xml:space="preserve">   </v>
      </c>
      <c r="J58" s="9" t="str">
        <f t="shared" si="4"/>
        <v xml:space="preserve">   </v>
      </c>
      <c r="K58" s="10" t="str">
        <f t="shared" si="10"/>
        <v xml:space="preserve">   </v>
      </c>
      <c r="L58" s="6"/>
      <c r="M58" s="12"/>
    </row>
    <row r="59" spans="2:13" x14ac:dyDescent="0.25">
      <c r="B59" t="str">
        <f t="shared" si="2"/>
        <v>"YESBANK","open":"1,024.40","high":"1,034.85","low":"1,021.30","ltP":"1,027.20","ptsC":"11.70","per":"1.15","trdVol":"24.30","trdVolM":"2.43","ntP":"250.01","mVal":"2.50","wkhi":"1,041.80","wklo":"595.00","wkhicm_adj":"719.90","wklocm_adj":"291.40","xDt":"30-MAY-2016","cAct":"ANNUAL GENERAL MEETING\/ DIVIDEND - RS 10\/- PER SHARE","yPC":"19.57","mPC":"12.20"</v>
      </c>
      <c r="C59" s="5" t="s">
        <v>56</v>
      </c>
      <c r="D59" s="6" t="str">
        <f t="shared" si="21"/>
        <v>1,024.40</v>
      </c>
      <c r="E59" s="6" t="str">
        <f t="shared" si="21"/>
        <v>1,034.85</v>
      </c>
      <c r="F59" s="6" t="str">
        <f t="shared" si="21"/>
        <v>1,021.30</v>
      </c>
      <c r="G59" s="6" t="str">
        <f t="shared" si="21"/>
        <v>1,027.20</v>
      </c>
      <c r="H59" s="7" t="str">
        <f t="shared" si="1"/>
        <v xml:space="preserve">   </v>
      </c>
      <c r="I59" s="8" t="str">
        <f t="shared" si="3"/>
        <v xml:space="preserve">   </v>
      </c>
      <c r="J59" s="9" t="str">
        <f t="shared" si="4"/>
        <v xml:space="preserve">   </v>
      </c>
      <c r="K59" s="10" t="str">
        <f t="shared" si="10"/>
        <v xml:space="preserve">   </v>
      </c>
      <c r="L59" s="6"/>
      <c r="M59" s="12"/>
    </row>
    <row r="60" spans="2:13" x14ac:dyDescent="0.25">
      <c r="B60" t="str">
        <f t="shared" si="2"/>
        <v>"ZEEL","open":"456.50","high":"456.50","low":"441.60","ltP":"444.55","ptsC":"-8.85","per":"-1.95","trdVol":"12.26","trdVolM":"1.23","ntP":"54.46","mVal":"0.54","wkhi":"458.95","wklo":"317.45","wkhicm_adj":"402.40","wklocm_adj":"251.80","xDt":"31-DEC-2999","cAct":"-","yPC":"39.73","mPC":"9.00"</v>
      </c>
      <c r="C60" s="5" t="s">
        <v>57</v>
      </c>
      <c r="D60" s="6" t="str">
        <f t="shared" si="21"/>
        <v>456.50</v>
      </c>
      <c r="E60" s="6" t="str">
        <f t="shared" si="21"/>
        <v>456.50</v>
      </c>
      <c r="F60" s="6" t="str">
        <f t="shared" si="21"/>
        <v>441.60</v>
      </c>
      <c r="G60" s="6" t="str">
        <f t="shared" si="21"/>
        <v>444.55</v>
      </c>
      <c r="H60" s="7" t="str">
        <f t="shared" si="1"/>
        <v xml:space="preserve">SHORT </v>
      </c>
      <c r="I60" s="8">
        <f t="shared" si="3"/>
        <v>453</v>
      </c>
      <c r="J60" s="9">
        <f t="shared" si="4"/>
        <v>458.78250000000003</v>
      </c>
      <c r="K60" s="10">
        <f t="shared" si="10"/>
        <v>1.865342163355406E-2</v>
      </c>
      <c r="L60" s="6"/>
      <c r="M60" s="12"/>
    </row>
    <row r="61" spans="2:13" x14ac:dyDescent="0.25">
      <c r="M61" s="12"/>
    </row>
    <row r="64" spans="2:13" x14ac:dyDescent="0.25">
      <c r="C64" s="14" t="s">
        <v>65</v>
      </c>
    </row>
    <row r="65" spans="2:11" x14ac:dyDescent="0.25">
      <c r="B65" t="s">
        <v>0</v>
      </c>
      <c r="C65" s="4" t="s">
        <v>1</v>
      </c>
      <c r="D65" s="4" t="s">
        <v>2</v>
      </c>
      <c r="E65" s="4" t="s">
        <v>3</v>
      </c>
      <c r="F65" s="4" t="s">
        <v>4</v>
      </c>
      <c r="G65" s="4" t="s">
        <v>5</v>
      </c>
      <c r="H65" s="4" t="s">
        <v>6</v>
      </c>
      <c r="I65" s="4" t="s">
        <v>7</v>
      </c>
      <c r="J65" s="4" t="s">
        <v>8</v>
      </c>
      <c r="K65" s="4" t="s">
        <v>58</v>
      </c>
    </row>
    <row r="66" spans="2:11" x14ac:dyDescent="0.25">
      <c r="B66" t="str">
        <f>MID($O$500,FIND(C66,$O$500)-1,FIND("}",$O$500,FIND(C66,$O$500))-FIND(C66,$O$500)+1)</f>
        <v>"ABB","open":"1,259.30","high":"1,259.30","low":"1,210.00","ltP":"1,216.50","ptsC":"-37.45","per":"-2.99","trdVol":"0.78","trdVolM":"0.08","ntP":"9.58","mVal":"0.10","wkhi":"1,445.00","wklo":"955.20","wkhicm_adj":"1,263.50","wklocm_adj":"566.95","xDt":"13-APR-2016","cAct":"ANNUAL GENERAL MEETING\/DIVIDEND - RS 3.70 PER SHARE","yPC":"-9.38","mPC":"-4.48"</v>
      </c>
      <c r="C66" s="13" t="s">
        <v>67</v>
      </c>
      <c r="D66" s="6" t="str">
        <f t="shared" ref="D66:G85" si="22">MID($B66,FIND(D$9,$B66)+LEN(D$9)+3,FIND(CHAR(34),$B66,FIND(D$9,$B66)+LEN(D$9)+3)-(FIND(D$9,$B66)+LEN(D$9)+3))</f>
        <v>1,259.30</v>
      </c>
      <c r="E66" s="6" t="str">
        <f t="shared" si="22"/>
        <v>1,259.30</v>
      </c>
      <c r="F66" s="6" t="str">
        <f t="shared" si="22"/>
        <v>1,210.00</v>
      </c>
      <c r="G66" s="6" t="str">
        <f t="shared" si="22"/>
        <v>1,216.50</v>
      </c>
      <c r="H66" s="7" t="str">
        <f t="shared" ref="H66" si="23">IF(AND(E66=0, F66=0, D66=0),"  ",IF(E66= D66,"SHORT ",IF(F66= D66,"LONG ",IF(E66&lt;&gt; F66&lt;&gt; D66,"   "))))</f>
        <v xml:space="preserve">SHORT </v>
      </c>
      <c r="I66" s="8">
        <f t="shared" ref="I66" si="24">IF(AND(E66=0,F66=0,D66=0),"  ",IF(D66=F66,ROUND(((SQRT(F66) +0.0833) ^2),0),IF(E66=D66,ROUND(((SQRT(E66) -0.0833) ^2),0),IF(E66&lt;&gt;F66&lt;&gt;D66,"   "))))</f>
        <v>1253</v>
      </c>
      <c r="J66" s="9">
        <f t="shared" ref="J66" si="25">IF(AND(E66=0, F66=0, D66=0),"  ",IF(E66= D66,D66+0.005*D66,IF(F66= D66,D66-0.005*D66,IF(E66&lt;&gt; F66&lt;&gt; D66,"   "))))</f>
        <v>1265.5964999999999</v>
      </c>
      <c r="K66" s="10">
        <f t="shared" ref="K66" si="26">IF(AND(E66=0, F66=0, D66=0),"  ",IF(E66= D66,(I66-G66)/I66,IF(F66= D66,(G66-I66)/I66,IF(E66&lt;&gt; F66&lt;&gt; D66,"   "))))</f>
        <v>2.9130087789305665E-2</v>
      </c>
    </row>
    <row r="67" spans="2:11" x14ac:dyDescent="0.25">
      <c r="B67" t="str">
        <f t="shared" ref="B67:B115" si="27">MID($O$500,FIND(C67,$O$500)-1,FIND("}",$O$500,FIND(C67,$O$500))-FIND(C67,$O$500)+1)</f>
        <v>"APOLLOHOSP","open":"1,348.75","high":"1,397.00","low":"1,348.20","ltP":"1,396.85","ptsC":"48.65","per":"3.61","trdVol":"2.92","trdVolM":"0.29","ntP":"40.20","mVal":"0.40","wkhi":"1,544.90","wklo":"1,150.00","wkhicm_adj":"1,246.50","wklocm_adj":"815.35","xDt":"22-MAR-2016","cAct":"INTERIM DIVIDEND - RS 6\/- PER SHARE (PURPOSE REVISED)","yPC":"14.29","mPC":"6.08"</v>
      </c>
      <c r="C67" s="13" t="s">
        <v>68</v>
      </c>
      <c r="D67" s="6" t="str">
        <f t="shared" si="22"/>
        <v>1,348.75</v>
      </c>
      <c r="E67" s="6" t="str">
        <f t="shared" si="22"/>
        <v>1,397.00</v>
      </c>
      <c r="F67" s="6" t="str">
        <f t="shared" si="22"/>
        <v>1,348.20</v>
      </c>
      <c r="G67" s="6" t="str">
        <f t="shared" si="22"/>
        <v>1,396.85</v>
      </c>
      <c r="H67" s="7" t="str">
        <f t="shared" ref="H67:H115" si="28">IF(AND(E67=0, F67=0, D67=0),"  ",IF(E67= D67,"SHORT ",IF(F67= D67,"LONG ",IF(E67&lt;&gt; F67&lt;&gt; D67,"   "))))</f>
        <v xml:space="preserve">   </v>
      </c>
      <c r="I67" s="8" t="str">
        <f t="shared" ref="I67:I115" si="29">IF(AND(E67=0,F67=0,D67=0),"  ",IF(D67=F67,ROUND(((SQRT(F67) +0.0833) ^2),0),IF(E67=D67,ROUND(((SQRT(E67) -0.0833) ^2),0),IF(E67&lt;&gt;F67&lt;&gt;D67,"   "))))</f>
        <v xml:space="preserve">   </v>
      </c>
      <c r="J67" s="9" t="str">
        <f t="shared" ref="J67:J115" si="30">IF(AND(E67=0, F67=0, D67=0),"  ",IF(E67= D67,D67+0.005*D67,IF(F67= D67,D67-0.005*D67,IF(E67&lt;&gt; F67&lt;&gt; D67,"   "))))</f>
        <v xml:space="preserve">   </v>
      </c>
      <c r="K67" s="10" t="str">
        <f t="shared" ref="K67:K115" si="31">IF(AND(E67=0, F67=0, D67=0),"  ",IF(E67= D67,(I67-G67)/I67,IF(F67= D67,(G67-I67)/I67,IF(E67&lt;&gt; F67&lt;&gt; D67,"   "))))</f>
        <v xml:space="preserve">   </v>
      </c>
    </row>
    <row r="68" spans="2:11" x14ac:dyDescent="0.25">
      <c r="B68" t="str">
        <f t="shared" si="27"/>
        <v>"ASHOKLEY","open":"107.30","high":"107.45","low":"105.10","ltP":"106.00","ptsC":"-0.80","per":"-0.75","trdVol":"78.17","trdVolM":"7.82","ntP":"82.88","mVal":"0.83","wkhi":"112.90","wklo":"64.00","wkhicm_adj":"56.20","wklocm_adj":"14.85","xDt":"31-DEC-2999","cAct":"-","yPC":"50.35","mPC":"-1.81"</v>
      </c>
      <c r="C68" s="13" t="s">
        <v>69</v>
      </c>
      <c r="D68" s="6" t="str">
        <f t="shared" si="22"/>
        <v>107.30</v>
      </c>
      <c r="E68" s="6" t="str">
        <f t="shared" si="22"/>
        <v>107.45</v>
      </c>
      <c r="F68" s="6" t="str">
        <f t="shared" si="22"/>
        <v>105.10</v>
      </c>
      <c r="G68" s="6" t="str">
        <f t="shared" si="22"/>
        <v>106.00</v>
      </c>
      <c r="H68" s="7" t="str">
        <f t="shared" si="28"/>
        <v xml:space="preserve">   </v>
      </c>
      <c r="I68" s="8" t="str">
        <f t="shared" si="29"/>
        <v xml:space="preserve">   </v>
      </c>
      <c r="J68" s="9" t="str">
        <f t="shared" si="30"/>
        <v xml:space="preserve">   </v>
      </c>
      <c r="K68" s="10" t="str">
        <f t="shared" si="31"/>
        <v xml:space="preserve">   </v>
      </c>
    </row>
    <row r="69" spans="2:11" x14ac:dyDescent="0.25">
      <c r="B69" t="str">
        <f t="shared" si="27"/>
        <v>"BAJAJFINSV","open":"1,838.00","high":"1,864.85","low":"1,828.25","ltP":"1,838.45","ptsC":"2.75","per":"0.15","trdVol":"0.49","trdVolM":"0.05","ntP":"8.96","mVal":"0.09","wkhi":"2,160.00","wklo":"1,435.15","wkhicm_adj":"1,173.95","wklocm_adj":"658.35","xDt":"16-MAR-2016","cAct":"INTERIM DIVIDEND - RS 1.75\/- PER SHARE (PURPOSE REVISED)","yPC":"20.17","mPC":"-2.19"</v>
      </c>
      <c r="C69" s="13" t="s">
        <v>70</v>
      </c>
      <c r="D69" s="6" t="str">
        <f t="shared" si="22"/>
        <v>1,838.00</v>
      </c>
      <c r="E69" s="6" t="str">
        <f t="shared" si="22"/>
        <v>1,864.85</v>
      </c>
      <c r="F69" s="6" t="str">
        <f t="shared" si="22"/>
        <v>1,828.25</v>
      </c>
      <c r="G69" s="6" t="str">
        <f t="shared" si="22"/>
        <v>1,838.45</v>
      </c>
      <c r="H69" s="7" t="str">
        <f t="shared" si="28"/>
        <v xml:space="preserve">   </v>
      </c>
      <c r="I69" s="8" t="str">
        <f t="shared" si="29"/>
        <v xml:space="preserve">   </v>
      </c>
      <c r="J69" s="9" t="str">
        <f t="shared" si="30"/>
        <v xml:space="preserve">   </v>
      </c>
      <c r="K69" s="10" t="str">
        <f t="shared" si="31"/>
        <v xml:space="preserve">   </v>
      </c>
    </row>
    <row r="70" spans="2:11" x14ac:dyDescent="0.25">
      <c r="B70" t="str">
        <f t="shared" si="27"/>
        <v>"BAJFINANCE","open":"7,700.00","high":"7,720.00","low":"7,559.40","ltP":"7,645.60","ptsC":"-22.30","per":"-0.29","trdVol":"0.66","trdVolM":"0.07","ntP":"50.22","mVal":"0.50","wkhi":"7,858.05","wklo":"4,115.70","wkhicm_adj":"3,385.00","wklocm_adj":"1,375.00","xDt":"16-MAR-2016","cAct":"INTERIM DIVIDEND - RS 18\/- PER SHARE (PURPOSE REVISED)","yPC":"72.81","mPC":"10.08"</v>
      </c>
      <c r="C70" s="13" t="s">
        <v>71</v>
      </c>
      <c r="D70" s="6" t="str">
        <f t="shared" si="22"/>
        <v>7,700.00</v>
      </c>
      <c r="E70" s="6" t="str">
        <f t="shared" si="22"/>
        <v>7,720.00</v>
      </c>
      <c r="F70" s="6" t="str">
        <f t="shared" si="22"/>
        <v>7,559.40</v>
      </c>
      <c r="G70" s="6" t="str">
        <f t="shared" si="22"/>
        <v>7,645.60</v>
      </c>
      <c r="H70" s="7" t="str">
        <f t="shared" si="28"/>
        <v xml:space="preserve">   </v>
      </c>
      <c r="I70" s="8" t="str">
        <f t="shared" si="29"/>
        <v xml:space="preserve">   </v>
      </c>
      <c r="J70" s="9" t="str">
        <f t="shared" si="30"/>
        <v xml:space="preserve">   </v>
      </c>
      <c r="K70" s="10" t="str">
        <f t="shared" si="31"/>
        <v xml:space="preserve">   </v>
      </c>
    </row>
    <row r="71" spans="2:11" x14ac:dyDescent="0.25">
      <c r="B71" t="str">
        <f t="shared" si="27"/>
        <v>"BEL","open":"1,195.00","high":"1,199.00","low":"1,170.00","ltP":"1,191.55","ptsC":"8.50","per":"0.72","trdVol":"2.86","trdVolM":"0.29","ntP":"33.85","mVal":"0.34","wkhi":"1,416.85","wklo":"984.00","wkhicm_adj":"2,375.00","wklocm_adj":"893.00","xDt":"31-DEC-2999","cAct":"-","yPC":"7.14","mPC":"-1.74"</v>
      </c>
      <c r="C71" s="13" t="s">
        <v>72</v>
      </c>
      <c r="D71" s="6" t="str">
        <f t="shared" si="22"/>
        <v>1,195.00</v>
      </c>
      <c r="E71" s="6" t="str">
        <f t="shared" si="22"/>
        <v>1,199.00</v>
      </c>
      <c r="F71" s="6" t="str">
        <f t="shared" si="22"/>
        <v>1,170.00</v>
      </c>
      <c r="G71" s="6" t="str">
        <f t="shared" si="22"/>
        <v>1,191.55</v>
      </c>
      <c r="H71" s="7" t="str">
        <f t="shared" si="28"/>
        <v xml:space="preserve">   </v>
      </c>
      <c r="I71" s="8" t="str">
        <f t="shared" si="29"/>
        <v xml:space="preserve">   </v>
      </c>
      <c r="J71" s="9" t="str">
        <f t="shared" si="30"/>
        <v xml:space="preserve">   </v>
      </c>
      <c r="K71" s="10" t="str">
        <f t="shared" si="31"/>
        <v xml:space="preserve">   </v>
      </c>
    </row>
    <row r="72" spans="2:11" x14ac:dyDescent="0.25">
      <c r="B72" t="str">
        <f t="shared" si="27"/>
        <v>"BHARATFORG","open":"751.50","high":"751.85","low":"735.50","ltP":"745.65","ptsC":"0.95","per":"0.13","trdVol":"4.09","trdVolM":"0.41","ntP":"30.44","mVal":"0.30","wkhi":"1,293.00","wklo":"704.90","wkhicm_adj":"979.00","wklocm_adj":"291.10","xDt":"18-MAR-2016","cAct":"INTERIM DIVIDEND - RS 4\/- PER SHARE (PURPOSE REVISED)","yPC":"-38.35","mPC":"-7.14"</v>
      </c>
      <c r="C72" s="13" t="s">
        <v>73</v>
      </c>
      <c r="D72" s="6" t="str">
        <f t="shared" si="22"/>
        <v>751.50</v>
      </c>
      <c r="E72" s="6" t="str">
        <f t="shared" si="22"/>
        <v>751.85</v>
      </c>
      <c r="F72" s="6" t="str">
        <f t="shared" si="22"/>
        <v>735.50</v>
      </c>
      <c r="G72" s="6" t="str">
        <f t="shared" si="22"/>
        <v>745.65</v>
      </c>
      <c r="H72" s="7" t="str">
        <f t="shared" si="28"/>
        <v xml:space="preserve">   </v>
      </c>
      <c r="I72" s="8" t="str">
        <f t="shared" si="29"/>
        <v xml:space="preserve">   </v>
      </c>
      <c r="J72" s="9" t="str">
        <f t="shared" si="30"/>
        <v xml:space="preserve">   </v>
      </c>
      <c r="K72" s="10" t="str">
        <f t="shared" si="31"/>
        <v xml:space="preserve">   </v>
      </c>
    </row>
    <row r="73" spans="2:11" x14ac:dyDescent="0.25">
      <c r="B73" t="str">
        <f t="shared" si="27"/>
        <v>"BRITANNIA","open":"2,720.00","high":"2,758.00","low":"2,720.00","ltP":"2,746.95","ptsC":"27.65","per":"1.02","trdVol":"1.00","trdVolM":"0.10","ntP":"27.48","mVal":"0.27","wkhi":"3,434.20","wklo":"2,424.00","wkhicm_adj":"1,729.80","wklocm_adj":"809.10","xDt":"31-DEC-2999","cAct":"-","yPC":"3.38","mPC":"-4.00"</v>
      </c>
      <c r="C73" s="13" t="s">
        <v>74</v>
      </c>
      <c r="D73" s="6" t="str">
        <f t="shared" si="22"/>
        <v>2,720.00</v>
      </c>
      <c r="E73" s="6" t="str">
        <f t="shared" si="22"/>
        <v>2,758.00</v>
      </c>
      <c r="F73" s="6" t="str">
        <f t="shared" si="22"/>
        <v>2,720.00</v>
      </c>
      <c r="G73" s="6" t="str">
        <f t="shared" si="22"/>
        <v>2,746.95</v>
      </c>
      <c r="H73" s="7" t="str">
        <f t="shared" si="28"/>
        <v xml:space="preserve">LONG </v>
      </c>
      <c r="I73" s="8">
        <f t="shared" si="29"/>
        <v>2729</v>
      </c>
      <c r="J73" s="9">
        <f t="shared" si="30"/>
        <v>2706.4</v>
      </c>
      <c r="K73" s="10">
        <f t="shared" si="31"/>
        <v>6.5775009160864116E-3</v>
      </c>
    </row>
    <row r="74" spans="2:11" x14ac:dyDescent="0.25">
      <c r="B74" t="str">
        <f t="shared" si="27"/>
        <v>"CADILAHC","open":"329.25","high":"335.00","low":"326.10","ltP":"334.05","ptsC":"6.85","per":"2.09","trdVol":"3.95","trdVolM":"0.39","ntP":"13.13","mVal":"0.13","wkhi":"453.30","wklo":"295.00","wkhicm_adj":"1,760.15","wklocm_adj":"723.20","xDt":"17-MAR-2016","cAct":"INTERIM DIVIDEND - RS 3.20\/- PER SHARE","yPC":"-10.51","mPC":"2.20"</v>
      </c>
      <c r="C74" s="13" t="s">
        <v>75</v>
      </c>
      <c r="D74" s="6" t="str">
        <f t="shared" si="22"/>
        <v>329.25</v>
      </c>
      <c r="E74" s="6" t="str">
        <f t="shared" si="22"/>
        <v>335.00</v>
      </c>
      <c r="F74" s="6" t="str">
        <f t="shared" si="22"/>
        <v>326.10</v>
      </c>
      <c r="G74" s="6" t="str">
        <f t="shared" si="22"/>
        <v>334.05</v>
      </c>
      <c r="H74" s="7" t="str">
        <f t="shared" si="28"/>
        <v xml:space="preserve">   </v>
      </c>
      <c r="I74" s="8" t="str">
        <f t="shared" si="29"/>
        <v xml:space="preserve">   </v>
      </c>
      <c r="J74" s="9" t="str">
        <f t="shared" si="30"/>
        <v xml:space="preserve">   </v>
      </c>
      <c r="K74" s="10" t="str">
        <f t="shared" si="31"/>
        <v xml:space="preserve">   </v>
      </c>
    </row>
    <row r="75" spans="2:11" x14ac:dyDescent="0.25">
      <c r="B75" t="str">
        <f t="shared" si="27"/>
        <v>"CAIRN","open":"139.20","high":"144.80","low":"139.20","ltP":"144.60","ptsC":"6.55","per":"4.74","trdVol":"16.70","trdVolM":"1.67","ntP":"23.69","mVal":"0.24","wkhi":"197.90","wklo":"106.50","wkhicm_adj":"386.00","wklocm_adj":"255.00","xDt":"31-DEC-2999","cAct":"-","yPC":"-24.27","mPC":"-1.73"</v>
      </c>
      <c r="C75" s="13" t="s">
        <v>19</v>
      </c>
      <c r="D75" s="6" t="str">
        <f t="shared" si="22"/>
        <v>139.20</v>
      </c>
      <c r="E75" s="6" t="str">
        <f t="shared" si="22"/>
        <v>144.80</v>
      </c>
      <c r="F75" s="6" t="str">
        <f t="shared" si="22"/>
        <v>139.20</v>
      </c>
      <c r="G75" s="6" t="str">
        <f t="shared" si="22"/>
        <v>144.60</v>
      </c>
      <c r="H75" s="7" t="str">
        <f t="shared" si="28"/>
        <v xml:space="preserve">LONG </v>
      </c>
      <c r="I75" s="8">
        <f t="shared" si="29"/>
        <v>141</v>
      </c>
      <c r="J75" s="9">
        <f t="shared" si="30"/>
        <v>138.50399999999999</v>
      </c>
      <c r="K75" s="10">
        <f t="shared" si="31"/>
        <v>2.5531914893616982E-2</v>
      </c>
    </row>
    <row r="76" spans="2:11" x14ac:dyDescent="0.25">
      <c r="B76" t="str">
        <f t="shared" si="27"/>
        <v>"CASTROLIND","open":"376.05","high":"379.45","low":"372.80","ltP":"376.70","ptsC":"-0.05","per":"-0.01","trdVol":"6.93","trdVolM":"0.69","ntP":"25.99","mVal":"0.26","wkhi":"513.80","wklo":"360.85","wkhicm_adj":"523.50","wklocm_adj":"283.10","xDt":"27-APR-2016","cAct":"ANNUAL GENERAL MEETING\/ DIVIDEND - RS 5\/- PER SHARE","yPC":"-20.10","mPC":"-3.31"</v>
      </c>
      <c r="C76" s="13" t="s">
        <v>76</v>
      </c>
      <c r="D76" s="6" t="str">
        <f t="shared" si="22"/>
        <v>376.05</v>
      </c>
      <c r="E76" s="6" t="str">
        <f t="shared" si="22"/>
        <v>379.45</v>
      </c>
      <c r="F76" s="6" t="str">
        <f t="shared" si="22"/>
        <v>372.80</v>
      </c>
      <c r="G76" s="6" t="str">
        <f t="shared" si="22"/>
        <v>376.70</v>
      </c>
      <c r="H76" s="7" t="str">
        <f t="shared" si="28"/>
        <v xml:space="preserve">   </v>
      </c>
      <c r="I76" s="8" t="str">
        <f t="shared" si="29"/>
        <v xml:space="preserve">   </v>
      </c>
      <c r="J76" s="9" t="str">
        <f t="shared" si="30"/>
        <v xml:space="preserve">   </v>
      </c>
      <c r="K76" s="10" t="str">
        <f t="shared" si="31"/>
        <v xml:space="preserve">   </v>
      </c>
    </row>
    <row r="77" spans="2:11" x14ac:dyDescent="0.25">
      <c r="B77" t="str">
        <f t="shared" si="27"/>
        <v>"COLPAL","open":"838.00","high":"857.90","low":"835.80","ltP":"857.10","ptsC":"17.80","per":"2.12","trdVol":"1.70","trdVolM":"0.17","ntP":"14.36","mVal":"0.14","wkhi":"1,050.00","wklo":"787.20","wkhicm_adj":"2,049.00","wklocm_adj":"1,235.20","xDt":"06-APR-2016","cAct":"INTERIM DIVIDEND - RS 3\/- PER SHARE (PURPOSE REVISED)","yPC":"-14.04","mPC":"0.18"</v>
      </c>
      <c r="C77" s="13" t="s">
        <v>77</v>
      </c>
      <c r="D77" s="6" t="str">
        <f t="shared" si="22"/>
        <v>838.00</v>
      </c>
      <c r="E77" s="6" t="str">
        <f t="shared" si="22"/>
        <v>857.90</v>
      </c>
      <c r="F77" s="6" t="str">
        <f t="shared" si="22"/>
        <v>835.80</v>
      </c>
      <c r="G77" s="6" t="str">
        <f t="shared" si="22"/>
        <v>857.10</v>
      </c>
      <c r="H77" s="7" t="str">
        <f t="shared" si="28"/>
        <v xml:space="preserve">   </v>
      </c>
      <c r="I77" s="8" t="str">
        <f t="shared" si="29"/>
        <v xml:space="preserve">   </v>
      </c>
      <c r="J77" s="9" t="str">
        <f t="shared" si="30"/>
        <v xml:space="preserve">   </v>
      </c>
      <c r="K77" s="10" t="str">
        <f t="shared" si="31"/>
        <v xml:space="preserve">   </v>
      </c>
    </row>
    <row r="78" spans="2:11" x14ac:dyDescent="0.25">
      <c r="B78" t="str">
        <f t="shared" si="27"/>
        <v>"CONCOR","open":"1,385.05","high":"1,448.00","low":"1,385.05","ltP":"1,435.00","ptsC":"54.75","per":"3.97","trdVol":"2.90","trdVolM":"0.29","ntP":"41.54","mVal":"0.42","wkhi":"1,947.70","wklo":"1,051.00","wkhicm_adj":"1,504.70","wklocm_adj":"697.55","xDt":"31-DEC-2999","cAct":"-","yPC":"-15.00","mPC":"6.56"</v>
      </c>
      <c r="C78" s="13" t="s">
        <v>78</v>
      </c>
      <c r="D78" s="6" t="str">
        <f t="shared" si="22"/>
        <v>1,385.05</v>
      </c>
      <c r="E78" s="6" t="str">
        <f t="shared" si="22"/>
        <v>1,448.00</v>
      </c>
      <c r="F78" s="6" t="str">
        <f t="shared" si="22"/>
        <v>1,385.05</v>
      </c>
      <c r="G78" s="6" t="str">
        <f t="shared" si="22"/>
        <v>1,435.00</v>
      </c>
      <c r="H78" s="7" t="str">
        <f t="shared" si="28"/>
        <v xml:space="preserve">LONG </v>
      </c>
      <c r="I78" s="8">
        <f t="shared" si="29"/>
        <v>1391</v>
      </c>
      <c r="J78" s="9">
        <f t="shared" si="30"/>
        <v>1378.1247499999999</v>
      </c>
      <c r="K78" s="10">
        <f t="shared" si="31"/>
        <v>3.1631919482386771E-2</v>
      </c>
    </row>
    <row r="79" spans="2:11" x14ac:dyDescent="0.25">
      <c r="B79" t="str">
        <f t="shared" si="27"/>
        <v>"CUMMINSIND","open":"778.00","high":"793.90","low":"778.00","ltP":"788.05","ptsC":"4.15","per":"0.53","trdVol":"2.14","trdVolM":"0.21","ntP":"16.86","mVal":"0.17","wkhi":"1,247.65","wklo":"746.15","wkhicm_adj":"955.60","wklocm_adj":"417.70","xDt":"31-DEC-2999","cAct":"-","yPC":"-7.32","mPC":"-11.31"</v>
      </c>
      <c r="C79" s="13" t="s">
        <v>79</v>
      </c>
      <c r="D79" s="6" t="str">
        <f t="shared" si="22"/>
        <v>778.00</v>
      </c>
      <c r="E79" s="6" t="str">
        <f t="shared" si="22"/>
        <v>793.90</v>
      </c>
      <c r="F79" s="6" t="str">
        <f t="shared" si="22"/>
        <v>778.00</v>
      </c>
      <c r="G79" s="6" t="str">
        <f t="shared" si="22"/>
        <v>788.05</v>
      </c>
      <c r="H79" s="7" t="str">
        <f t="shared" si="28"/>
        <v xml:space="preserve">LONG </v>
      </c>
      <c r="I79" s="8">
        <f t="shared" si="29"/>
        <v>783</v>
      </c>
      <c r="J79" s="9">
        <f t="shared" si="30"/>
        <v>774.11</v>
      </c>
      <c r="K79" s="10">
        <f t="shared" si="31"/>
        <v>6.4495530012770811E-3</v>
      </c>
    </row>
    <row r="80" spans="2:11" x14ac:dyDescent="0.25">
      <c r="B80" t="str">
        <f t="shared" si="27"/>
        <v>"DABUR","open":"295.55","high":"299.90","low":"292.00","ltP":"298.65","ptsC":"2.85","per":"0.96","trdVol":"6.99","trdVolM":"0.70","ntP":"20.78","mVal":"0.21","wkhi":"316.40","wklo":"231.50","wkhicm_adj":"249.15","wklocm_adj":"159.50","xDt":"31-DEC-2999","cAct":"-","yPC":"9.92","mPC":"9.60"</v>
      </c>
      <c r="C80" s="13" t="s">
        <v>80</v>
      </c>
      <c r="D80" s="6" t="str">
        <f t="shared" si="22"/>
        <v>295.55</v>
      </c>
      <c r="E80" s="6" t="str">
        <f t="shared" si="22"/>
        <v>299.90</v>
      </c>
      <c r="F80" s="6" t="str">
        <f t="shared" si="22"/>
        <v>292.00</v>
      </c>
      <c r="G80" s="6" t="str">
        <f t="shared" si="22"/>
        <v>298.65</v>
      </c>
      <c r="H80" s="7" t="str">
        <f t="shared" si="28"/>
        <v xml:space="preserve">   </v>
      </c>
      <c r="I80" s="8" t="str">
        <f t="shared" si="29"/>
        <v xml:space="preserve">   </v>
      </c>
      <c r="J80" s="9" t="str">
        <f t="shared" si="30"/>
        <v xml:space="preserve">   </v>
      </c>
      <c r="K80" s="10" t="str">
        <f t="shared" si="31"/>
        <v xml:space="preserve">   </v>
      </c>
    </row>
    <row r="81" spans="2:11" x14ac:dyDescent="0.25">
      <c r="B81" t="str">
        <f t="shared" si="27"/>
        <v>"DIVISLAB","open":"1,120.65","high":"1,120.80","low":"1,081.00","ltP":"1,110.70","ptsC":"26.05","per":"2.40","trdVol":"6.30","trdVolM":"0.63","ntP":"69.00","mVal":"0.69","wkhi":"1,242.35","wklo":"863.90","wkhicm_adj":"1,888.05","wklocm_adj":"1,097.00","xDt":"17-MAR-2016","cAct":"INTERIM DIVIDEND - RS 10\/- PER SHARE (PURPOSE REVISED)","yPC":"-38.56","mPC":"6.57"</v>
      </c>
      <c r="C81" s="13" t="s">
        <v>81</v>
      </c>
      <c r="D81" s="6" t="str">
        <f t="shared" si="22"/>
        <v>1,120.65</v>
      </c>
      <c r="E81" s="6" t="str">
        <f t="shared" si="22"/>
        <v>1,120.80</v>
      </c>
      <c r="F81" s="6" t="str">
        <f t="shared" si="22"/>
        <v>1,081.00</v>
      </c>
      <c r="G81" s="6" t="str">
        <f t="shared" si="22"/>
        <v>1,110.70</v>
      </c>
      <c r="H81" s="7" t="str">
        <f t="shared" si="28"/>
        <v xml:space="preserve">   </v>
      </c>
      <c r="I81" s="8" t="str">
        <f t="shared" si="29"/>
        <v xml:space="preserve">   </v>
      </c>
      <c r="J81" s="9" t="str">
        <f t="shared" si="30"/>
        <v xml:space="preserve">   </v>
      </c>
      <c r="K81" s="10" t="str">
        <f t="shared" si="31"/>
        <v xml:space="preserve">   </v>
      </c>
    </row>
    <row r="82" spans="2:11" x14ac:dyDescent="0.25">
      <c r="B82" t="str">
        <f t="shared" si="27"/>
        <v>"DLF","open":"129.00","high":"133.90","low":"126.05","ltP":"126.65","ptsC":"-2.30","per":"-1.78","trdVol":"106.18","trdVolM":"10.62","ntP":"137.24","mVal":"1.37","wkhi":"142.90","wklo":"72.35","wkhicm_adj":"242.95","wklocm_adj":"100.10","xDt":"28-MAR-2016","cAct":"INTERIM DIVIDEND - RS 2\/- PER SHARE (PURPOSE REVISED)","yPC":"6.07","mPC":"2.72"</v>
      </c>
      <c r="C82" s="13" t="s">
        <v>82</v>
      </c>
      <c r="D82" s="6" t="str">
        <f t="shared" si="22"/>
        <v>129.00</v>
      </c>
      <c r="E82" s="6" t="str">
        <f t="shared" si="22"/>
        <v>133.90</v>
      </c>
      <c r="F82" s="6" t="str">
        <f t="shared" si="22"/>
        <v>126.05</v>
      </c>
      <c r="G82" s="6" t="str">
        <f t="shared" si="22"/>
        <v>126.65</v>
      </c>
      <c r="H82" s="7" t="str">
        <f t="shared" si="28"/>
        <v xml:space="preserve">   </v>
      </c>
      <c r="I82" s="8" t="str">
        <f t="shared" si="29"/>
        <v xml:space="preserve">   </v>
      </c>
      <c r="J82" s="9" t="str">
        <f t="shared" si="30"/>
        <v xml:space="preserve">   </v>
      </c>
      <c r="K82" s="10" t="str">
        <f t="shared" si="31"/>
        <v xml:space="preserve">   </v>
      </c>
    </row>
    <row r="83" spans="2:11" x14ac:dyDescent="0.25">
      <c r="B83" t="str">
        <f t="shared" si="27"/>
        <v>"EMAMILTD","open":"1,016.20","high":"1,032.00","low":"1,007.50","ltP":"1,025.40","ptsC":"10.50","per":"1.03","trdVol":"0.91","trdVolM":"0.09","ntP":"9.27","mVal":"0.09","wkhi":"1,365.00","wklo":"901.00","wkhicm_adj":"824.70","wklocm_adj":"420.00","xDt":"31-DEC-2999","cAct":"-","yPC":"-7.11","mPC":"1.79"</v>
      </c>
      <c r="C83" s="13" t="s">
        <v>83</v>
      </c>
      <c r="D83" s="6" t="str">
        <f t="shared" si="22"/>
        <v>1,016.20</v>
      </c>
      <c r="E83" s="6" t="str">
        <f t="shared" si="22"/>
        <v>1,032.00</v>
      </c>
      <c r="F83" s="6" t="str">
        <f t="shared" si="22"/>
        <v>1,007.50</v>
      </c>
      <c r="G83" s="6" t="str">
        <f t="shared" si="22"/>
        <v>1,025.40</v>
      </c>
      <c r="H83" s="7" t="str">
        <f t="shared" si="28"/>
        <v xml:space="preserve">   </v>
      </c>
      <c r="I83" s="8" t="str">
        <f t="shared" si="29"/>
        <v xml:space="preserve">   </v>
      </c>
      <c r="J83" s="9" t="str">
        <f t="shared" si="30"/>
        <v xml:space="preserve">   </v>
      </c>
      <c r="K83" s="10" t="str">
        <f t="shared" si="31"/>
        <v xml:space="preserve">   </v>
      </c>
    </row>
    <row r="84" spans="2:11" x14ac:dyDescent="0.25">
      <c r="B84" t="str">
        <f t="shared" si="27"/>
        <v>"GLAXO","open":"3,482.00","high":"3,588.60","low":"3,482.00","ltP":"3,581.90","ptsC":"53.55","per":"1.52","trdVol":"0.03","trdVolM":"0.00","ntP":"1.20","mVal":"0.01","wkhi":"3,872.00","wklo":"3,032.05","wkhicm_adj":"3,054.50","wklocm_adj":"2,365.00","xDt":"31-DEC-2999","cAct":"-","yPC":"11.90","mPC":"-4.96"</v>
      </c>
      <c r="C84" s="13" t="s">
        <v>84</v>
      </c>
      <c r="D84" s="6" t="str">
        <f t="shared" si="22"/>
        <v>3,482.00</v>
      </c>
      <c r="E84" s="6" t="str">
        <f t="shared" si="22"/>
        <v>3,588.60</v>
      </c>
      <c r="F84" s="6" t="str">
        <f t="shared" si="22"/>
        <v>3,482.00</v>
      </c>
      <c r="G84" s="6" t="str">
        <f t="shared" si="22"/>
        <v>3,581.90</v>
      </c>
      <c r="H84" s="7" t="str">
        <f t="shared" si="28"/>
        <v xml:space="preserve">LONG </v>
      </c>
      <c r="I84" s="8">
        <f t="shared" si="29"/>
        <v>3492</v>
      </c>
      <c r="J84" s="9">
        <f t="shared" si="30"/>
        <v>3464.59</v>
      </c>
      <c r="K84" s="10">
        <f t="shared" si="31"/>
        <v>2.5744558991981699E-2</v>
      </c>
    </row>
    <row r="85" spans="2:11" x14ac:dyDescent="0.25">
      <c r="B85" t="str">
        <f t="shared" si="27"/>
        <v>"GLENMARK","open":"876.50","high":"887.35","low":"874.80","ltP":"875.00","ptsC":"-0.50","per":"-0.06","trdVol":"2.39","trdVolM":"0.24","ntP":"21.02","mVal":"0.21","wkhi":"1,262.90","wklo":"671.10","wkhicm_adj":"841.00","wklocm_adj":"493.00","xDt":"31-DEC-2999","cAct":"-","yPC":"2.05","mPC":"5.85"</v>
      </c>
      <c r="C85" s="13" t="s">
        <v>85</v>
      </c>
      <c r="D85" s="6" t="str">
        <f t="shared" si="22"/>
        <v>876.50</v>
      </c>
      <c r="E85" s="6" t="str">
        <f t="shared" si="22"/>
        <v>887.35</v>
      </c>
      <c r="F85" s="6" t="str">
        <f t="shared" si="22"/>
        <v>874.80</v>
      </c>
      <c r="G85" s="6" t="str">
        <f t="shared" si="22"/>
        <v>875.00</v>
      </c>
      <c r="H85" s="7" t="str">
        <f t="shared" si="28"/>
        <v xml:space="preserve">   </v>
      </c>
      <c r="I85" s="8" t="str">
        <f t="shared" si="29"/>
        <v xml:space="preserve">   </v>
      </c>
      <c r="J85" s="9" t="str">
        <f t="shared" si="30"/>
        <v xml:space="preserve">   </v>
      </c>
      <c r="K85" s="10" t="str">
        <f t="shared" si="31"/>
        <v xml:space="preserve">   </v>
      </c>
    </row>
    <row r="86" spans="2:11" x14ac:dyDescent="0.25">
      <c r="B86" t="str">
        <f t="shared" si="27"/>
        <v>"GODREJCP","open":"1,527.10","high":"1,536.85","low":"1,512.00","ltP":"1,528.00","ptsC":"1.55","per":"0.10","trdVol":"1.82","trdVolM":"0.18","ntP":"27.73","mVal":"0.28","wkhi":"1,536.85","wklo":"1,037.00","wkhicm_adj":"1,119.00","wklocm_adj":"667.00","xDt":"10-MAY-2016","cAct":"INTERIM DIVIDEND - RS 2.75\/- PER SHARE (PURPOSE REVISED)","yPC":"39.38","mPC":"11.65"</v>
      </c>
      <c r="C86" s="13" t="s">
        <v>86</v>
      </c>
      <c r="D86" s="6" t="str">
        <f t="shared" ref="D86:G105" si="32">MID($B86,FIND(D$9,$B86)+LEN(D$9)+3,FIND(CHAR(34),$B86,FIND(D$9,$B86)+LEN(D$9)+3)-(FIND(D$9,$B86)+LEN(D$9)+3))</f>
        <v>1,527.10</v>
      </c>
      <c r="E86" s="6" t="str">
        <f t="shared" si="32"/>
        <v>1,536.85</v>
      </c>
      <c r="F86" s="6" t="str">
        <f t="shared" si="32"/>
        <v>1,512.00</v>
      </c>
      <c r="G86" s="6" t="str">
        <f t="shared" si="32"/>
        <v>1,528.00</v>
      </c>
      <c r="H86" s="7" t="str">
        <f t="shared" si="28"/>
        <v xml:space="preserve">   </v>
      </c>
      <c r="I86" s="8" t="str">
        <f t="shared" si="29"/>
        <v xml:space="preserve">   </v>
      </c>
      <c r="J86" s="9" t="str">
        <f t="shared" si="30"/>
        <v xml:space="preserve">   </v>
      </c>
      <c r="K86" s="10" t="str">
        <f t="shared" si="31"/>
        <v xml:space="preserve">   </v>
      </c>
    </row>
    <row r="87" spans="2:11" x14ac:dyDescent="0.25">
      <c r="B87" t="str">
        <f t="shared" si="27"/>
        <v>"GSKCONS","open":"5,919.00","high":"6,036.00","low":"5,880.00","ltP":"5,995.65","ptsC":"82.85","per":"1.40","trdVol":"0.07","trdVolM":"0.01","ntP":"4.43","mVal":"0.04","wkhi":"6,800.00","wklo":"5,405.00","wkhicm_adj":"5,999.00","wklocm_adj":"4,011.00","xDt":"31-DEC-2999","cAct":"-","yPC":"-5.97","mPC":"-0.35"</v>
      </c>
      <c r="C87" s="13" t="s">
        <v>87</v>
      </c>
      <c r="D87" s="6" t="str">
        <f t="shared" si="32"/>
        <v>5,919.00</v>
      </c>
      <c r="E87" s="6" t="str">
        <f t="shared" si="32"/>
        <v>6,036.00</v>
      </c>
      <c r="F87" s="6" t="str">
        <f t="shared" si="32"/>
        <v>5,880.00</v>
      </c>
      <c r="G87" s="6" t="str">
        <f t="shared" si="32"/>
        <v>5,995.65</v>
      </c>
      <c r="H87" s="7" t="str">
        <f t="shared" si="28"/>
        <v xml:space="preserve">   </v>
      </c>
      <c r="I87" s="8" t="str">
        <f t="shared" si="29"/>
        <v xml:space="preserve">   </v>
      </c>
      <c r="J87" s="9" t="str">
        <f t="shared" si="30"/>
        <v xml:space="preserve">   </v>
      </c>
      <c r="K87" s="10" t="str">
        <f t="shared" si="31"/>
        <v xml:space="preserve">   </v>
      </c>
    </row>
    <row r="88" spans="2:11" x14ac:dyDescent="0.25">
      <c r="B88" t="str">
        <f t="shared" si="27"/>
        <v>"HINDPETRO","open":"938.00","high":"945.10","low":"910.05","ltP":"912.20","ptsC":"-19.45","per":"-2.09","trdVol":"19.67","trdVolM":"1.97","ntP":"180.77","mVal":"1.81","wkhi":"990.95","wklo":"625.70","wkhicm_adj":"627.80","wklocm_adj":"205.05","xDt":"17-MAR-2016","cAct":"INTERIM DIVIDEND - RS 7\/- PER SHARE (PURPOSE REVISED)","yPC":"43.46","mPC":"6.31"</v>
      </c>
      <c r="C88" s="13" t="s">
        <v>66</v>
      </c>
      <c r="D88" s="6" t="str">
        <f t="shared" si="32"/>
        <v>938.00</v>
      </c>
      <c r="E88" s="6" t="str">
        <f t="shared" si="32"/>
        <v>945.10</v>
      </c>
      <c r="F88" s="6" t="str">
        <f t="shared" si="32"/>
        <v>910.05</v>
      </c>
      <c r="G88" s="6" t="str">
        <f t="shared" si="32"/>
        <v>912.20</v>
      </c>
      <c r="H88" s="7" t="str">
        <f t="shared" si="28"/>
        <v xml:space="preserve">   </v>
      </c>
      <c r="I88" s="8" t="str">
        <f t="shared" si="29"/>
        <v xml:space="preserve">   </v>
      </c>
      <c r="J88" s="9" t="str">
        <f t="shared" si="30"/>
        <v xml:space="preserve">   </v>
      </c>
      <c r="K88" s="10" t="str">
        <f t="shared" si="31"/>
        <v xml:space="preserve">   </v>
      </c>
    </row>
    <row r="89" spans="2:11" x14ac:dyDescent="0.25">
      <c r="B89" t="str">
        <f t="shared" si="27"/>
        <v>"HINDZINC","open":"169.95","high":"172.90","low":"167.15","ltP":"172.35","ptsC":"3.85","per":"2.28","trdVol":"8.65","trdVolM":"0.87","ntP":"14.70","mVal":"0.15","wkhi":"196.80","wklo":"117.05","wkhicm_adj":"184.00","wklocm_adj":"114.80","xDt":"31-DEC-2999","cAct":"-","yPC":"0.61","mPC":"-0.32"</v>
      </c>
      <c r="C89" s="13" t="s">
        <v>88</v>
      </c>
      <c r="D89" s="6" t="str">
        <f t="shared" si="32"/>
        <v>169.95</v>
      </c>
      <c r="E89" s="6" t="str">
        <f t="shared" si="32"/>
        <v>172.90</v>
      </c>
      <c r="F89" s="6" t="str">
        <f t="shared" si="32"/>
        <v>167.15</v>
      </c>
      <c r="G89" s="6" t="str">
        <f t="shared" si="32"/>
        <v>172.35</v>
      </c>
      <c r="H89" s="7" t="str">
        <f t="shared" si="28"/>
        <v xml:space="preserve">   </v>
      </c>
      <c r="I89" s="8" t="str">
        <f t="shared" si="29"/>
        <v xml:space="preserve">   </v>
      </c>
      <c r="J89" s="9" t="str">
        <f t="shared" si="30"/>
        <v xml:space="preserve">   </v>
      </c>
      <c r="K89" s="10" t="str">
        <f t="shared" si="31"/>
        <v xml:space="preserve">   </v>
      </c>
    </row>
    <row r="90" spans="2:11" x14ac:dyDescent="0.25">
      <c r="B90" t="str">
        <f t="shared" si="27"/>
        <v>"IBULHSGFIN","open":"750.00","high":"754.25","low":"730.25","ltP":"738.95","ptsC":"-4.80","per":"-0.65","trdVol":"6.24","trdVolM":"0.62","ntP":"46.43","mVal":"0.46","wkhi":"820.85","wklo":"541.50","wkhicm_adj":"484.95","wklocm_adj":"187.05","xDt":"18-MAR-2016","cAct":"INTERIM DIVIDEND - RS 9\/- PER SHARE","yPC":"24.60","mPC":"5.14"</v>
      </c>
      <c r="C90" s="13" t="s">
        <v>89</v>
      </c>
      <c r="D90" s="6" t="str">
        <f t="shared" si="32"/>
        <v>750.00</v>
      </c>
      <c r="E90" s="6" t="str">
        <f t="shared" si="32"/>
        <v>754.25</v>
      </c>
      <c r="F90" s="6" t="str">
        <f t="shared" si="32"/>
        <v>730.25</v>
      </c>
      <c r="G90" s="6" t="str">
        <f t="shared" si="32"/>
        <v>738.95</v>
      </c>
      <c r="H90" s="7" t="str">
        <f t="shared" si="28"/>
        <v xml:space="preserve">   </v>
      </c>
      <c r="I90" s="8" t="str">
        <f t="shared" si="29"/>
        <v xml:space="preserve">   </v>
      </c>
      <c r="J90" s="9" t="str">
        <f t="shared" si="30"/>
        <v xml:space="preserve">   </v>
      </c>
      <c r="K90" s="10" t="str">
        <f t="shared" si="31"/>
        <v xml:space="preserve">   </v>
      </c>
    </row>
    <row r="91" spans="2:11" x14ac:dyDescent="0.25">
      <c r="B91" t="str">
        <f t="shared" si="27"/>
        <v>"IOC","open":"412.00","high":"412.80","low":"402.05","ltP":"403.00","ptsC":"-9.95","per":"-2.41","trdVol":"17.34","trdVolM":"1.73","ntP":"70.38","mVal":"0.70","wkhi":"465.90","wklo":"336.20","wkhicm_adj":"411.20","wklocm_adj":"193.75","xDt":"31-DEC-2999","cAct":"-","yPC":"11.74","mPC":"-7.81"</v>
      </c>
      <c r="C91" s="13" t="s">
        <v>90</v>
      </c>
      <c r="D91" s="6" t="str">
        <f t="shared" si="32"/>
        <v>412.00</v>
      </c>
      <c r="E91" s="6" t="str">
        <f t="shared" si="32"/>
        <v>412.80</v>
      </c>
      <c r="F91" s="6" t="str">
        <f t="shared" si="32"/>
        <v>402.05</v>
      </c>
      <c r="G91" s="6" t="str">
        <f t="shared" si="32"/>
        <v>403.00</v>
      </c>
      <c r="H91" s="7" t="str">
        <f t="shared" si="28"/>
        <v xml:space="preserve">   </v>
      </c>
      <c r="I91" s="8" t="str">
        <f t="shared" si="29"/>
        <v xml:space="preserve">   </v>
      </c>
      <c r="J91" s="9" t="str">
        <f t="shared" si="30"/>
        <v xml:space="preserve">   </v>
      </c>
      <c r="K91" s="10" t="str">
        <f t="shared" si="31"/>
        <v xml:space="preserve">   </v>
      </c>
    </row>
    <row r="92" spans="2:11" x14ac:dyDescent="0.25">
      <c r="B92" t="str">
        <f t="shared" si="27"/>
        <v>"JSWSTEEL","open":"1,378.00","high":"1,393.00","low":"1,357.80","ltP":"1,374.95","ptsC":"-0.70","per":"-0.05","trdVol":"4.73","trdVolM":"0.47","ntP":"65.00","mVal":"0.65","wkhi":"1,393.00","wklo":"800.00","wkhicm_adj":"1,366.50","wklocm_adj":"804.00","xDt":"31-DEC-2999","cAct":"-","yPC":"50.09","mPC":"0.91"</v>
      </c>
      <c r="C92" s="13" t="s">
        <v>91</v>
      </c>
      <c r="D92" s="6" t="str">
        <f t="shared" si="32"/>
        <v>1,378.00</v>
      </c>
      <c r="E92" s="6" t="str">
        <f t="shared" si="32"/>
        <v>1,393.00</v>
      </c>
      <c r="F92" s="6" t="str">
        <f t="shared" si="32"/>
        <v>1,357.80</v>
      </c>
      <c r="G92" s="6" t="str">
        <f t="shared" si="32"/>
        <v>1,374.95</v>
      </c>
      <c r="H92" s="7" t="str">
        <f t="shared" si="28"/>
        <v xml:space="preserve">   </v>
      </c>
      <c r="I92" s="8" t="str">
        <f t="shared" si="29"/>
        <v xml:space="preserve">   </v>
      </c>
      <c r="J92" s="9" t="str">
        <f t="shared" si="30"/>
        <v xml:space="preserve">   </v>
      </c>
      <c r="K92" s="10" t="str">
        <f t="shared" si="31"/>
        <v xml:space="preserve">   </v>
      </c>
    </row>
    <row r="93" spans="2:11" x14ac:dyDescent="0.25">
      <c r="B93" t="str">
        <f t="shared" si="27"/>
        <v>"LICHSGFIN","open":"463.90","high":"470.40","low":"460.55","ltP":"469.20","ptsC":"7.25","per":"1.57","trdVol":"14.23","trdVolM":"1.42","ntP":"66.36","mVal":"0.66","wkhi":"523.95","wklo":"388.65","wkhicm_adj":"429.50","wklocm_adj":"187.05","xDt":"31-DEC-2999","cAct":"-","yPC":"14.11","mPC":"1.44"</v>
      </c>
      <c r="C93" s="13" t="s">
        <v>92</v>
      </c>
      <c r="D93" s="6" t="str">
        <f t="shared" si="32"/>
        <v>463.90</v>
      </c>
      <c r="E93" s="6" t="str">
        <f t="shared" si="32"/>
        <v>470.40</v>
      </c>
      <c r="F93" s="6" t="str">
        <f t="shared" si="32"/>
        <v>460.55</v>
      </c>
      <c r="G93" s="6" t="str">
        <f t="shared" si="32"/>
        <v>469.20</v>
      </c>
      <c r="H93" s="7" t="str">
        <f t="shared" si="28"/>
        <v xml:space="preserve">   </v>
      </c>
      <c r="I93" s="8" t="str">
        <f t="shared" si="29"/>
        <v xml:space="preserve">   </v>
      </c>
      <c r="J93" s="9" t="str">
        <f t="shared" si="30"/>
        <v xml:space="preserve">   </v>
      </c>
      <c r="K93" s="10" t="str">
        <f t="shared" si="31"/>
        <v xml:space="preserve">   </v>
      </c>
    </row>
    <row r="94" spans="2:11" x14ac:dyDescent="0.25">
      <c r="B94" t="str">
        <f t="shared" si="27"/>
        <v>"MARICO","open":"257.00","high":"260.45","low":"252.80","ltP":"254.55","ptsC":"-2.75","per":"-1.07","trdVol":"4.90","trdVolM":"0.49","ntP":"12.54","mVal":"0.13","wkhi":"269.25","wklo":"189.30","wkhicm_adj":"350.20","wklocm_adj":"200.05","xDt":"17-MAR-2016","cAct":"INTERIM DIVIDEND - RE 1\/- PER SHARE (PURPOSE REVISED)","yPC":"-37.88","mPC":"1.82"</v>
      </c>
      <c r="C94" s="13" t="s">
        <v>93</v>
      </c>
      <c r="D94" s="6" t="str">
        <f t="shared" si="32"/>
        <v>257.00</v>
      </c>
      <c r="E94" s="6" t="str">
        <f t="shared" si="32"/>
        <v>260.45</v>
      </c>
      <c r="F94" s="6" t="str">
        <f t="shared" si="32"/>
        <v>252.80</v>
      </c>
      <c r="G94" s="6" t="str">
        <f t="shared" si="32"/>
        <v>254.55</v>
      </c>
      <c r="H94" s="7" t="str">
        <f t="shared" si="28"/>
        <v xml:space="preserve">   </v>
      </c>
      <c r="I94" s="8" t="str">
        <f t="shared" si="29"/>
        <v xml:space="preserve">   </v>
      </c>
      <c r="J94" s="9" t="str">
        <f t="shared" si="30"/>
        <v xml:space="preserve">   </v>
      </c>
      <c r="K94" s="10" t="str">
        <f t="shared" si="31"/>
        <v xml:space="preserve">   </v>
      </c>
    </row>
    <row r="95" spans="2:11" x14ac:dyDescent="0.25">
      <c r="B95" t="str">
        <f t="shared" si="27"/>
        <v>"MCDOWELL-N","open":"2,505.00","high":"2,507.00","low":"2,464.10","ltP":"2,487.90","ptsC":"6.75","per":"0.27","trdVol":"1.35","trdVolM":"0.13","ntP":"33.55","mVal":"0.34","wkhi":"3,837.90","wklo":"2,225.45","wkhicm_adj":"2,940.80","wklocm_adj":"2,225.00","xDt":"31-DEC-2999","cAct":"-","yPC":"-27.40","mPC":"5.27"</v>
      </c>
      <c r="C95" s="13" t="s">
        <v>94</v>
      </c>
      <c r="D95" s="6" t="str">
        <f t="shared" si="32"/>
        <v>2,505.00</v>
      </c>
      <c r="E95" s="6" t="str">
        <f t="shared" si="32"/>
        <v>2,507.00</v>
      </c>
      <c r="F95" s="6" t="str">
        <f t="shared" si="32"/>
        <v>2,464.10</v>
      </c>
      <c r="G95" s="6" t="str">
        <f t="shared" si="32"/>
        <v>2,487.90</v>
      </c>
      <c r="H95" s="7" t="str">
        <f t="shared" si="28"/>
        <v xml:space="preserve">   </v>
      </c>
      <c r="I95" s="8" t="str">
        <f t="shared" si="29"/>
        <v xml:space="preserve">   </v>
      </c>
      <c r="J95" s="9" t="str">
        <f t="shared" si="30"/>
        <v xml:space="preserve">   </v>
      </c>
      <c r="K95" s="10" t="str">
        <f t="shared" si="31"/>
        <v xml:space="preserve">   </v>
      </c>
    </row>
    <row r="96" spans="2:11" x14ac:dyDescent="0.25">
      <c r="B96" t="str">
        <f t="shared" si="27"/>
        <v>"MOTHERSUMI","open":"278.10","high":"286.75","low":"276.00","ltP":"284.80","ptsC":"5.55","per":"1.99","trdVol":"23.83","trdVolM":"2.38","ntP":"67.40","mVal":"0.67","wkhi":"396.00","wklo":"205.90","wkhicm_adj":"450.70","wklocm_adj":"178.25","xDt":"22-MAR-2016","cAct":"INTERIM DIVIDEND - RS 2.50\/- PER SHARE (PURPOSE REVISED)","yPC":"-39.88","mPC":"8.29"</v>
      </c>
      <c r="C96" s="13" t="s">
        <v>95</v>
      </c>
      <c r="D96" s="6" t="str">
        <f t="shared" si="32"/>
        <v>278.10</v>
      </c>
      <c r="E96" s="6" t="str">
        <f t="shared" si="32"/>
        <v>286.75</v>
      </c>
      <c r="F96" s="6" t="str">
        <f t="shared" si="32"/>
        <v>276.00</v>
      </c>
      <c r="G96" s="6" t="str">
        <f t="shared" si="32"/>
        <v>284.80</v>
      </c>
      <c r="H96" s="7" t="str">
        <f t="shared" si="28"/>
        <v xml:space="preserve">   </v>
      </c>
      <c r="I96" s="8" t="str">
        <f t="shared" si="29"/>
        <v xml:space="preserve">   </v>
      </c>
      <c r="J96" s="9" t="str">
        <f t="shared" si="30"/>
        <v xml:space="preserve">   </v>
      </c>
      <c r="K96" s="10" t="str">
        <f t="shared" si="31"/>
        <v xml:space="preserve">   </v>
      </c>
    </row>
    <row r="97" spans="2:11" x14ac:dyDescent="0.25">
      <c r="B97" t="str">
        <f t="shared" si="27"/>
        <v>"NHPC","open":"22.80","high":"23.95","low":"22.05","ltP":"22.70","ptsC":"-0.40","per":"-1.73","trdVol":"118.14","trdVolM":"11.81","ntP":"27.04","mVal":"0.27","wkhi":"24.45","wklo":"15.55","wkhicm_adj":"29.60","wklocm_adj":"17.35","xDt":"31-DEC-2999","cAct":"-","yPC":"12.38","mPC":"5.34"</v>
      </c>
      <c r="C97" s="13" t="s">
        <v>96</v>
      </c>
      <c r="D97" s="6" t="str">
        <f t="shared" si="32"/>
        <v>22.80</v>
      </c>
      <c r="E97" s="6" t="str">
        <f t="shared" si="32"/>
        <v>23.95</v>
      </c>
      <c r="F97" s="6" t="str">
        <f t="shared" si="32"/>
        <v>22.05</v>
      </c>
      <c r="G97" s="6" t="str">
        <f t="shared" si="32"/>
        <v>22.70</v>
      </c>
      <c r="H97" s="7" t="str">
        <f t="shared" si="28"/>
        <v xml:space="preserve">   </v>
      </c>
      <c r="I97" s="8" t="str">
        <f t="shared" si="29"/>
        <v xml:space="preserve">   </v>
      </c>
      <c r="J97" s="9" t="str">
        <f t="shared" si="30"/>
        <v xml:space="preserve">   </v>
      </c>
      <c r="K97" s="10" t="str">
        <f t="shared" si="31"/>
        <v xml:space="preserve">   </v>
      </c>
    </row>
    <row r="98" spans="2:11" x14ac:dyDescent="0.25">
      <c r="B98" t="str">
        <f t="shared" si="27"/>
        <v>"NMDC","open":"93.05","high":"93.25","low":"87.95","ltP":"90.05","ptsC":"-2.65","per":"-2.86","trdVol":"27.13","trdVolM":"2.71","ntP":"24.53","mVal":"0.25","wkhi":"133.50","wklo":"75.15","wkhicm_adj":"196.00","wklocm_adj":"123.10","xDt":"30-MAR-2016","cAct":"INTERIM DIVIDEND - RS 1.50\/- PER SHARE (PURPOSE REVISED)","yPC":"-31.44","mPC":"-8.81"</v>
      </c>
      <c r="C98" s="13" t="s">
        <v>59</v>
      </c>
      <c r="D98" s="6" t="str">
        <f t="shared" si="32"/>
        <v>93.05</v>
      </c>
      <c r="E98" s="6" t="str">
        <f t="shared" si="32"/>
        <v>93.25</v>
      </c>
      <c r="F98" s="6" t="str">
        <f t="shared" si="32"/>
        <v>87.95</v>
      </c>
      <c r="G98" s="6" t="str">
        <f t="shared" si="32"/>
        <v>90.05</v>
      </c>
      <c r="H98" s="7" t="str">
        <f t="shared" si="28"/>
        <v xml:space="preserve">   </v>
      </c>
      <c r="I98" s="8" t="str">
        <f t="shared" si="29"/>
        <v xml:space="preserve">   </v>
      </c>
      <c r="J98" s="9" t="str">
        <f t="shared" si="30"/>
        <v xml:space="preserve">   </v>
      </c>
      <c r="K98" s="10" t="str">
        <f t="shared" si="31"/>
        <v xml:space="preserve">   </v>
      </c>
    </row>
    <row r="99" spans="2:11" x14ac:dyDescent="0.25">
      <c r="B99" t="str">
        <f t="shared" si="27"/>
        <v>"OFSS","open":"3,524.00","high":"3,524.00","low":"3,462.70","ltP":"3,479.90","ptsC":"-6.85","per":"-0.20","trdVol":"0.19","trdVolM":"0.02","ntP":"6.55","mVal":"0.07","wkhi":"4,444.00","wklo":"3,100.00","wkhicm_adj":"4,180.00","wklocm_adj":"2,770.00","xDt":"31-DEC-2999","cAct":"-","yPC":"-4.13","mPC":"-2.03"</v>
      </c>
      <c r="C99" s="13" t="s">
        <v>97</v>
      </c>
      <c r="D99" s="6" t="str">
        <f t="shared" si="32"/>
        <v>3,524.00</v>
      </c>
      <c r="E99" s="6" t="str">
        <f t="shared" si="32"/>
        <v>3,524.00</v>
      </c>
      <c r="F99" s="6" t="str">
        <f t="shared" si="32"/>
        <v>3,462.70</v>
      </c>
      <c r="G99" s="6" t="str">
        <f t="shared" si="32"/>
        <v>3,479.90</v>
      </c>
      <c r="H99" s="7" t="str">
        <f t="shared" si="28"/>
        <v xml:space="preserve">SHORT </v>
      </c>
      <c r="I99" s="8">
        <f t="shared" si="29"/>
        <v>3514</v>
      </c>
      <c r="J99" s="9">
        <f t="shared" si="30"/>
        <v>3541.62</v>
      </c>
      <c r="K99" s="10">
        <f t="shared" si="31"/>
        <v>9.7040409789413522E-3</v>
      </c>
    </row>
    <row r="100" spans="2:11" x14ac:dyDescent="0.25">
      <c r="B100" t="str">
        <f t="shared" si="27"/>
        <v>"OIL","open":"351.90","high":"354.95","low":"343.10","ltP":"350.00","ptsC":"1.30","per":"0.37","trdVol":"2.52","trdVolM":"0.25","ntP":"8.78","mVal":"0.09","wkhi":"487.55","wklo":"300.35","wkhicm_adj":"669.95","wklocm_adj":"438.00","xDt":"31-DEC-2999","cAct":"-","yPC":"-26.48","mPC":"6.74"</v>
      </c>
      <c r="C100" s="13" t="s">
        <v>98</v>
      </c>
      <c r="D100" s="6" t="str">
        <f t="shared" si="32"/>
        <v>351.90</v>
      </c>
      <c r="E100" s="6" t="str">
        <f t="shared" si="32"/>
        <v>354.95</v>
      </c>
      <c r="F100" s="6" t="str">
        <f t="shared" si="32"/>
        <v>343.10</v>
      </c>
      <c r="G100" s="6" t="str">
        <f t="shared" si="32"/>
        <v>350.00</v>
      </c>
      <c r="H100" s="7" t="str">
        <f t="shared" si="28"/>
        <v xml:space="preserve">   </v>
      </c>
      <c r="I100" s="8" t="str">
        <f t="shared" si="29"/>
        <v xml:space="preserve">   </v>
      </c>
      <c r="J100" s="9" t="str">
        <f t="shared" si="30"/>
        <v xml:space="preserve">   </v>
      </c>
      <c r="K100" s="10" t="str">
        <f t="shared" si="31"/>
        <v xml:space="preserve">   </v>
      </c>
    </row>
    <row r="101" spans="2:11" x14ac:dyDescent="0.25">
      <c r="B101" t="str">
        <f t="shared" si="27"/>
        <v>"PFC","open":"166.55","high":"170.90","low":"165.80","ltP":"168.95","ptsC":"2.65","per":"1.59","trdVol":"16.22","trdVolM":"1.62","ntP":"27.24","mVal":"0.27","wkhi":"283.40","wklo":"140.25","wkhicm_adj":"344.75","wklocm_adj":"128.75","xDt":"31-DEC-2999","cAct":"-","yPC":"-39.75","mPC":"-5.77"</v>
      </c>
      <c r="C101" s="13" t="s">
        <v>99</v>
      </c>
      <c r="D101" s="6" t="str">
        <f t="shared" si="32"/>
        <v>166.55</v>
      </c>
      <c r="E101" s="6" t="str">
        <f t="shared" si="32"/>
        <v>170.90</v>
      </c>
      <c r="F101" s="6" t="str">
        <f t="shared" si="32"/>
        <v>165.80</v>
      </c>
      <c r="G101" s="6" t="str">
        <f t="shared" si="32"/>
        <v>168.95</v>
      </c>
      <c r="H101" s="7" t="str">
        <f t="shared" si="28"/>
        <v xml:space="preserve">   </v>
      </c>
      <c r="I101" s="8" t="str">
        <f t="shared" si="29"/>
        <v xml:space="preserve">   </v>
      </c>
      <c r="J101" s="9" t="str">
        <f t="shared" si="30"/>
        <v xml:space="preserve">   </v>
      </c>
      <c r="K101" s="10" t="str">
        <f t="shared" si="31"/>
        <v xml:space="preserve">   </v>
      </c>
    </row>
    <row r="102" spans="2:11" x14ac:dyDescent="0.25">
      <c r="B102" t="str">
        <f t="shared" si="27"/>
        <v>"PGHH","open":"6,289.00","high":"6,294.70","low":"6,177.10","ltP":"6,237.05","ptsC":"-52.50","per":"-0.83","trdVol":"0.03","trdVolM":"0.00","ntP":"1.72","mVal":"0.02","wkhi":"6,995.00","wklo":"5,178.65","wkhicm_adj":"5,949.00","wklocm_adj":"2,752.00","xDt":"31-DEC-2999","cAct":"-","yPC":"-2.90","mPC":"-2.90"</v>
      </c>
      <c r="C102" s="13" t="s">
        <v>100</v>
      </c>
      <c r="D102" s="6" t="str">
        <f t="shared" si="32"/>
        <v>6,289.00</v>
      </c>
      <c r="E102" s="6" t="str">
        <f t="shared" si="32"/>
        <v>6,294.70</v>
      </c>
      <c r="F102" s="6" t="str">
        <f t="shared" si="32"/>
        <v>6,177.10</v>
      </c>
      <c r="G102" s="6" t="str">
        <f t="shared" si="32"/>
        <v>6,237.05</v>
      </c>
      <c r="H102" s="7" t="str">
        <f t="shared" si="28"/>
        <v xml:space="preserve">   </v>
      </c>
      <c r="I102" s="8" t="str">
        <f t="shared" si="29"/>
        <v xml:space="preserve">   </v>
      </c>
      <c r="J102" s="9" t="str">
        <f t="shared" si="30"/>
        <v xml:space="preserve">   </v>
      </c>
      <c r="K102" s="10" t="str">
        <f t="shared" si="31"/>
        <v xml:space="preserve">   </v>
      </c>
    </row>
    <row r="103" spans="2:11" x14ac:dyDescent="0.25">
      <c r="B103" t="str">
        <f t="shared" si="27"/>
        <v>"PIDILITIND","open":"698.50","high":"708.65","low":"691.35","ltP":"697.10","ptsC":"2.45","per":"0.35","trdVol":"2.86","trdVolM":"0.29","ntP":"20.01","mVal":"0.20","wkhi":"709.00","wklo":"507.30","wkhicm_adj":"505.90","wklocm_adj":"269.60","xDt":"18-MAR-2016","cAct":"INTERIM DIVIDEND - RS 3.65\/- PER SHARE (PURPOSE REVISED)","yPC":"26.41","mPC":"14.96"</v>
      </c>
      <c r="C103" s="13" t="s">
        <v>101</v>
      </c>
      <c r="D103" s="6" t="str">
        <f t="shared" si="32"/>
        <v>698.50</v>
      </c>
      <c r="E103" s="6" t="str">
        <f t="shared" si="32"/>
        <v>708.65</v>
      </c>
      <c r="F103" s="6" t="str">
        <f t="shared" si="32"/>
        <v>691.35</v>
      </c>
      <c r="G103" s="6" t="str">
        <f t="shared" si="32"/>
        <v>697.10</v>
      </c>
      <c r="H103" s="7" t="str">
        <f t="shared" si="28"/>
        <v xml:space="preserve">   </v>
      </c>
      <c r="I103" s="8" t="str">
        <f t="shared" si="29"/>
        <v xml:space="preserve">   </v>
      </c>
      <c r="J103" s="9" t="str">
        <f t="shared" si="30"/>
        <v xml:space="preserve">   </v>
      </c>
      <c r="K103" s="10" t="str">
        <f t="shared" si="31"/>
        <v xml:space="preserve">   </v>
      </c>
    </row>
    <row r="104" spans="2:11" x14ac:dyDescent="0.25">
      <c r="B104" t="str">
        <f t="shared" si="27"/>
        <v>"PNB","open":"78.00","high":"78.90","low":"76.40","ltP":"77.25","ptsC":"0.65","per":"0.85","trdVol":"81.54","trdVolM":"8.15","ntP":"63.31","mVal":"0.63","wkhi":"180.55","wklo":"69.25","wkhicm_adj":"1,096.50","wklocm_adj":"509.15","xDt":"31-DEC-2999","cAct":"-","yPC":"-50.56","mPC":"-14.26"</v>
      </c>
      <c r="C104" s="13" t="s">
        <v>43</v>
      </c>
      <c r="D104" s="6" t="str">
        <f t="shared" si="32"/>
        <v>78.00</v>
      </c>
      <c r="E104" s="6" t="str">
        <f t="shared" si="32"/>
        <v>78.90</v>
      </c>
      <c r="F104" s="6" t="str">
        <f t="shared" si="32"/>
        <v>76.40</v>
      </c>
      <c r="G104" s="6" t="str">
        <f t="shared" si="32"/>
        <v>77.25</v>
      </c>
      <c r="H104" s="7" t="str">
        <f t="shared" si="28"/>
        <v xml:space="preserve">   </v>
      </c>
      <c r="I104" s="8" t="str">
        <f t="shared" si="29"/>
        <v xml:space="preserve">   </v>
      </c>
      <c r="J104" s="9" t="str">
        <f t="shared" si="30"/>
        <v xml:space="preserve">   </v>
      </c>
      <c r="K104" s="10" t="str">
        <f t="shared" si="31"/>
        <v xml:space="preserve">   </v>
      </c>
    </row>
    <row r="105" spans="2:11" x14ac:dyDescent="0.25">
      <c r="B105" t="str">
        <f t="shared" si="27"/>
        <v>"RCOM","open":"49.30","high":"50.65","low":"48.65","ltP":"49.00","ptsC":"0.05","per":"0.10","trdVol":"189.87","trdVolM":"18.99","ntP":"94.21","mVal":"0.94","wkhi":"91.75","wklo":"45.50","wkhicm_adj":"157.25","wklocm_adj":"93.05","xDt":"31-DEC-2999","cAct":"-","yPC":"-24.09","mPC":"-17.51"</v>
      </c>
      <c r="C105" s="13" t="s">
        <v>102</v>
      </c>
      <c r="D105" s="6" t="str">
        <f t="shared" si="32"/>
        <v>49.30</v>
      </c>
      <c r="E105" s="6" t="str">
        <f t="shared" si="32"/>
        <v>50.65</v>
      </c>
      <c r="F105" s="6" t="str">
        <f t="shared" si="32"/>
        <v>48.65</v>
      </c>
      <c r="G105" s="6" t="str">
        <f t="shared" si="32"/>
        <v>49.00</v>
      </c>
      <c r="H105" s="7" t="str">
        <f t="shared" si="28"/>
        <v xml:space="preserve">   </v>
      </c>
      <c r="I105" s="8" t="str">
        <f t="shared" si="29"/>
        <v xml:space="preserve">   </v>
      </c>
      <c r="J105" s="9" t="str">
        <f t="shared" si="30"/>
        <v xml:space="preserve">   </v>
      </c>
      <c r="K105" s="10" t="str">
        <f t="shared" si="31"/>
        <v xml:space="preserve">   </v>
      </c>
    </row>
    <row r="106" spans="2:11" x14ac:dyDescent="0.25">
      <c r="B106" t="str">
        <f t="shared" si="27"/>
        <v>"RECLTD","open":"159.50","high":"163.50","low":"159.50","ltP":"160.80","ptsC":"5.40","per":"3.47","trdVol":"53.64","trdVolM":"5.36","ntP":"86.65","mVal":"0.87","wkhi":"304.90","wklo":"152.25","wkhicm_adj":"383.40","wklocm_adj":"166.50","xDt":"31-DEC-2999","cAct":"-","yPC":"-46.70","mPC":"-11.79"</v>
      </c>
      <c r="C106" s="13" t="s">
        <v>103</v>
      </c>
      <c r="D106" s="6" t="str">
        <f t="shared" ref="D106:G115" si="33">MID($B106,FIND(D$9,$B106)+LEN(D$9)+3,FIND(CHAR(34),$B106,FIND(D$9,$B106)+LEN(D$9)+3)-(FIND(D$9,$B106)+LEN(D$9)+3))</f>
        <v>159.50</v>
      </c>
      <c r="E106" s="6" t="str">
        <f t="shared" si="33"/>
        <v>163.50</v>
      </c>
      <c r="F106" s="6" t="str">
        <f t="shared" si="33"/>
        <v>159.50</v>
      </c>
      <c r="G106" s="6" t="str">
        <f t="shared" si="33"/>
        <v>160.80</v>
      </c>
      <c r="H106" s="7" t="str">
        <f t="shared" si="28"/>
        <v xml:space="preserve">LONG </v>
      </c>
      <c r="I106" s="8">
        <f t="shared" si="29"/>
        <v>162</v>
      </c>
      <c r="J106" s="9">
        <f t="shared" si="30"/>
        <v>158.70249999999999</v>
      </c>
      <c r="K106" s="10">
        <f t="shared" si="31"/>
        <v>-7.4074074074073374E-3</v>
      </c>
    </row>
    <row r="107" spans="2:11" x14ac:dyDescent="0.25">
      <c r="B107" t="str">
        <f t="shared" si="27"/>
        <v>"SAIL","open":"43.00","high":"43.65","low":"42.35","ltP":"43.15","ptsC":"0.45","per":"1.05","trdVol":"58.01","trdVolM":"5.80","ntP":"24.95","mVal":"0.25","wkhi":"67.30","wklo":"33.50","wkhicm_adj":"112.95","wklocm_adj":"54.05","xDt":"31-DEC-2999","cAct":"-","yPC":"-34.42","mPC":"-6.09"</v>
      </c>
      <c r="C107" s="13" t="s">
        <v>104</v>
      </c>
      <c r="D107" s="6" t="str">
        <f t="shared" si="33"/>
        <v>43.00</v>
      </c>
      <c r="E107" s="6" t="str">
        <f t="shared" si="33"/>
        <v>43.65</v>
      </c>
      <c r="F107" s="6" t="str">
        <f t="shared" si="33"/>
        <v>42.35</v>
      </c>
      <c r="G107" s="6" t="str">
        <f t="shared" si="33"/>
        <v>43.15</v>
      </c>
      <c r="H107" s="7" t="str">
        <f t="shared" si="28"/>
        <v xml:space="preserve">   </v>
      </c>
      <c r="I107" s="8" t="str">
        <f t="shared" si="29"/>
        <v xml:space="preserve">   </v>
      </c>
      <c r="J107" s="9" t="str">
        <f t="shared" si="30"/>
        <v xml:space="preserve">   </v>
      </c>
      <c r="K107" s="10" t="str">
        <f t="shared" si="31"/>
        <v xml:space="preserve">   </v>
      </c>
    </row>
    <row r="108" spans="2:11" x14ac:dyDescent="0.25">
      <c r="B108" t="str">
        <f t="shared" si="27"/>
        <v>"SHREECEM","open":"13,142.00","high":"13,450.00","low":"13,140.00","ltP":"13,399.90","ptsC":"259.85","per":"1.98","trdVol":"0.07","trdVolM":"0.01","ntP":"9.38","mVal":"0.09","wkhi":"13,888.00","wklo":"9,399.95","wkhicm_adj":"9,297.70","wklocm_adj":"4,100.10","xDt":"17-MAR-2016","cAct":"INTERIM DIVIDEND - RS 12\/- PER SHARE (PUPOSE REVISED)","yPC":"22.90","mPC":"5.30"</v>
      </c>
      <c r="C108" s="13" t="s">
        <v>105</v>
      </c>
      <c r="D108" s="6" t="str">
        <f t="shared" si="33"/>
        <v>13,142.00</v>
      </c>
      <c r="E108" s="6" t="str">
        <f t="shared" si="33"/>
        <v>13,450.00</v>
      </c>
      <c r="F108" s="6" t="str">
        <f t="shared" si="33"/>
        <v>13,140.00</v>
      </c>
      <c r="G108" s="6" t="str">
        <f t="shared" si="33"/>
        <v>13,399.90</v>
      </c>
      <c r="H108" s="7" t="str">
        <f t="shared" si="28"/>
        <v xml:space="preserve">   </v>
      </c>
      <c r="I108" s="8" t="str">
        <f t="shared" si="29"/>
        <v xml:space="preserve">   </v>
      </c>
      <c r="J108" s="9" t="str">
        <f t="shared" si="30"/>
        <v xml:space="preserve">   </v>
      </c>
      <c r="K108" s="10" t="str">
        <f t="shared" si="31"/>
        <v xml:space="preserve">   </v>
      </c>
    </row>
    <row r="109" spans="2:11" x14ac:dyDescent="0.25">
      <c r="B109" t="str">
        <f t="shared" si="27"/>
        <v>"SIEMENS","open":"1,202.80","high":"1,231.00","low":"1,198.10","ltP":"1,224.00","ptsC":"21.25","per":"1.77","trdVol":"2.80","trdVolM":"0.28","ntP":"34.19","mVal":"0.34","wkhi":"1,559.70","wklo":"968.60","wkhicm_adj":"1,010.00","wklocm_adj":"513.00","xDt":"31-DEC-2999","cAct":"-","yPC":"-11.76","mPC":"3.52"</v>
      </c>
      <c r="C109" s="13" t="s">
        <v>106</v>
      </c>
      <c r="D109" s="6" t="str">
        <f t="shared" si="33"/>
        <v>1,202.80</v>
      </c>
      <c r="E109" s="6" t="str">
        <f t="shared" si="33"/>
        <v>1,231.00</v>
      </c>
      <c r="F109" s="6" t="str">
        <f t="shared" si="33"/>
        <v>1,198.10</v>
      </c>
      <c r="G109" s="6" t="str">
        <f t="shared" si="33"/>
        <v>1,224.00</v>
      </c>
      <c r="H109" s="7" t="str">
        <f t="shared" si="28"/>
        <v xml:space="preserve">   </v>
      </c>
      <c r="I109" s="8" t="str">
        <f t="shared" si="29"/>
        <v xml:space="preserve">   </v>
      </c>
      <c r="J109" s="9" t="str">
        <f t="shared" si="30"/>
        <v xml:space="preserve">   </v>
      </c>
      <c r="K109" s="10" t="str">
        <f t="shared" si="31"/>
        <v xml:space="preserve">   </v>
      </c>
    </row>
    <row r="110" spans="2:11" x14ac:dyDescent="0.25">
      <c r="B110" t="str">
        <f t="shared" si="27"/>
        <v>"SRTRANSFIN","open":"1,190.15","high":"1,219.80","low":"1,175.65","ltP":"1,201.00","ptsC":"6.95","per":"0.58","trdVol":"4.77","trdVolM":"0.48","ntP":"57.09","mVal":"0.57","wkhi":"1,219.80","wklo":"736.95","wkhicm_adj":"1,139.00","wklocm_adj":"548.70","xDt":"31-DEC-2999","cAct":"-","yPC":"44.19","mPC":"20.78"</v>
      </c>
      <c r="C110" s="13" t="s">
        <v>107</v>
      </c>
      <c r="D110" s="6" t="str">
        <f t="shared" si="33"/>
        <v>1,190.15</v>
      </c>
      <c r="E110" s="6" t="str">
        <f t="shared" si="33"/>
        <v>1,219.80</v>
      </c>
      <c r="F110" s="6" t="str">
        <f t="shared" si="33"/>
        <v>1,175.65</v>
      </c>
      <c r="G110" s="6" t="str">
        <f t="shared" si="33"/>
        <v>1,201.00</v>
      </c>
      <c r="H110" s="7" t="str">
        <f t="shared" si="28"/>
        <v xml:space="preserve">   </v>
      </c>
      <c r="I110" s="8" t="str">
        <f t="shared" si="29"/>
        <v xml:space="preserve">   </v>
      </c>
      <c r="J110" s="9" t="str">
        <f t="shared" si="30"/>
        <v xml:space="preserve">   </v>
      </c>
      <c r="K110" s="10" t="str">
        <f t="shared" si="31"/>
        <v xml:space="preserve">   </v>
      </c>
    </row>
    <row r="111" spans="2:11" x14ac:dyDescent="0.25">
      <c r="B111" t="str">
        <f t="shared" si="27"/>
        <v>"TITAN","open":"361.10","high":"364.45","low":"354.25","ltP":"364.00","ptsC":"3.55","per":"0.98","trdVol":"17.73","trdVolM":"1.77","ntP":"63.43","mVal":"0.63","wkhi":"392.40","wklo":"301.70","wkhicm_adj":"425.00","wklocm_adj":"202.45","xDt":"22-MAR-2016","cAct":"INTERIM DIVIDEND - RS 2.20\/- PER SHARE (PURPOSE REVISED)","yPC":"-4.27","mPC":"-2.02"</v>
      </c>
      <c r="C111" s="13" t="s">
        <v>108</v>
      </c>
      <c r="D111" s="6" t="str">
        <f t="shared" si="33"/>
        <v>361.10</v>
      </c>
      <c r="E111" s="6" t="str">
        <f t="shared" si="33"/>
        <v>364.45</v>
      </c>
      <c r="F111" s="6" t="str">
        <f t="shared" si="33"/>
        <v>354.25</v>
      </c>
      <c r="G111" s="6" t="str">
        <f t="shared" si="33"/>
        <v>364.00</v>
      </c>
      <c r="H111" s="7" t="str">
        <f t="shared" si="28"/>
        <v xml:space="preserve">   </v>
      </c>
      <c r="I111" s="8" t="str">
        <f t="shared" si="29"/>
        <v xml:space="preserve">   </v>
      </c>
      <c r="J111" s="9" t="str">
        <f t="shared" si="30"/>
        <v xml:space="preserve">   </v>
      </c>
      <c r="K111" s="10" t="str">
        <f t="shared" si="31"/>
        <v xml:space="preserve">   </v>
      </c>
    </row>
    <row r="112" spans="2:11" x14ac:dyDescent="0.25">
      <c r="B112" t="str">
        <f t="shared" si="27"/>
        <v>"TORNTPHARM","open":"1,379.00","high":"1,384.80","low":"1,353.25","ltP":"1,372.95","ptsC":"-5.55","per":"-0.40","trdVol":"0.46","trdVolM":"0.05","ntP":"6.29","mVal":"0.06","wkhi":"1,718.40","wklo":"1,169.05","wkhicm_adj":"1,135.00","wklocm_adj":"458.00","xDt":"16-MAR-2016","cAct":"INTERIM DIVIDEND - RS 15\/- PER SHARE (PURPOSE REVISED)","yPC":"10.82","mPC":"-4.84"</v>
      </c>
      <c r="C112" s="13" t="s">
        <v>109</v>
      </c>
      <c r="D112" s="6" t="str">
        <f t="shared" si="33"/>
        <v>1,379.00</v>
      </c>
      <c r="E112" s="6" t="str">
        <f t="shared" si="33"/>
        <v>1,384.80</v>
      </c>
      <c r="F112" s="6" t="str">
        <f t="shared" si="33"/>
        <v>1,353.25</v>
      </c>
      <c r="G112" s="6" t="str">
        <f t="shared" si="33"/>
        <v>1,372.95</v>
      </c>
      <c r="H112" s="7" t="str">
        <f t="shared" si="28"/>
        <v xml:space="preserve">   </v>
      </c>
      <c r="I112" s="8" t="str">
        <f t="shared" si="29"/>
        <v xml:space="preserve">   </v>
      </c>
      <c r="J112" s="9" t="str">
        <f t="shared" si="30"/>
        <v xml:space="preserve">   </v>
      </c>
      <c r="K112" s="10" t="str">
        <f t="shared" si="31"/>
        <v xml:space="preserve">   </v>
      </c>
    </row>
    <row r="113" spans="2:11" x14ac:dyDescent="0.25">
      <c r="B113" t="str">
        <f t="shared" si="27"/>
        <v>"UBL","open":"726.80","high":"727.90","low":"709.00","ltP":"717.15","ptsC":"-5.15","per":"-0.71","trdVol":"2.77","trdVolM":"0.28","ntP":"19.83","mVal":"0.20","wkhi":"1,074.95","wklo":"690.00","wkhicm_adj":"859.00","wklocm_adj":"615.65","xDt":"31-DEC-2999","cAct":"-","yPC":"-24.68","mPC":"-5.38"</v>
      </c>
      <c r="C113" s="13" t="s">
        <v>110</v>
      </c>
      <c r="D113" s="6" t="str">
        <f t="shared" si="33"/>
        <v>726.80</v>
      </c>
      <c r="E113" s="6" t="str">
        <f t="shared" si="33"/>
        <v>727.90</v>
      </c>
      <c r="F113" s="6" t="str">
        <f t="shared" si="33"/>
        <v>709.00</v>
      </c>
      <c r="G113" s="6" t="str">
        <f t="shared" si="33"/>
        <v>717.15</v>
      </c>
      <c r="H113" s="7" t="str">
        <f t="shared" si="28"/>
        <v xml:space="preserve">   </v>
      </c>
      <c r="I113" s="8" t="str">
        <f t="shared" si="29"/>
        <v xml:space="preserve">   </v>
      </c>
      <c r="J113" s="9" t="str">
        <f t="shared" si="30"/>
        <v xml:space="preserve">   </v>
      </c>
      <c r="K113" s="10" t="str">
        <f t="shared" si="31"/>
        <v xml:space="preserve">   </v>
      </c>
    </row>
    <row r="114" spans="2:11" x14ac:dyDescent="0.25">
      <c r="B114" t="str">
        <f t="shared" si="27"/>
        <v>"UPL","open":"597.90","high":"602.60","low":"586.40","ltP":"592.20","ptsC":"-3.20","per":"-0.54","trdVol":"10.66","trdVolM":"1.07","ntP":"63.20","mVal":"0.63","wkhi":"612.95","wklo":"367.25","wkhicm_adj":"388.70","wklocm_adj":"161.10","xDt":"31-DEC-2999","cAct":"-","yPC":"14.13","mPC":"15.00"</v>
      </c>
      <c r="C114" s="13" t="s">
        <v>111</v>
      </c>
      <c r="D114" s="6" t="str">
        <f t="shared" si="33"/>
        <v>597.90</v>
      </c>
      <c r="E114" s="6" t="str">
        <f t="shared" si="33"/>
        <v>602.60</v>
      </c>
      <c r="F114" s="6" t="str">
        <f t="shared" si="33"/>
        <v>586.40</v>
      </c>
      <c r="G114" s="6" t="str">
        <f t="shared" si="33"/>
        <v>592.20</v>
      </c>
      <c r="H114" s="7" t="str">
        <f t="shared" si="28"/>
        <v xml:space="preserve">   </v>
      </c>
      <c r="I114" s="8" t="str">
        <f t="shared" si="29"/>
        <v xml:space="preserve">   </v>
      </c>
      <c r="J114" s="9" t="str">
        <f t="shared" si="30"/>
        <v xml:space="preserve">   </v>
      </c>
      <c r="K114" s="10" t="str">
        <f t="shared" si="31"/>
        <v xml:space="preserve">   </v>
      </c>
    </row>
    <row r="115" spans="2:11" x14ac:dyDescent="0.25">
      <c r="B115" t="str">
        <f t="shared" si="27"/>
        <v>"VEDL","open":"104.50","high":"107.45","low":"104.15","ltP":"106.75","ptsC":"3.95","per":"3.84","trdVol":"122.03","trdVolM":"12.20","ntP":"129.24","mVal":"1.29","wkhi":"204.00","wklo":"58.15","wkhicm_adj":"318.30","wklocm_adj":"168.85","xDt":"31-DEC-2999","cAct":"-","yPC":"-45.74","mPC":"1.81"</v>
      </c>
      <c r="C115" s="13" t="s">
        <v>54</v>
      </c>
      <c r="D115" s="6" t="str">
        <f t="shared" si="33"/>
        <v>104.50</v>
      </c>
      <c r="E115" s="6" t="str">
        <f t="shared" si="33"/>
        <v>107.45</v>
      </c>
      <c r="F115" s="6" t="str">
        <f t="shared" si="33"/>
        <v>104.15</v>
      </c>
      <c r="G115" s="6" t="str">
        <f t="shared" si="33"/>
        <v>106.75</v>
      </c>
      <c r="H115" s="7" t="str">
        <f t="shared" si="28"/>
        <v xml:space="preserve">   </v>
      </c>
      <c r="I115" s="8" t="str">
        <f t="shared" si="29"/>
        <v xml:space="preserve">   </v>
      </c>
      <c r="J115" s="9" t="str">
        <f t="shared" si="30"/>
        <v xml:space="preserve">   </v>
      </c>
      <c r="K115" s="10" t="str">
        <f t="shared" si="31"/>
        <v xml:space="preserve">   </v>
      </c>
    </row>
    <row r="119" spans="2:11" x14ac:dyDescent="0.25">
      <c r="C119" s="14" t="s">
        <v>112</v>
      </c>
    </row>
    <row r="120" spans="2:11" x14ac:dyDescent="0.25">
      <c r="B120" t="s">
        <v>0</v>
      </c>
      <c r="C120" s="4" t="s">
        <v>1</v>
      </c>
      <c r="D120" s="4" t="s">
        <v>2</v>
      </c>
      <c r="E120" s="4" t="s">
        <v>3</v>
      </c>
      <c r="F120" s="4" t="s">
        <v>4</v>
      </c>
      <c r="G120" s="4" t="s">
        <v>5</v>
      </c>
      <c r="H120" s="4" t="s">
        <v>6</v>
      </c>
      <c r="I120" s="4" t="s">
        <v>7</v>
      </c>
      <c r="J120" s="4" t="s">
        <v>8</v>
      </c>
      <c r="K120" s="4" t="s">
        <v>58</v>
      </c>
    </row>
    <row r="121" spans="2:11" x14ac:dyDescent="0.25">
      <c r="B121" t="str">
        <f>MID($P$500,FIND(C121,$P$500)-1,FIND("}",$P$500,FIND(C121,$P$500))-FIND(C121,$P$500)+1)</f>
        <v>"ADANIENT","open":"73.90","high":"74.65","low":"72.75","ltP":"74.50","ptsC":"1.15","per":"1.57","trdVol":"10.39","trdVolM":"1.04","ntP":"7.67","mVal":"0.08","wkhi":"791.00","wklo":"58.20","wkhicm_adj":"585.00","wklocm_adj":"210.10","xDt":"22-MAR-2016","cAct":"INTERIM DIVIDEND - RE 0.40\/- PER SHARE (PURPOSE REVISED)","yPC":"-89.86","mPC":"-13.12"</v>
      </c>
      <c r="C121" s="13" t="s">
        <v>113</v>
      </c>
      <c r="D121" s="6" t="str">
        <f>MID($B121,FIND(D$9,$B121)+LEN(D$9)+3,FIND(CHAR(34),$B121,FIND(D$9,$B121)+LEN(D$9)+3)-(FIND(D$9,$B121)+LEN(D$9)+3))</f>
        <v>73.90</v>
      </c>
      <c r="E121" s="6" t="str">
        <f>MID($B121,FIND(E$9,$B121)+LEN(E$9)+3,FIND(CHAR(34),$B121,FIND(E$9,$B121)+LEN(E$9)+3)-(FIND(E$9,$B121)+LEN(E$9)+3))</f>
        <v>74.65</v>
      </c>
      <c r="F121" s="6" t="str">
        <f>MID($B121,FIND(F$9,$B121)+LEN(F$9)+3,FIND(CHAR(34),$B121,FIND(F$9,$B121)+LEN(F$9)+3)-(FIND(F$9,$B121)+LEN(F$9)+3))</f>
        <v>72.75</v>
      </c>
      <c r="G121" s="6" t="str">
        <f>MID($B121,FIND(G$9,$B121)+LEN(G$9)+3,FIND(CHAR(34),$B121,FIND(G$9,$B121)+LEN(G$9)+3)-(FIND(G$9,$B121)+LEN(G$9)+3))</f>
        <v>74.50</v>
      </c>
      <c r="H121" s="7" t="str">
        <f t="shared" ref="H121" si="34">IF(AND(E121=0, F121=0, D121=0),"  ",IF(E121= D121,"SHORT ",IF(F121= D121,"LONG ",IF(E121&lt;&gt; F121&lt;&gt; D121,"   "))))</f>
        <v xml:space="preserve">   </v>
      </c>
      <c r="I121" s="8" t="str">
        <f t="shared" ref="I121" si="35">IF(AND(E121=0,F121=0,D121=0),"  ",IF(D121=F121,ROUND(((SQRT(F121) +0.0833) ^2),0),IF(E121=D121,ROUND(((SQRT(E121) -0.0833) ^2),0),IF(E121&lt;&gt;F121&lt;&gt;D121,"   "))))</f>
        <v xml:space="preserve">   </v>
      </c>
      <c r="J121" s="9" t="str">
        <f t="shared" ref="J121" si="36">IF(AND(E121=0, F121=0, D121=0),"  ",IF(E121= D121,D121+0.005*D121,IF(F121= D121,D121-0.005*D121,IF(E121&lt;&gt; F121&lt;&gt; D121,"   "))))</f>
        <v xml:space="preserve">   </v>
      </c>
      <c r="K121" s="10" t="str">
        <f t="shared" ref="K121" si="37">IF(AND(E121=0, F121=0, D121=0),"  ",IF(E121= D121,(I121-G121)/I121,IF(F121= D121,(G121-I121)/I121,IF(E121&lt;&gt; F121&lt;&gt; D121,"   "))))</f>
        <v xml:space="preserve">   </v>
      </c>
    </row>
    <row r="122" spans="2:11" x14ac:dyDescent="0.25">
      <c r="B122" t="str">
        <f t="shared" ref="B122:B170" si="38">MID($P$500,FIND(C122,$P$500)-1,FIND("}",$P$500,FIND(C122,$P$500))-FIND(C122,$P$500)+1)</f>
        <v>"ADANIPOWER","open":"30.25","high":"30.50","low":"29.75","ltP":"30.10","ptsC":"0.05","per":"0.17","trdVol":"32.64","trdVolM":"3.26","ntP":"9.83","mVal":"0.10","wkhi":"40.15","wklo":"19.60","wkhicm_adj":"68.35","wklocm_adj":"31.80","xDt":"31-DEC-2999","cAct":"-","yPC":"-21.92","mPC":"-6.81"</v>
      </c>
      <c r="C122" s="13" t="s">
        <v>114</v>
      </c>
      <c r="D122" s="6" t="str">
        <f t="shared" ref="D122:G158" si="39">MID($B122,FIND(D$9,$B122)+LEN(D$9)+3,FIND(CHAR(34),$B122,FIND(D$9,$B122)+LEN(D$9)+3)-(FIND(D$9,$B122)+LEN(D$9)+3))</f>
        <v>30.25</v>
      </c>
      <c r="E122" s="6" t="str">
        <f t="shared" si="39"/>
        <v>30.50</v>
      </c>
      <c r="F122" s="6" t="str">
        <f t="shared" si="39"/>
        <v>29.75</v>
      </c>
      <c r="G122" s="6" t="str">
        <f t="shared" si="39"/>
        <v>30.10</v>
      </c>
      <c r="H122" s="7" t="str">
        <f t="shared" ref="H122:H157" si="40">IF(AND(E122=0, F122=0, D122=0),"  ",IF(E122= D122,"SHORT ",IF(F122= D122,"LONG ",IF(E122&lt;&gt; F122&lt;&gt; D122,"   "))))</f>
        <v xml:space="preserve">   </v>
      </c>
      <c r="I122" s="8" t="str">
        <f t="shared" ref="I122:I157" si="41">IF(AND(E122=0,F122=0,D122=0),"  ",IF(D122=F122,ROUND(((SQRT(F122) +0.0833) ^2),0),IF(E122=D122,ROUND(((SQRT(E122) -0.0833) ^2),0),IF(E122&lt;&gt;F122&lt;&gt;D122,"   "))))</f>
        <v xml:space="preserve">   </v>
      </c>
      <c r="J122" s="9" t="str">
        <f t="shared" ref="J122:J157" si="42">IF(AND(E122=0, F122=0, D122=0),"  ",IF(E122= D122,D122+0.005*D122,IF(F122= D122,D122-0.005*D122,IF(E122&lt;&gt; F122&lt;&gt; D122,"   "))))</f>
        <v xml:space="preserve">   </v>
      </c>
      <c r="K122" s="10" t="str">
        <f t="shared" ref="K122:K157" si="43">IF(AND(E122=0, F122=0, D122=0),"  ",IF(E122= D122,(I122-G122)/I122,IF(F122= D122,(G122-I122)/I122,IF(E122&lt;&gt; F122&lt;&gt; D122,"   "))))</f>
        <v xml:space="preserve">   </v>
      </c>
    </row>
    <row r="123" spans="2:11" x14ac:dyDescent="0.25">
      <c r="B123" t="str">
        <f t="shared" si="38"/>
        <v>"AJANTPHARM","open":"1,524.05","high":"1,555.00","low":"1,524.05","ltP":"1,535.05","ptsC":"4.85","per":"0.32","trdVol":"0.61","trdVolM":"0.06","ntP":"9.36","mVal":"0.09","wkhi":"1,720.00","wklo":"1,101.05","wkhicm_adj":"2,526.95","wklocm_adj":"776.65","xDt":"31-DEC-2999","cAct":"-","yPC":"5.77","mPC":"0.17"</v>
      </c>
      <c r="C123" s="13" t="s">
        <v>115</v>
      </c>
      <c r="D123" s="6" t="str">
        <f t="shared" si="39"/>
        <v>1,524.05</v>
      </c>
      <c r="E123" s="6" t="str">
        <f t="shared" si="39"/>
        <v>1,555.00</v>
      </c>
      <c r="F123" s="6" t="str">
        <f t="shared" si="39"/>
        <v>1,524.05</v>
      </c>
      <c r="G123" s="6" t="str">
        <f t="shared" si="39"/>
        <v>1,535.05</v>
      </c>
      <c r="H123" s="7" t="str">
        <f t="shared" si="40"/>
        <v xml:space="preserve">LONG </v>
      </c>
      <c r="I123" s="8">
        <f t="shared" si="41"/>
        <v>1531</v>
      </c>
      <c r="J123" s="9">
        <f t="shared" si="42"/>
        <v>1516.42975</v>
      </c>
      <c r="K123" s="10">
        <f t="shared" si="43"/>
        <v>2.6453298497713614E-3</v>
      </c>
    </row>
    <row r="124" spans="2:11" x14ac:dyDescent="0.25">
      <c r="B124" t="str">
        <f t="shared" si="38"/>
        <v>"ALBK","open":"53.60","high":"54.00","low":"52.20","ltP":"52.70","ptsC":"0.00","per":"0.00","trdVol":"16.94","trdVolM":"1.69","ntP":"8.96","mVal":"0.09","wkhi":"108.25","wklo":"39.40","wkhicm_adj":"150.00","wklocm_adj":"72.20","xDt":"31-DEC-2999","cAct":"-","yPC":"-50.02","mPC":"-11.58"</v>
      </c>
      <c r="C124" s="13" t="s">
        <v>116</v>
      </c>
      <c r="D124" s="6" t="str">
        <f t="shared" si="39"/>
        <v>53.60</v>
      </c>
      <c r="E124" s="6" t="str">
        <f t="shared" si="39"/>
        <v>54.00</v>
      </c>
      <c r="F124" s="6" t="str">
        <f t="shared" si="39"/>
        <v>52.20</v>
      </c>
      <c r="G124" s="6" t="str">
        <f t="shared" si="39"/>
        <v>52.70</v>
      </c>
      <c r="H124" s="7" t="str">
        <f t="shared" si="40"/>
        <v xml:space="preserve">   </v>
      </c>
      <c r="I124" s="8" t="str">
        <f t="shared" si="41"/>
        <v xml:space="preserve">   </v>
      </c>
      <c r="J124" s="9" t="str">
        <f t="shared" si="42"/>
        <v xml:space="preserve">   </v>
      </c>
      <c r="K124" s="10" t="str">
        <f t="shared" si="43"/>
        <v xml:space="preserve">   </v>
      </c>
    </row>
    <row r="125" spans="2:11" x14ac:dyDescent="0.25">
      <c r="B125" t="str">
        <f t="shared" si="38"/>
        <v>"AMARAJABAT","open":"865.35","high":"866.90","low":"846.00","ltP":"848.00","ptsC":"-13.20","per":"-1.53","trdVol":"1.61","trdVolM":"0.16","ntP":"13.70","mVal":"0.14","wkhi":"1,128.00","wklo":"774.15","wkhicm_adj":"794.00","wklocm_adj":"315.05","xDt":"22-MAR-2016","cAct":"INTERIM DIVIDEND - RS 4.25\/- PER SHARE (PURPOSE REVISED)","yPC":"-1.85","mPC":"-9.89"</v>
      </c>
      <c r="C125" s="13" t="s">
        <v>117</v>
      </c>
      <c r="D125" s="6" t="str">
        <f t="shared" si="39"/>
        <v>865.35</v>
      </c>
      <c r="E125" s="6" t="str">
        <f t="shared" si="39"/>
        <v>866.90</v>
      </c>
      <c r="F125" s="6" t="str">
        <f t="shared" si="39"/>
        <v>846.00</v>
      </c>
      <c r="G125" s="6" t="str">
        <f t="shared" si="39"/>
        <v>848.00</v>
      </c>
      <c r="H125" s="7" t="str">
        <f t="shared" si="40"/>
        <v xml:space="preserve">   </v>
      </c>
      <c r="I125" s="8" t="str">
        <f t="shared" si="41"/>
        <v xml:space="preserve">   </v>
      </c>
      <c r="J125" s="9" t="str">
        <f t="shared" si="42"/>
        <v xml:space="preserve">   </v>
      </c>
      <c r="K125" s="10" t="str">
        <f t="shared" si="43"/>
        <v xml:space="preserve">   </v>
      </c>
    </row>
    <row r="126" spans="2:11" x14ac:dyDescent="0.25">
      <c r="B126" t="str">
        <f t="shared" si="38"/>
        <v>"APOLLOTYRE","open":"157.90","high":"159.10","low":"154.30","ltP":"157.15","ptsC":"0.30","per":"0.19","trdVol":"6.80","trdVolM":"0.68","ntP":"10.65","mVal":"0.11","wkhi":"223.40","wklo":"127.05","wkhicm_adj":"242.95","wklocm_adj":"77.50","xDt":"31-DEC-2999","cAct":"-","yPC":"-13.70","mPC":"-5.59"</v>
      </c>
      <c r="C126" s="13" t="s">
        <v>118</v>
      </c>
      <c r="D126" s="6" t="str">
        <f t="shared" si="39"/>
        <v>157.90</v>
      </c>
      <c r="E126" s="6" t="str">
        <f t="shared" si="39"/>
        <v>159.10</v>
      </c>
      <c r="F126" s="6" t="str">
        <f t="shared" si="39"/>
        <v>154.30</v>
      </c>
      <c r="G126" s="6" t="str">
        <f t="shared" si="39"/>
        <v>157.15</v>
      </c>
      <c r="H126" s="7" t="str">
        <f t="shared" si="40"/>
        <v xml:space="preserve">   </v>
      </c>
      <c r="I126" s="8" t="str">
        <f t="shared" si="41"/>
        <v xml:space="preserve">   </v>
      </c>
      <c r="J126" s="9" t="str">
        <f t="shared" si="42"/>
        <v xml:space="preserve">   </v>
      </c>
      <c r="K126" s="10" t="str">
        <f t="shared" si="43"/>
        <v xml:space="preserve">   </v>
      </c>
    </row>
    <row r="127" spans="2:11" x14ac:dyDescent="0.25">
      <c r="B127" t="str">
        <f t="shared" si="38"/>
        <v>"ARVIND","open":"315.50","high":"318.00","low":"313.35","ltP":"315.40","ptsC":"0.05","per":"0.02","trdVol":"6.56","trdVolM":"0.66","ntP":"20.67","mVal":"0.21","wkhi":"365.70","wklo":"216.30","wkhicm_adj":"341.50","wklocm_adj":"119.00","xDt":"31-DEC-2999","cAct":"-","yPC":"32.41","mPC":"8.29"</v>
      </c>
      <c r="C127" s="13" t="s">
        <v>119</v>
      </c>
      <c r="D127" s="6" t="str">
        <f t="shared" si="39"/>
        <v>315.50</v>
      </c>
      <c r="E127" s="6" t="str">
        <f t="shared" si="39"/>
        <v>318.00</v>
      </c>
      <c r="F127" s="6" t="str">
        <f t="shared" si="39"/>
        <v>313.35</v>
      </c>
      <c r="G127" s="6" t="str">
        <f t="shared" si="39"/>
        <v>315.40</v>
      </c>
      <c r="H127" s="7" t="str">
        <f t="shared" si="40"/>
        <v xml:space="preserve">   </v>
      </c>
      <c r="I127" s="8" t="str">
        <f t="shared" si="41"/>
        <v xml:space="preserve">   </v>
      </c>
      <c r="J127" s="9" t="str">
        <f t="shared" si="42"/>
        <v xml:space="preserve">   </v>
      </c>
      <c r="K127" s="10" t="str">
        <f t="shared" si="43"/>
        <v xml:space="preserve">   </v>
      </c>
    </row>
    <row r="128" spans="2:11" x14ac:dyDescent="0.25">
      <c r="B128" t="str">
        <f t="shared" si="38"/>
        <v>"BANKINDIA","open":"87.55","high":"88.45","low":"85.50","ltP":"86.35","ptsC":"-0.60","per":"-0.69","trdVol":"25.58","trdVolM":"2.56","ntP":"22.13","mVal":"0.22","wkhi":"205.00","wklo":"78.40","wkhicm_adj":"357.00","wklocm_adj":"165.55","xDt":"31-DEC-2999","cAct":"-","yPC":"-54.99","mPC":"-10.80"</v>
      </c>
      <c r="C128" s="13" t="s">
        <v>120</v>
      </c>
      <c r="D128" s="6" t="str">
        <f t="shared" si="39"/>
        <v>87.55</v>
      </c>
      <c r="E128" s="6" t="str">
        <f t="shared" si="39"/>
        <v>88.45</v>
      </c>
      <c r="F128" s="6" t="str">
        <f t="shared" si="39"/>
        <v>85.50</v>
      </c>
      <c r="G128" s="6" t="str">
        <f t="shared" si="39"/>
        <v>86.35</v>
      </c>
      <c r="H128" s="7" t="str">
        <f t="shared" si="40"/>
        <v xml:space="preserve">   </v>
      </c>
      <c r="I128" s="8" t="str">
        <f t="shared" si="41"/>
        <v xml:space="preserve">   </v>
      </c>
      <c r="J128" s="9" t="str">
        <f t="shared" si="42"/>
        <v xml:space="preserve">   </v>
      </c>
      <c r="K128" s="10" t="str">
        <f t="shared" si="43"/>
        <v xml:space="preserve">   </v>
      </c>
    </row>
    <row r="129" spans="2:11" x14ac:dyDescent="0.25">
      <c r="B129" t="str">
        <f t="shared" si="38"/>
        <v>"BATAINDIA","open":"558.65","high":"571.30","low":"557.50","ltP":"567.50","ptsC":"10.20","per":"1.83","trdVol":"6.37","trdVolM":"0.64","ntP":"36.16","mVal":"0.36","wkhi":"622.00","wklo":"438.00","wkhicm_adj":"1,413.40","wklocm_adj":"894.55","xDt":"31-DEC-2999","cAct":"-","yPC":"-46.13","mPC":"0.55"</v>
      </c>
      <c r="C129" s="13" t="s">
        <v>121</v>
      </c>
      <c r="D129" s="6" t="str">
        <f t="shared" si="39"/>
        <v>558.65</v>
      </c>
      <c r="E129" s="6" t="str">
        <f t="shared" si="39"/>
        <v>571.30</v>
      </c>
      <c r="F129" s="6" t="str">
        <f t="shared" si="39"/>
        <v>557.50</v>
      </c>
      <c r="G129" s="6" t="str">
        <f t="shared" si="39"/>
        <v>567.50</v>
      </c>
      <c r="H129" s="7" t="str">
        <f t="shared" si="40"/>
        <v xml:space="preserve">   </v>
      </c>
      <c r="I129" s="8" t="str">
        <f t="shared" si="41"/>
        <v xml:space="preserve">   </v>
      </c>
      <c r="J129" s="9" t="str">
        <f t="shared" si="42"/>
        <v xml:space="preserve">   </v>
      </c>
      <c r="K129" s="10" t="str">
        <f t="shared" si="43"/>
        <v xml:space="preserve">   </v>
      </c>
    </row>
    <row r="130" spans="2:11" x14ac:dyDescent="0.25">
      <c r="B130" t="str">
        <f t="shared" si="38"/>
        <v>"BIOCON","open":"703.90","high":"707.50","low":"686.05","ltP":"699.45","ptsC":"0.00","per":"0.00","trdVol":"6.05","trdVolM":"0.60","ntP":"41.94","mVal":"0.42","wkhi":"717.00","wklo":"395.30","wkhicm_adj":"553.60","wklocm_adj":"378.65","xDt":"17-MAR-2016","cAct":"INTERIM DIVIDEND - RS 5\/- PER SHARE (PURPOSE REVISED)","yPC":"58.14","mPC":"22.30"</v>
      </c>
      <c r="C130" s="13" t="s">
        <v>122</v>
      </c>
      <c r="D130" s="6" t="str">
        <f t="shared" si="39"/>
        <v>703.90</v>
      </c>
      <c r="E130" s="6" t="str">
        <f t="shared" si="39"/>
        <v>707.50</v>
      </c>
      <c r="F130" s="6" t="str">
        <f t="shared" si="39"/>
        <v>686.05</v>
      </c>
      <c r="G130" s="6" t="str">
        <f t="shared" si="39"/>
        <v>699.45</v>
      </c>
      <c r="H130" s="7" t="str">
        <f t="shared" si="40"/>
        <v xml:space="preserve">   </v>
      </c>
      <c r="I130" s="8" t="str">
        <f t="shared" si="41"/>
        <v xml:space="preserve">   </v>
      </c>
      <c r="J130" s="9" t="str">
        <f t="shared" si="42"/>
        <v xml:space="preserve">   </v>
      </c>
      <c r="K130" s="10" t="str">
        <f t="shared" si="43"/>
        <v xml:space="preserve">   </v>
      </c>
    </row>
    <row r="131" spans="2:11" x14ac:dyDescent="0.25">
      <c r="B131" t="str">
        <f t="shared" si="38"/>
        <v>"CANBK","open":"194.05","high":"195.70","low":"188.70","ltP":"193.50","ptsC":"0.85","per":"0.44","trdVol":"36.36","trdVolM":"3.64","ntP":"70.06","mVal":"0.70","wkhi":"360.45","wklo":"156.00","wkhicm_adj":"498.00","wklocm_adj":"209.00","xDt":"31-DEC-2999","cAct":"-","yPC":"-43.34","mPC":"-8.68"</v>
      </c>
      <c r="C131" s="13" t="s">
        <v>123</v>
      </c>
      <c r="D131" s="6" t="str">
        <f t="shared" si="39"/>
        <v>194.05</v>
      </c>
      <c r="E131" s="6" t="str">
        <f t="shared" si="39"/>
        <v>195.70</v>
      </c>
      <c r="F131" s="6" t="str">
        <f t="shared" si="39"/>
        <v>188.70</v>
      </c>
      <c r="G131" s="6" t="str">
        <f t="shared" si="39"/>
        <v>193.50</v>
      </c>
      <c r="H131" s="7" t="str">
        <f t="shared" si="40"/>
        <v xml:space="preserve">   </v>
      </c>
      <c r="I131" s="8" t="str">
        <f t="shared" si="41"/>
        <v xml:space="preserve">   </v>
      </c>
      <c r="J131" s="9" t="str">
        <f t="shared" si="42"/>
        <v xml:space="preserve">   </v>
      </c>
      <c r="K131" s="10" t="str">
        <f t="shared" si="43"/>
        <v xml:space="preserve">   </v>
      </c>
    </row>
    <row r="132" spans="2:11" x14ac:dyDescent="0.25">
      <c r="B132" t="str">
        <f t="shared" si="38"/>
        <v>"CENTURYTEX","open":"627.40","high":"628.90","low":"616.85","ltP":"620.85","ptsC":"-2.35","per":"-0.38","trdVol":"3.74","trdVolM":"0.37","ntP":"23.25","mVal":"0.23","wkhi":"748.60","wklo":"403.00","wkhicm_adj":"664.40","wklocm_adj":"248.25","xDt":"31-DEC-2999","cAct":"-","yPC":"-6.43","mPC":"-1.35"</v>
      </c>
      <c r="C132" s="13" t="s">
        <v>124</v>
      </c>
      <c r="D132" s="6" t="str">
        <f t="shared" si="39"/>
        <v>627.40</v>
      </c>
      <c r="E132" s="6" t="str">
        <f t="shared" si="39"/>
        <v>628.90</v>
      </c>
      <c r="F132" s="6" t="str">
        <f t="shared" si="39"/>
        <v>616.85</v>
      </c>
      <c r="G132" s="6" t="str">
        <f t="shared" si="39"/>
        <v>620.85</v>
      </c>
      <c r="H132" s="7" t="str">
        <f t="shared" si="40"/>
        <v xml:space="preserve">   </v>
      </c>
      <c r="I132" s="8" t="str">
        <f t="shared" si="41"/>
        <v xml:space="preserve">   </v>
      </c>
      <c r="J132" s="9" t="str">
        <f t="shared" si="42"/>
        <v xml:space="preserve">   </v>
      </c>
      <c r="K132" s="10" t="str">
        <f t="shared" si="43"/>
        <v xml:space="preserve">   </v>
      </c>
    </row>
    <row r="133" spans="2:11" x14ac:dyDescent="0.25">
      <c r="B133" t="str">
        <f t="shared" si="38"/>
        <v>"CESC","open":"563.70","high":"563.70","low":"552.35","ltP":"556.80","ptsC":"-5.55","per":"-0.99","trdVol":"1.63","trdVolM":"0.16","ntP":"9.06","mVal":"0.09","wkhi":"624.30","wklo":"404.55","wkhicm_adj":"827.45","wklocm_adj":"374.40","xDt":"17-MAR-2016","cAct":"INTERIM DIVIDEND - RS 10\/- PER SHARE (PURPOSE REVISED)","yPC":"1.68","mPC":"0.63"</v>
      </c>
      <c r="C133" s="13" t="s">
        <v>125</v>
      </c>
      <c r="D133" s="6" t="str">
        <f t="shared" si="39"/>
        <v>563.70</v>
      </c>
      <c r="E133" s="6" t="str">
        <f t="shared" si="39"/>
        <v>563.70</v>
      </c>
      <c r="F133" s="6" t="str">
        <f t="shared" si="39"/>
        <v>552.35</v>
      </c>
      <c r="G133" s="6" t="str">
        <f t="shared" si="39"/>
        <v>556.80</v>
      </c>
      <c r="H133" s="7" t="str">
        <f t="shared" si="40"/>
        <v xml:space="preserve">SHORT </v>
      </c>
      <c r="I133" s="8">
        <f t="shared" si="41"/>
        <v>560</v>
      </c>
      <c r="J133" s="9">
        <f t="shared" si="42"/>
        <v>566.51850000000002</v>
      </c>
      <c r="K133" s="10">
        <f t="shared" si="43"/>
        <v>5.7142857142857958E-3</v>
      </c>
    </row>
    <row r="134" spans="2:11" x14ac:dyDescent="0.25">
      <c r="B134" t="str">
        <f t="shared" si="38"/>
        <v>"DISHTV","open":"87.00","high":"88.50","low":"85.40","ltP":"88.50","ptsC":"1.80","per":"2.08","trdVol":"35.02","trdVolM":"3.50","ntP":"30.49","mVal":"0.30","wkhi":"121.65","wklo":"65.20","wkhicm_adj":"65.90","wklocm_adj":"43.15","xDt":"31-DEC-2999","cAct":"-","yPC":"-8.81","mPC":"-2.64"</v>
      </c>
      <c r="C134" s="13" t="s">
        <v>126</v>
      </c>
      <c r="D134" s="6" t="str">
        <f t="shared" si="39"/>
        <v>87.00</v>
      </c>
      <c r="E134" s="6" t="str">
        <f t="shared" si="39"/>
        <v>88.50</v>
      </c>
      <c r="F134" s="6" t="str">
        <f t="shared" si="39"/>
        <v>85.40</v>
      </c>
      <c r="G134" s="6" t="str">
        <f t="shared" si="39"/>
        <v>88.50</v>
      </c>
      <c r="H134" s="7" t="str">
        <f t="shared" si="40"/>
        <v xml:space="preserve">   </v>
      </c>
      <c r="I134" s="8" t="str">
        <f t="shared" si="41"/>
        <v xml:space="preserve">   </v>
      </c>
      <c r="J134" s="9" t="str">
        <f t="shared" si="42"/>
        <v xml:space="preserve">   </v>
      </c>
      <c r="K134" s="10" t="str">
        <f t="shared" si="43"/>
        <v xml:space="preserve">   </v>
      </c>
    </row>
    <row r="135" spans="2:11" x14ac:dyDescent="0.25">
      <c r="B135" t="str">
        <f t="shared" si="38"/>
        <v>"ENGINERSIN","open":"180.30","high":"184.90","low":"178.40","ltP":"181.80","ptsC":"1.35","per":"0.75","trdVol":"5.28","trdVolM":"0.53","ntP":"9.60","mVal":"0.10","wkhi":"252.20","wklo":"143.10","wkhicm_adj":"331.70","wklocm_adj":"142.50","xDt":"08-MAR-2016","cAct":"INTERIM DIVIDEND - RS 2\/- PER SHARE (PURPOSE REVISED)","yPC":"-9.05","mPC":"-1.57"</v>
      </c>
      <c r="C135" s="13" t="s">
        <v>127</v>
      </c>
      <c r="D135" s="6" t="str">
        <f t="shared" si="39"/>
        <v>180.30</v>
      </c>
      <c r="E135" s="6" t="str">
        <f t="shared" si="39"/>
        <v>184.90</v>
      </c>
      <c r="F135" s="6" t="str">
        <f t="shared" si="39"/>
        <v>178.40</v>
      </c>
      <c r="G135" s="6" t="str">
        <f t="shared" si="39"/>
        <v>181.80</v>
      </c>
      <c r="H135" s="7" t="str">
        <f t="shared" si="40"/>
        <v xml:space="preserve">   </v>
      </c>
      <c r="I135" s="8" t="str">
        <f t="shared" si="41"/>
        <v xml:space="preserve">   </v>
      </c>
      <c r="J135" s="9" t="str">
        <f t="shared" si="42"/>
        <v xml:space="preserve">   </v>
      </c>
      <c r="K135" s="10" t="str">
        <f t="shared" si="43"/>
        <v xml:space="preserve">   </v>
      </c>
    </row>
    <row r="136" spans="2:11" x14ac:dyDescent="0.25">
      <c r="B136" t="str">
        <f t="shared" si="38"/>
        <v>"EXIDEIND","open":"158.00","high":"161.30","low":"156.80","ltP":"161.05","ptsC":"3.50","per":"2.22","trdVol":"7.75","trdVolM":"0.77","ntP":"12.33","mVal":"0.12","wkhi":"168.60","wklo":"116.00","wkhicm_adj":"183.40","wklocm_adj":"99.00","xDt":"31-DEC-2999","cAct":"-","yPC":"4.58","mPC":"7.73"</v>
      </c>
      <c r="C136" s="13" t="s">
        <v>128</v>
      </c>
      <c r="D136" s="6" t="str">
        <f t="shared" si="39"/>
        <v>158.00</v>
      </c>
      <c r="E136" s="6" t="str">
        <f t="shared" si="39"/>
        <v>161.30</v>
      </c>
      <c r="F136" s="6" t="str">
        <f t="shared" si="39"/>
        <v>156.80</v>
      </c>
      <c r="G136" s="6" t="str">
        <f t="shared" si="39"/>
        <v>161.05</v>
      </c>
      <c r="H136" s="7" t="str">
        <f t="shared" si="40"/>
        <v xml:space="preserve">   </v>
      </c>
      <c r="I136" s="8" t="str">
        <f t="shared" si="41"/>
        <v xml:space="preserve">   </v>
      </c>
      <c r="J136" s="9" t="str">
        <f t="shared" si="42"/>
        <v xml:space="preserve">   </v>
      </c>
      <c r="K136" s="10" t="str">
        <f t="shared" si="43"/>
        <v xml:space="preserve">   </v>
      </c>
    </row>
    <row r="137" spans="2:11" x14ac:dyDescent="0.25">
      <c r="B137" t="str">
        <f t="shared" si="38"/>
        <v>"FEDERALBNK","open":"53.00","high":"53.30","low":"52.30","ltP":"52.60","ptsC":"0.05","per":"0.10","trdVol":"28.24","trdVolM":"2.82","ntP":"14.90","mVal":"0.15","wkhi":"79.80","wklo":"41.35","wkhicm_adj":"152.95","wklocm_adj":"72.35","xDt":"31-DEC-2999","cAct":"-","yPC":"-26.36","mPC":"9.58"</v>
      </c>
      <c r="C137" s="13" t="s">
        <v>129</v>
      </c>
      <c r="D137" s="6" t="str">
        <f t="shared" si="39"/>
        <v>53.00</v>
      </c>
      <c r="E137" s="6" t="str">
        <f t="shared" si="39"/>
        <v>53.30</v>
      </c>
      <c r="F137" s="6" t="str">
        <f t="shared" si="39"/>
        <v>52.30</v>
      </c>
      <c r="G137" s="6" t="str">
        <f t="shared" si="39"/>
        <v>52.60</v>
      </c>
      <c r="H137" s="7" t="str">
        <f t="shared" si="40"/>
        <v xml:space="preserve">   </v>
      </c>
      <c r="I137" s="8" t="str">
        <f t="shared" si="41"/>
        <v xml:space="preserve">   </v>
      </c>
      <c r="J137" s="9" t="str">
        <f t="shared" si="42"/>
        <v xml:space="preserve">   </v>
      </c>
      <c r="K137" s="10" t="str">
        <f t="shared" si="43"/>
        <v xml:space="preserve">   </v>
      </c>
    </row>
    <row r="138" spans="2:11" x14ac:dyDescent="0.25">
      <c r="B138" t="str">
        <f t="shared" si="38"/>
        <v>"GMRINFRA","open":"11.60","high":"11.65","low":"11.35","ltP":"11.55","ptsC":"0.10","per":"0.87","trdVol":"47.20","trdVolM":"4.72","ntP":"5.44","mVal":"0.05","wkhi":"18.55","wklo":"9.75","wkhicm_adj":"38.25","wklocm_adj":"17.15","xDt":"31-DEC-2999","cAct":"-","yPC":"-20.07","mPC":"-7.23"</v>
      </c>
      <c r="C138" s="13" t="s">
        <v>130</v>
      </c>
      <c r="D138" s="6" t="str">
        <f t="shared" si="39"/>
        <v>11.60</v>
      </c>
      <c r="E138" s="6" t="str">
        <f t="shared" si="39"/>
        <v>11.65</v>
      </c>
      <c r="F138" s="6" t="str">
        <f t="shared" si="39"/>
        <v>11.35</v>
      </c>
      <c r="G138" s="6" t="str">
        <f t="shared" si="39"/>
        <v>11.55</v>
      </c>
      <c r="H138" s="7" t="str">
        <f t="shared" si="40"/>
        <v xml:space="preserve">   </v>
      </c>
      <c r="I138" s="8" t="str">
        <f t="shared" si="41"/>
        <v xml:space="preserve">   </v>
      </c>
      <c r="J138" s="9" t="str">
        <f t="shared" si="42"/>
        <v xml:space="preserve">   </v>
      </c>
      <c r="K138" s="10" t="str">
        <f t="shared" si="43"/>
        <v xml:space="preserve">   </v>
      </c>
    </row>
    <row r="139" spans="2:11" x14ac:dyDescent="0.25">
      <c r="B139" t="str">
        <f t="shared" si="38"/>
        <v>"GODREJIND","open":"348.00","high":"356.95","low":"346.15","ltP":"349.80","ptsC":"1.95","per":"0.56","trdVol":"2.84","trdVolM":"0.28","ntP":"10.01","mVal":"0.10","wkhi":"412.00","wklo":"290.00","wkhicm_adj":"372.80","wklocm_adj":"248.50","xDt":"15-MAR-2016","cAct":"INTERIM DIVIDEND - RE 1.75 PER SHARE (PURPOSE REVISED)","yPC":"-7.34","mPC":"-1.64"</v>
      </c>
      <c r="C139" s="13" t="s">
        <v>131</v>
      </c>
      <c r="D139" s="6" t="str">
        <f t="shared" si="39"/>
        <v>348.00</v>
      </c>
      <c r="E139" s="6" t="str">
        <f t="shared" si="39"/>
        <v>356.95</v>
      </c>
      <c r="F139" s="6" t="str">
        <f t="shared" si="39"/>
        <v>346.15</v>
      </c>
      <c r="G139" s="6" t="str">
        <f t="shared" si="39"/>
        <v>349.80</v>
      </c>
      <c r="H139" s="7" t="str">
        <f t="shared" si="40"/>
        <v xml:space="preserve">   </v>
      </c>
      <c r="I139" s="8" t="str">
        <f t="shared" si="41"/>
        <v xml:space="preserve">   </v>
      </c>
      <c r="J139" s="9" t="str">
        <f t="shared" si="42"/>
        <v xml:space="preserve">   </v>
      </c>
      <c r="K139" s="10" t="str">
        <f t="shared" si="43"/>
        <v xml:space="preserve">   </v>
      </c>
    </row>
    <row r="140" spans="2:11" x14ac:dyDescent="0.25">
      <c r="B140" t="str">
        <f t="shared" si="38"/>
        <v>"HAVELLS","open":"374.50","high":"377.80","low":"370.35","ltP":"372.75","ptsC":"-2.15","per":"-0.57","trdVol":"13.70","trdVolM":"1.37","ntP":"51.01","mVal":"0.51","wkhi":"378.40","wklo":"235.30","wkhicm_adj":"326.50","wklocm_adj":"143.57","xDt":"31-DEC-2999","cAct":"-","yPC":"37.37","mPC":"8.29"</v>
      </c>
      <c r="C140" s="13" t="s">
        <v>132</v>
      </c>
      <c r="D140" s="6" t="str">
        <f t="shared" si="39"/>
        <v>374.50</v>
      </c>
      <c r="E140" s="6" t="str">
        <f t="shared" si="39"/>
        <v>377.80</v>
      </c>
      <c r="F140" s="6" t="str">
        <f t="shared" si="39"/>
        <v>370.35</v>
      </c>
      <c r="G140" s="6" t="str">
        <f t="shared" si="39"/>
        <v>372.75</v>
      </c>
      <c r="H140" s="7" t="str">
        <f t="shared" si="40"/>
        <v xml:space="preserve">   </v>
      </c>
      <c r="I140" s="8" t="str">
        <f t="shared" si="41"/>
        <v xml:space="preserve">   </v>
      </c>
      <c r="J140" s="9" t="str">
        <f t="shared" si="42"/>
        <v xml:space="preserve">   </v>
      </c>
      <c r="K140" s="10" t="str">
        <f t="shared" si="43"/>
        <v xml:space="preserve">   </v>
      </c>
    </row>
    <row r="141" spans="2:11" x14ac:dyDescent="0.25">
      <c r="B141" t="str">
        <f t="shared" si="38"/>
        <v>"HEXAWARE","open":"216.90","high":"219.50","low":"215.20","ltP":"218.50","ptsC":"2.80","per":"1.30","trdVol":"8.73","trdVolM":"0.87","ntP":"19.01","mVal":"0.19","wkhi":"298.50","wklo":"201.50","wkhicm_adj":"226.25","wklocm_adj":"111.90","xDt":"13-MAY-2016","cAct":"INTERIM DIVIDEND - RS 2.50\/- PER SHARE","yPC":"-22.83","mPC":"-10.49"</v>
      </c>
      <c r="C141" s="13" t="s">
        <v>133</v>
      </c>
      <c r="D141" s="6" t="str">
        <f t="shared" si="39"/>
        <v>216.90</v>
      </c>
      <c r="E141" s="6" t="str">
        <f t="shared" si="39"/>
        <v>219.50</v>
      </c>
      <c r="F141" s="6" t="str">
        <f t="shared" si="39"/>
        <v>215.20</v>
      </c>
      <c r="G141" s="6" t="str">
        <f t="shared" si="39"/>
        <v>218.50</v>
      </c>
      <c r="H141" s="7" t="str">
        <f t="shared" si="40"/>
        <v xml:space="preserve">   </v>
      </c>
      <c r="I141" s="8" t="str">
        <f t="shared" si="41"/>
        <v xml:space="preserve">   </v>
      </c>
      <c r="J141" s="9" t="str">
        <f t="shared" si="42"/>
        <v xml:space="preserve">   </v>
      </c>
      <c r="K141" s="10" t="str">
        <f t="shared" si="43"/>
        <v xml:space="preserve">   </v>
      </c>
    </row>
    <row r="142" spans="2:11" x14ac:dyDescent="0.25">
      <c r="B142" t="str">
        <f t="shared" si="38"/>
        <v>"IDBI","open":"68.20","high":"68.70","low":"66.60","ltP":"67.65","ptsC":"0.20","per":"0.30","trdVol":"22.08","trdVolM":"2.21","ntP":"14.92","mVal":"0.15","wkhi":"95.70","wklo":"47.25","wkhicm_adj":"116.40","wklocm_adj":"52.90","xDt":"31-DEC-2999","cAct":"-","yPC":"-4.25","mPC":"-4.58"</v>
      </c>
      <c r="C142" s="13" t="s">
        <v>134</v>
      </c>
      <c r="D142" s="6" t="str">
        <f t="shared" si="39"/>
        <v>68.20</v>
      </c>
      <c r="E142" s="6" t="str">
        <f t="shared" si="39"/>
        <v>68.70</v>
      </c>
      <c r="F142" s="6" t="str">
        <f t="shared" si="39"/>
        <v>66.60</v>
      </c>
      <c r="G142" s="6" t="str">
        <f t="shared" si="39"/>
        <v>67.65</v>
      </c>
      <c r="H142" s="7" t="str">
        <f t="shared" si="40"/>
        <v xml:space="preserve">   </v>
      </c>
      <c r="I142" s="8" t="str">
        <f t="shared" si="41"/>
        <v xml:space="preserve">   </v>
      </c>
      <c r="J142" s="9" t="str">
        <f t="shared" si="42"/>
        <v xml:space="preserve">   </v>
      </c>
      <c r="K142" s="10" t="str">
        <f t="shared" si="43"/>
        <v xml:space="preserve">   </v>
      </c>
    </row>
    <row r="143" spans="2:11" x14ac:dyDescent="0.25">
      <c r="B143" t="str">
        <f t="shared" si="38"/>
        <v>"IDFC","open":"50.35","high":"53.50","low":"49.25","ltP":"51.90","ptsC":"2.25","per":"4.53","trdVol":"83.44","trdVolM":"8.34","ntP":"43.34","mVal":"0.43","wkhi":"163.60","wklo":"34.80","wkhicm_adj":"166.65","wklocm_adj":"88.05","xDt":"31-DEC-2999","cAct":"-","yPC":"-66.09","mPC":"11.73"</v>
      </c>
      <c r="C143" s="13" t="s">
        <v>135</v>
      </c>
      <c r="D143" s="6" t="str">
        <f t="shared" si="39"/>
        <v>50.35</v>
      </c>
      <c r="E143" s="6" t="str">
        <f t="shared" si="39"/>
        <v>53.50</v>
      </c>
      <c r="F143" s="6" t="str">
        <f t="shared" si="39"/>
        <v>49.25</v>
      </c>
      <c r="G143" s="6" t="str">
        <f t="shared" si="39"/>
        <v>51.90</v>
      </c>
      <c r="H143" s="7" t="str">
        <f t="shared" si="40"/>
        <v xml:space="preserve">   </v>
      </c>
      <c r="I143" s="8" t="str">
        <f t="shared" si="41"/>
        <v xml:space="preserve">   </v>
      </c>
      <c r="J143" s="9" t="str">
        <f t="shared" si="42"/>
        <v xml:space="preserve">   </v>
      </c>
      <c r="K143" s="10" t="str">
        <f t="shared" si="43"/>
        <v xml:space="preserve">   </v>
      </c>
    </row>
    <row r="144" spans="2:11" x14ac:dyDescent="0.25">
      <c r="B144" t="str">
        <f t="shared" si="38"/>
        <v>"IGL","open":"574.00","high":"575.60","low":"565.15","ltP":"566.00","ptsC":"-8.30","per":"-1.45","trdVol":"1.98","trdVolM":"0.20","ntP":"11.23","mVal":"0.11","wkhi":"608.00","wklo":"375.35","wkhicm_adj":"458.80","wklocm_adj":"238.05","xDt":"31-DEC-2999","cAct":"-","yPC":"41.45","mPC":"-1.05"</v>
      </c>
      <c r="C144" s="13" t="s">
        <v>136</v>
      </c>
      <c r="D144" s="6" t="str">
        <f t="shared" si="39"/>
        <v>574.00</v>
      </c>
      <c r="E144" s="6" t="str">
        <f t="shared" si="39"/>
        <v>575.60</v>
      </c>
      <c r="F144" s="6" t="str">
        <f t="shared" si="39"/>
        <v>565.15</v>
      </c>
      <c r="G144" s="6" t="str">
        <f t="shared" si="39"/>
        <v>566.00</v>
      </c>
      <c r="H144" s="7" t="str">
        <f t="shared" si="40"/>
        <v xml:space="preserve">   </v>
      </c>
      <c r="I144" s="8" t="str">
        <f t="shared" si="41"/>
        <v xml:space="preserve">   </v>
      </c>
      <c r="J144" s="9" t="str">
        <f t="shared" si="42"/>
        <v xml:space="preserve">   </v>
      </c>
      <c r="K144" s="10" t="str">
        <f t="shared" si="43"/>
        <v xml:space="preserve">   </v>
      </c>
    </row>
    <row r="145" spans="2:11" x14ac:dyDescent="0.25">
      <c r="B145" t="str">
        <f t="shared" si="38"/>
        <v>"IRB","open":"219.95","high":"221.70","low":"216.70","ltP":"218.80","ptsC":"-0.10","per":"-0.05","trdVol":"7.36","trdVolM":"0.74","ntP":"16.11","mVal":"0.16","wkhi":"272.00","wklo":"197.10","wkhicm_adj":"289.65","wklocm_adj":"67.20","xDt":"16-MAR-2016","cAct":"INTERIM DIVIDEND - RS 2\/- PER SHARE (PURPOSE REVISED)","yPC":"-11.26","mPC":"1.41"</v>
      </c>
      <c r="C145" s="13" t="s">
        <v>137</v>
      </c>
      <c r="D145" s="6" t="str">
        <f t="shared" si="39"/>
        <v>219.95</v>
      </c>
      <c r="E145" s="6" t="str">
        <f t="shared" si="39"/>
        <v>221.70</v>
      </c>
      <c r="F145" s="6" t="str">
        <f t="shared" si="39"/>
        <v>216.70</v>
      </c>
      <c r="G145" s="6" t="str">
        <f t="shared" si="39"/>
        <v>218.80</v>
      </c>
      <c r="H145" s="7" t="str">
        <f t="shared" si="40"/>
        <v xml:space="preserve">   </v>
      </c>
      <c r="I145" s="8" t="str">
        <f t="shared" si="41"/>
        <v xml:space="preserve">   </v>
      </c>
      <c r="J145" s="9" t="str">
        <f t="shared" si="42"/>
        <v xml:space="preserve">   </v>
      </c>
      <c r="K145" s="10" t="str">
        <f t="shared" si="43"/>
        <v xml:space="preserve">   </v>
      </c>
    </row>
    <row r="146" spans="2:11" x14ac:dyDescent="0.25">
      <c r="B146" t="str">
        <f t="shared" si="38"/>
        <v>"JINDALSTEL","open":"62.60","high":"63.25","low":"61.40","ltP":"62.20","ptsC":"0.60","per":"0.97","trdVol":"43.24","trdVolM":"4.32","ntP":"26.91","mVal":"0.27","wkhi":"128.70","wklo":"48.10","wkhicm_adj":"351.00","wklocm_adj":"127.70","xDt":"31-DEC-2999","cAct":"-","yPC":"-47.36","mPC":"-19.01"</v>
      </c>
      <c r="C146" s="13" t="s">
        <v>138</v>
      </c>
      <c r="D146" s="6" t="str">
        <f t="shared" si="39"/>
        <v>62.60</v>
      </c>
      <c r="E146" s="6" t="str">
        <f t="shared" si="39"/>
        <v>63.25</v>
      </c>
      <c r="F146" s="6" t="str">
        <f t="shared" si="39"/>
        <v>61.40</v>
      </c>
      <c r="G146" s="6" t="str">
        <f t="shared" si="39"/>
        <v>62.20</v>
      </c>
      <c r="H146" s="7" t="str">
        <f t="shared" si="40"/>
        <v xml:space="preserve">   </v>
      </c>
      <c r="I146" s="8" t="str">
        <f t="shared" si="41"/>
        <v xml:space="preserve">   </v>
      </c>
      <c r="J146" s="9" t="str">
        <f t="shared" si="42"/>
        <v xml:space="preserve">   </v>
      </c>
      <c r="K146" s="10" t="str">
        <f t="shared" si="43"/>
        <v xml:space="preserve">   </v>
      </c>
    </row>
    <row r="147" spans="2:11" x14ac:dyDescent="0.25">
      <c r="B147" t="str">
        <f t="shared" si="38"/>
        <v>"JSWENERGY","open":"72.50","high":"74.40","low":"70.65","ltP":"71.90","ptsC":"0.20","per":"0.28","trdVol":"18.25","trdVolM":"1.83","ntP":"13.19","mVal":"0.13","wkhi":"114.30","wklo":"59.00","wkhicm_adj":"97.40","wklocm_adj":"39.85","xDt":"31-DEC-2999","cAct":"-","yPC":"-35.69","mPC":"5.97"</v>
      </c>
      <c r="C147" s="13" t="s">
        <v>139</v>
      </c>
      <c r="D147" s="6" t="str">
        <f t="shared" si="39"/>
        <v>72.50</v>
      </c>
      <c r="E147" s="6" t="str">
        <f t="shared" si="39"/>
        <v>74.40</v>
      </c>
      <c r="F147" s="6" t="str">
        <f t="shared" si="39"/>
        <v>70.65</v>
      </c>
      <c r="G147" s="6" t="str">
        <f t="shared" si="39"/>
        <v>71.90</v>
      </c>
      <c r="H147" s="7" t="str">
        <f t="shared" si="40"/>
        <v xml:space="preserve">   </v>
      </c>
      <c r="I147" s="8" t="str">
        <f t="shared" si="41"/>
        <v xml:space="preserve">   </v>
      </c>
      <c r="J147" s="9" t="str">
        <f t="shared" si="42"/>
        <v xml:space="preserve">   </v>
      </c>
      <c r="K147" s="10" t="str">
        <f t="shared" si="43"/>
        <v xml:space="preserve">   </v>
      </c>
    </row>
    <row r="148" spans="2:11" x14ac:dyDescent="0.25">
      <c r="B148" t="str">
        <f t="shared" si="38"/>
        <v>"JUBLFOOD","open":"1,094.00","high":"1,094.00","low":"1,011.10","ltP":"1,025.15","ptsC":"-86.80","per":"-7.81","trdVol":"18.89","trdVolM":"1.89","ntP":"197.25","mVal":"1.97","wkhi":"1,959.50","wklo":"887.35","wkhicm_adj":"1,497.40","wklocm_adj":"937.70","xDt":"31-DEC-2999","cAct":"-","yPC":"-41.66","mPC":"-23.06"</v>
      </c>
      <c r="C148" s="13" t="s">
        <v>140</v>
      </c>
      <c r="D148" s="6" t="str">
        <f t="shared" si="39"/>
        <v>1,094.00</v>
      </c>
      <c r="E148" s="6" t="str">
        <f t="shared" si="39"/>
        <v>1,094.00</v>
      </c>
      <c r="F148" s="6" t="str">
        <f t="shared" si="39"/>
        <v>1,011.10</v>
      </c>
      <c r="G148" s="6" t="str">
        <f t="shared" si="39"/>
        <v>1,025.15</v>
      </c>
      <c r="H148" s="7" t="str">
        <f t="shared" si="40"/>
        <v xml:space="preserve">SHORT </v>
      </c>
      <c r="I148" s="8">
        <f t="shared" si="41"/>
        <v>1088</v>
      </c>
      <c r="J148" s="9">
        <f t="shared" si="42"/>
        <v>1099.47</v>
      </c>
      <c r="K148" s="10">
        <f t="shared" si="43"/>
        <v>5.7766544117646978E-2</v>
      </c>
    </row>
    <row r="149" spans="2:11" x14ac:dyDescent="0.25">
      <c r="B149" t="str">
        <f t="shared" si="38"/>
        <v>"JUSTDIAL","open":"656.00","high":"661.95","low":"641.20","ltP":"644.95","ptsC":"-9.30","per":"-1.42","trdVol":"8.58","trdVolM":"0.86","ntP":"55.67","mVal":"0.56","wkhi":"1,290.00","wklo":"375.70","wkhicm_adj":"1,894.40","wklocm_adj":"982.60","xDt":"31-DEC-2999","cAct":"-","yPC":"-42.66","mPC":"-24.09"</v>
      </c>
      <c r="C149" s="13" t="s">
        <v>141</v>
      </c>
      <c r="D149" s="6" t="str">
        <f t="shared" si="39"/>
        <v>656.00</v>
      </c>
      <c r="E149" s="6" t="str">
        <f t="shared" si="39"/>
        <v>661.95</v>
      </c>
      <c r="F149" s="6" t="str">
        <f t="shared" si="39"/>
        <v>641.20</v>
      </c>
      <c r="G149" s="6" t="str">
        <f t="shared" si="39"/>
        <v>644.95</v>
      </c>
      <c r="H149" s="7" t="str">
        <f t="shared" si="40"/>
        <v xml:space="preserve">   </v>
      </c>
      <c r="I149" s="8" t="str">
        <f t="shared" si="41"/>
        <v xml:space="preserve">   </v>
      </c>
      <c r="J149" s="9" t="str">
        <f t="shared" si="42"/>
        <v xml:space="preserve">   </v>
      </c>
      <c r="K149" s="10" t="str">
        <f t="shared" si="43"/>
        <v xml:space="preserve">   </v>
      </c>
    </row>
    <row r="150" spans="2:11" x14ac:dyDescent="0.25">
      <c r="B150" t="str">
        <f t="shared" si="38"/>
        <v>"L&amp;TFH","open":"74.00","high":"78.85","low":"72.95","ltP":"77.80","ptsC":"4.05","per":"5.49","trdVol":"106.42","trdVolM":"10.64","ntP":"81.99","mVal":"0.82","wkhi":"78.85","wklo":"48.25","wkhicm_adj":"88.25","wklocm_adj":"62.30","xDt":"31-DEC-2999","cAct":"-","yPC":"22.14","mPC":"8.51"</v>
      </c>
      <c r="C150" s="13" t="s">
        <v>142</v>
      </c>
      <c r="D150" s="6" t="str">
        <f t="shared" si="39"/>
        <v>74.00</v>
      </c>
      <c r="E150" s="6" t="str">
        <f t="shared" si="39"/>
        <v>78.85</v>
      </c>
      <c r="F150" s="6" t="str">
        <f t="shared" si="39"/>
        <v>72.95</v>
      </c>
      <c r="G150" s="6" t="str">
        <f t="shared" si="39"/>
        <v>77.80</v>
      </c>
      <c r="H150" s="7" t="str">
        <f t="shared" si="40"/>
        <v xml:space="preserve">   </v>
      </c>
      <c r="I150" s="8" t="str">
        <f t="shared" si="41"/>
        <v xml:space="preserve">   </v>
      </c>
      <c r="J150" s="9" t="str">
        <f t="shared" si="42"/>
        <v xml:space="preserve">   </v>
      </c>
      <c r="K150" s="10" t="str">
        <f t="shared" si="43"/>
        <v xml:space="preserve">   </v>
      </c>
    </row>
    <row r="151" spans="2:11" x14ac:dyDescent="0.25">
      <c r="B151" t="str">
        <f t="shared" si="38"/>
        <v>"M&amp;MFIN","open":"324.80","high":"330.45","low":"321.95","ltP":"327.50","ptsC":"2.65","per":"0.82","trdVol":"6.79","trdVolM":"0.68","ntP":"22.15","mVal":"0.22","wkhi":"330.45","wklo":"173.10","wkhicm_adj":"356.50","wklocm_adj":"229.25","xDt":"31-DEC-2999","cAct":"-","yPC":"22.89","mPC":"6.78"</v>
      </c>
      <c r="C151" s="13" t="s">
        <v>143</v>
      </c>
      <c r="D151" s="6" t="str">
        <f t="shared" si="39"/>
        <v>324.80</v>
      </c>
      <c r="E151" s="6" t="str">
        <f t="shared" si="39"/>
        <v>330.45</v>
      </c>
      <c r="F151" s="6" t="str">
        <f t="shared" si="39"/>
        <v>321.95</v>
      </c>
      <c r="G151" s="6" t="str">
        <f t="shared" si="39"/>
        <v>327.50</v>
      </c>
      <c r="H151" s="7" t="str">
        <f t="shared" si="40"/>
        <v xml:space="preserve">   </v>
      </c>
      <c r="I151" s="8" t="str">
        <f t="shared" si="41"/>
        <v xml:space="preserve">   </v>
      </c>
      <c r="J151" s="9" t="str">
        <f t="shared" si="42"/>
        <v xml:space="preserve">   </v>
      </c>
      <c r="K151" s="10" t="str">
        <f t="shared" si="43"/>
        <v xml:space="preserve">   </v>
      </c>
    </row>
    <row r="152" spans="2:11" x14ac:dyDescent="0.25">
      <c r="B152" t="str">
        <f t="shared" si="38"/>
        <v>"MINDTREE","open":"667.60","high":"681.80","low":"667.60","ltP":"671.00","ptsC":"3.40","per":"0.51","trdVol":"2.66","trdVolM":"0.27","ntP":"17.96","mVal":"0.18","wkhi":"804.50","wklo":"594.03","wkhicm_adj":"1,268.30","wklocm_adj":"648.75","xDt":"11-APR-2016","cAct":"INTERIM DIVIDEND - RS 2\/- PER SHARE (PURPOSE REVISED)","yPC":"-7.38","mPC":"-4.10"</v>
      </c>
      <c r="C152" s="13" t="s">
        <v>144</v>
      </c>
      <c r="D152" s="6" t="str">
        <f t="shared" si="39"/>
        <v>667.60</v>
      </c>
      <c r="E152" s="6" t="str">
        <f t="shared" si="39"/>
        <v>681.80</v>
      </c>
      <c r="F152" s="6" t="str">
        <f t="shared" si="39"/>
        <v>667.60</v>
      </c>
      <c r="G152" s="6" t="str">
        <f t="shared" si="39"/>
        <v>671.00</v>
      </c>
      <c r="H152" s="7" t="str">
        <f t="shared" si="40"/>
        <v xml:space="preserve">LONG </v>
      </c>
      <c r="I152" s="8">
        <f t="shared" si="41"/>
        <v>672</v>
      </c>
      <c r="J152" s="9">
        <f t="shared" si="42"/>
        <v>664.26200000000006</v>
      </c>
      <c r="K152" s="10">
        <f t="shared" si="43"/>
        <v>-1.488095238095238E-3</v>
      </c>
    </row>
    <row r="153" spans="2:11" x14ac:dyDescent="0.25">
      <c r="B153" t="str">
        <f t="shared" si="38"/>
        <v>"MRF","open":"33,719.00","high":"33,840.00","low":"33,222.10","ltP":"33,482.75","ptsC":"-59.45","per":"-0.18","trdVol":"0.03","trdVolM":"0.00","ntP":"8.53","mVal":"0.09","wkhi":"46,399.00","wklo":"31,002.00","wkhicm_adj":"33,980.00","wklocm_adj":"17,070.00","xDt":"31-DEC-2999","cAct":"-","yPC":"-5.37","mPC":"-3.75"</v>
      </c>
      <c r="C153" s="13" t="s">
        <v>145</v>
      </c>
      <c r="D153" s="6" t="str">
        <f t="shared" si="39"/>
        <v>33,719.00</v>
      </c>
      <c r="E153" s="6" t="str">
        <f t="shared" si="39"/>
        <v>33,840.00</v>
      </c>
      <c r="F153" s="6" t="str">
        <f t="shared" si="39"/>
        <v>33,222.10</v>
      </c>
      <c r="G153" s="6" t="str">
        <f t="shared" si="39"/>
        <v>33,482.75</v>
      </c>
      <c r="H153" s="7" t="str">
        <f t="shared" si="40"/>
        <v xml:space="preserve">   </v>
      </c>
      <c r="I153" s="8" t="str">
        <f t="shared" si="41"/>
        <v xml:space="preserve">   </v>
      </c>
      <c r="J153" s="9" t="str">
        <f t="shared" si="42"/>
        <v xml:space="preserve">   </v>
      </c>
      <c r="K153" s="10" t="str">
        <f t="shared" si="43"/>
        <v xml:space="preserve">   </v>
      </c>
    </row>
    <row r="154" spans="2:11" x14ac:dyDescent="0.25">
      <c r="B154" t="str">
        <f t="shared" si="38"/>
        <v>"PAGEIND","open":"13,500.00","high":"14,169.00","low":"13,500.00","ltP":"14,020.80","ptsC":"548.55","per":"4.07","trdVol":"0.20","trdVolM":"0.02","ntP":"27.61","mVal":"0.28","wkhi":"17,000.00","wklo":"9,752.35","wkhicm_adj":"10,390.00","wklocm_adj":"5,010.00","xDt":"31-DEC-2999","cAct":"-","yPC":"-7.84","mPC":"8.02"</v>
      </c>
      <c r="C154" s="13" t="s">
        <v>146</v>
      </c>
      <c r="D154" s="6" t="str">
        <f t="shared" si="39"/>
        <v>13,500.00</v>
      </c>
      <c r="E154" s="6" t="str">
        <f t="shared" si="39"/>
        <v>14,169.00</v>
      </c>
      <c r="F154" s="6" t="str">
        <f t="shared" si="39"/>
        <v>13,500.00</v>
      </c>
      <c r="G154" s="6" t="str">
        <f t="shared" si="39"/>
        <v>14,020.80</v>
      </c>
      <c r="H154" s="7" t="str">
        <f t="shared" si="40"/>
        <v xml:space="preserve">LONG </v>
      </c>
      <c r="I154" s="8">
        <f t="shared" si="41"/>
        <v>13519</v>
      </c>
      <c r="J154" s="9">
        <f t="shared" si="42"/>
        <v>13432.5</v>
      </c>
      <c r="K154" s="10">
        <f t="shared" si="43"/>
        <v>3.7118130039204028E-2</v>
      </c>
    </row>
    <row r="155" spans="2:11" x14ac:dyDescent="0.25">
      <c r="B155" t="str">
        <f t="shared" si="38"/>
        <v>"PCJEWELLER","open":"368.00","high":"370.00","low":"361.65","ltP":"364.00","ptsC":"-4.10","per":"-1.11","trdVol":"1.00","trdVolM":"0.10","ntP":"3.65","mVal":"0.04","wkhi":"493.40","wklo":"295.80","wkhicm_adj":"278.00","wklocm_adj":"72.00","xDt":"31-DEC-2999","cAct":"-","yPC":"-1.77","mPC":"-0.31"</v>
      </c>
      <c r="C155" s="13" t="s">
        <v>147</v>
      </c>
      <c r="D155" s="6" t="str">
        <f t="shared" si="39"/>
        <v>368.00</v>
      </c>
      <c r="E155" s="6" t="str">
        <f t="shared" si="39"/>
        <v>370.00</v>
      </c>
      <c r="F155" s="6" t="str">
        <f t="shared" si="39"/>
        <v>361.65</v>
      </c>
      <c r="G155" s="6" t="str">
        <f t="shared" si="39"/>
        <v>364.00</v>
      </c>
      <c r="H155" s="7" t="str">
        <f t="shared" si="40"/>
        <v xml:space="preserve">   </v>
      </c>
      <c r="I155" s="8" t="str">
        <f t="shared" si="41"/>
        <v xml:space="preserve">   </v>
      </c>
      <c r="J155" s="9" t="str">
        <f t="shared" si="42"/>
        <v xml:space="preserve">   </v>
      </c>
      <c r="K155" s="10" t="str">
        <f t="shared" si="43"/>
        <v xml:space="preserve">   </v>
      </c>
    </row>
    <row r="156" spans="2:11" x14ac:dyDescent="0.25">
      <c r="B156" t="str">
        <f t="shared" si="38"/>
        <v>"PETRONET","open":"274.80","high":"279.80","low":"270.20","ltP":"278.50","ptsC":"5.35","per":"1.96","trdVol":"5.25","trdVolM":"0.53","ntP":"14.48","mVal":"0.14","wkhi":"284.80","wklo":"163.55","wkhicm_adj":"208.80","wklocm_adj":"102.60","xDt":"31-DEC-2999","cAct":"-","yPC":"51.69","mPC":"5.67"</v>
      </c>
      <c r="C156" s="13" t="s">
        <v>148</v>
      </c>
      <c r="D156" s="6" t="str">
        <f t="shared" si="39"/>
        <v>274.80</v>
      </c>
      <c r="E156" s="6" t="str">
        <f t="shared" si="39"/>
        <v>279.80</v>
      </c>
      <c r="F156" s="6" t="str">
        <f t="shared" si="39"/>
        <v>270.20</v>
      </c>
      <c r="G156" s="6" t="str">
        <f t="shared" si="39"/>
        <v>278.50</v>
      </c>
      <c r="H156" s="7" t="str">
        <f t="shared" si="40"/>
        <v xml:space="preserve">   </v>
      </c>
      <c r="I156" s="8" t="str">
        <f t="shared" si="41"/>
        <v xml:space="preserve">   </v>
      </c>
      <c r="J156" s="9" t="str">
        <f t="shared" si="42"/>
        <v xml:space="preserve">   </v>
      </c>
      <c r="K156" s="10" t="str">
        <f t="shared" si="43"/>
        <v xml:space="preserve">   </v>
      </c>
    </row>
    <row r="157" spans="2:11" x14ac:dyDescent="0.25">
      <c r="B157" t="str">
        <f t="shared" si="38"/>
        <v>"RELCAPITAL","open":"417.75","high":"420.90","low":"412.10","ltP":"414.90","ptsC":"0.90","per":"0.22","trdVol":"21.37","trdVolM":"2.14","ntP":"88.96","mVal":"0.89","wkhi":"471.00","wklo":"246.35","wkhicm_adj":"669.90","wklocm_adj":"304.50","xDt":"31-DEC-2999","cAct":"-","yPC":"7.21","mPC":"2.72"</v>
      </c>
      <c r="C157" s="13" t="s">
        <v>149</v>
      </c>
      <c r="D157" s="6" t="str">
        <f>MID($B157,FIND(D$9,$B157)+LEN(D$9)+3,FIND(CHAR(34),$B157,FIND(D$9,$B157)+LEN(D$9)+3)-(FIND(D$9,$B157)+LEN(D$9)+3))</f>
        <v>417.75</v>
      </c>
      <c r="E157" s="6" t="str">
        <f>MID($B157,FIND(E$9,$B157)+LEN(E$9)+3,FIND(CHAR(34),$B157,FIND(E$9,$B157)+LEN(E$9)+3)-(FIND(E$9,$B157)+LEN(E$9)+3))</f>
        <v>420.90</v>
      </c>
      <c r="F157" s="6" t="str">
        <f>MID($B157,FIND(F$9,$B157)+LEN(F$9)+3,FIND(CHAR(34),$B157,FIND(F$9,$B157)+LEN(F$9)+3)-(FIND(F$9,$B157)+LEN(F$9)+3))</f>
        <v>412.10</v>
      </c>
      <c r="G157" s="6" t="str">
        <f>MID($B157,FIND(G$9,$B157)+LEN(G$9)+3,FIND(CHAR(34),$B157,FIND(G$9,$B157)+LEN(G$9)+3)-(FIND(G$9,$B157)+LEN(G$9)+3))</f>
        <v>414.90</v>
      </c>
      <c r="H157" s="7" t="str">
        <f t="shared" si="40"/>
        <v xml:space="preserve">   </v>
      </c>
      <c r="I157" s="8" t="str">
        <f t="shared" si="41"/>
        <v xml:space="preserve">   </v>
      </c>
      <c r="J157" s="9" t="str">
        <f t="shared" si="42"/>
        <v xml:space="preserve">   </v>
      </c>
      <c r="K157" s="10" t="str">
        <f t="shared" si="43"/>
        <v xml:space="preserve">   </v>
      </c>
    </row>
    <row r="158" spans="2:11" x14ac:dyDescent="0.25">
      <c r="B158" t="str">
        <f t="shared" si="38"/>
        <v>"RELINFRA","open":"550.00","high":"552.90","low":"541.00","ltP":"547.10","ptsC":"5.40","per":"1.00","trdVol":"24.75","trdVolM":"2.48","ntP":"135.51","mVal":"1.36","wkhi":"621.90","wklo":"281.55","wkhicm_adj":"819.90","wklocm_adj":"350.30","xDt":"31-DEC-2999","cAct":"-","yPC":"31.29","mPC":"-0.55"</v>
      </c>
      <c r="C158" s="13" t="s">
        <v>150</v>
      </c>
      <c r="D158" s="6" t="str">
        <f t="shared" si="39"/>
        <v>550.00</v>
      </c>
      <c r="E158" s="6" t="str">
        <f t="shared" si="39"/>
        <v>552.90</v>
      </c>
      <c r="F158" s="6" t="str">
        <f t="shared" si="39"/>
        <v>541.00</v>
      </c>
      <c r="G158" s="6" t="str">
        <f t="shared" si="39"/>
        <v>547.10</v>
      </c>
      <c r="H158" s="7" t="str">
        <f t="shared" ref="H158:H170" si="44">IF(AND(E158=0, F158=0, D158=0),"  ",IF(E158= D158,"SHORT ",IF(F158= D158,"LONG ",IF(E158&lt;&gt; F158&lt;&gt; D158,"   "))))</f>
        <v xml:space="preserve">   </v>
      </c>
      <c r="I158" s="8" t="str">
        <f t="shared" ref="I158:I170" si="45">IF(AND(E158=0,F158=0,D158=0),"  ",IF(D158=F158,ROUND(((SQRT(F158) +0.0833) ^2),0),IF(E158=D158,ROUND(((SQRT(E158) -0.0833) ^2),0),IF(E158&lt;&gt;F158&lt;&gt;D158,"   "))))</f>
        <v xml:space="preserve">   </v>
      </c>
      <c r="J158" s="9" t="str">
        <f t="shared" ref="J158:J170" si="46">IF(AND(E158=0, F158=0, D158=0),"  ",IF(E158= D158,D158+0.005*D158,IF(F158= D158,D158-0.005*D158,IF(E158&lt;&gt; F158&lt;&gt; D158,"   "))))</f>
        <v xml:space="preserve">   </v>
      </c>
      <c r="K158" s="10" t="str">
        <f t="shared" ref="K158:K170" si="47">IF(AND(E158=0, F158=0, D158=0),"  ",IF(E158= D158,(I158-G158)/I158,IF(F158= D158,(G158-I158)/I158,IF(E158&lt;&gt; F158&lt;&gt; D158,"   "))))</f>
        <v xml:space="preserve">   </v>
      </c>
    </row>
    <row r="159" spans="2:11" x14ac:dyDescent="0.25">
      <c r="B159" t="str">
        <f t="shared" si="38"/>
        <v>"RPOWER","open":"53.05","high":"53.50","low":"52.10","ltP":"52.50","ptsC":"0.25","per":"0.48","trdVol":"29.93","trdVolM":"2.99","ntP":"15.75","mVal":"0.16","wkhi":"61.25","wklo":"33.10","wkhicm_adj":"113.30","wklocm_adj":"60.00","xDt":"31-DEC-2999","cAct":"-","yPC":"-0.94","mPC":"-1.50"</v>
      </c>
      <c r="C159" s="13" t="s">
        <v>151</v>
      </c>
      <c r="D159" s="6" t="str">
        <f t="shared" ref="D159:G163" si="48">MID($B159,FIND(D$9,$B159)+LEN(D$9)+3,FIND(CHAR(34),$B159,FIND(D$9,$B159)+LEN(D$9)+3)-(FIND(D$9,$B159)+LEN(D$9)+3))</f>
        <v>53.05</v>
      </c>
      <c r="E159" s="6" t="str">
        <f t="shared" si="48"/>
        <v>53.50</v>
      </c>
      <c r="F159" s="6" t="str">
        <f t="shared" si="48"/>
        <v>52.10</v>
      </c>
      <c r="G159" s="6" t="str">
        <f t="shared" si="48"/>
        <v>52.50</v>
      </c>
      <c r="H159" s="7" t="str">
        <f t="shared" si="44"/>
        <v xml:space="preserve">   </v>
      </c>
      <c r="I159" s="8" t="str">
        <f t="shared" si="45"/>
        <v xml:space="preserve">   </v>
      </c>
      <c r="J159" s="9" t="str">
        <f t="shared" si="46"/>
        <v xml:space="preserve">   </v>
      </c>
      <c r="K159" s="10" t="str">
        <f t="shared" si="47"/>
        <v xml:space="preserve">   </v>
      </c>
    </row>
    <row r="160" spans="2:11" x14ac:dyDescent="0.25">
      <c r="B160" t="str">
        <f t="shared" si="38"/>
        <v>"SRF","open":"1,270.00","high":"1,307.80","low":"1,265.65","ltP":"1,302.85","ptsC":"42.30","per":"3.36","trdVol":"2.50","trdVolM":"0.25","ntP":"32.22","mVal":"0.32","wkhi":"1,498.85","wklo":"990.00","wkhicm_adj":"958.80","wklocm_adj":"170.00","xDt":"31-DEC-2999","cAct":"-","yPC":"28.94","mPC":"-3.90"</v>
      </c>
      <c r="C160" s="13" t="s">
        <v>152</v>
      </c>
      <c r="D160" s="6" t="str">
        <f t="shared" si="48"/>
        <v>1,270.00</v>
      </c>
      <c r="E160" s="6" t="str">
        <f t="shared" si="48"/>
        <v>1,307.80</v>
      </c>
      <c r="F160" s="6" t="str">
        <f t="shared" si="48"/>
        <v>1,265.65</v>
      </c>
      <c r="G160" s="6" t="str">
        <f t="shared" si="48"/>
        <v>1,302.85</v>
      </c>
      <c r="H160" s="7" t="str">
        <f t="shared" si="44"/>
        <v xml:space="preserve">   </v>
      </c>
      <c r="I160" s="8" t="str">
        <f t="shared" si="45"/>
        <v xml:space="preserve">   </v>
      </c>
      <c r="J160" s="9" t="str">
        <f t="shared" si="46"/>
        <v xml:space="preserve">   </v>
      </c>
      <c r="K160" s="10" t="str">
        <f t="shared" si="47"/>
        <v xml:space="preserve">   </v>
      </c>
    </row>
    <row r="161" spans="2:11" x14ac:dyDescent="0.25">
      <c r="B161" t="str">
        <f t="shared" si="38"/>
        <v>"STAR","open":"1,128.50","high":"1,130.00","low":"1,100.10","ltP":"1,114.95","ptsC":"-5.90","per":"-0.53","trdVol":"1.23","trdVolM":"0.12","ntP":"13.70","mVal":"0.14","wkhi":"1,414.00","wklo":"847.00","wkhicm_adj":"1,045.00","wklocm_adj":"310.15","xDt":"31-DEC-2999","cAct":"-","yPC":"-8.65","mPC":"1.00"</v>
      </c>
      <c r="C161" s="13" t="s">
        <v>153</v>
      </c>
      <c r="D161" s="6" t="str">
        <f t="shared" si="48"/>
        <v>1,128.50</v>
      </c>
      <c r="E161" s="6" t="str">
        <f t="shared" si="48"/>
        <v>1,130.00</v>
      </c>
      <c r="F161" s="6" t="str">
        <f t="shared" si="48"/>
        <v>1,100.10</v>
      </c>
      <c r="G161" s="6" t="str">
        <f t="shared" si="48"/>
        <v>1,114.95</v>
      </c>
      <c r="H161" s="7" t="str">
        <f t="shared" si="44"/>
        <v xml:space="preserve">   </v>
      </c>
      <c r="I161" s="8" t="str">
        <f t="shared" si="45"/>
        <v xml:space="preserve">   </v>
      </c>
      <c r="J161" s="9" t="str">
        <f t="shared" si="46"/>
        <v xml:space="preserve">   </v>
      </c>
      <c r="K161" s="10" t="str">
        <f t="shared" si="47"/>
        <v xml:space="preserve">   </v>
      </c>
    </row>
    <row r="162" spans="2:11" x14ac:dyDescent="0.25">
      <c r="B162" t="str">
        <f t="shared" si="38"/>
        <v>"SUNTV","open":"387.00","high":"387.00","low":"373.50","ltP":"377.50","ptsC":"-4.80","per":"-1.26","trdVol":"7.21","trdVolM":"0.72","ntP":"27.34","mVal":"0.27","wkhi":"436.80","wklo":"255.80","wkhicm_adj":"477.00","wklocm_adj":"300.00","xDt":"21-MAR-2016","cAct":"INTERIM DIVIDEND - RS 7.50\/- PER SHARE (PURPOSE REVISED)","yPC":"-2.47","mPC":"5.91"</v>
      </c>
      <c r="C162" s="13" t="s">
        <v>154</v>
      </c>
      <c r="D162" s="6" t="str">
        <f t="shared" si="48"/>
        <v>387.00</v>
      </c>
      <c r="E162" s="6" t="str">
        <f t="shared" si="48"/>
        <v>387.00</v>
      </c>
      <c r="F162" s="6" t="str">
        <f t="shared" si="48"/>
        <v>373.50</v>
      </c>
      <c r="G162" s="6" t="str">
        <f t="shared" si="48"/>
        <v>377.50</v>
      </c>
      <c r="H162" s="7" t="str">
        <f t="shared" si="44"/>
        <v xml:space="preserve">SHORT </v>
      </c>
      <c r="I162" s="8">
        <f t="shared" si="45"/>
        <v>384</v>
      </c>
      <c r="J162" s="9">
        <f t="shared" si="46"/>
        <v>388.935</v>
      </c>
      <c r="K162" s="10">
        <f t="shared" si="47"/>
        <v>1.6927083333333332E-2</v>
      </c>
    </row>
    <row r="163" spans="2:11" x14ac:dyDescent="0.25">
      <c r="B163" t="str">
        <f t="shared" si="38"/>
        <v>"SYNDIBANK","open":"65.25","high":"66.60","low":"64.40","ltP":"65.85","ptsC":"1.65","per":"2.57","trdVol":"22.64","trdVolM":"2.26","ntP":"14.83","mVal":"0.15","wkhi":"118.30","wklo":"49.40","wkhicm_adj":"180.00","wklocm_adj":"77.60","xDt":"31-DEC-2999","cAct":"-","yPC":"-43.09","mPC":"-6.13"</v>
      </c>
      <c r="C163" s="13" t="s">
        <v>155</v>
      </c>
      <c r="D163" s="6" t="str">
        <f t="shared" si="48"/>
        <v>65.25</v>
      </c>
      <c r="E163" s="6" t="str">
        <f t="shared" si="48"/>
        <v>66.60</v>
      </c>
      <c r="F163" s="6" t="str">
        <f t="shared" si="48"/>
        <v>64.40</v>
      </c>
      <c r="G163" s="6" t="str">
        <f t="shared" si="48"/>
        <v>65.85</v>
      </c>
      <c r="H163" s="7" t="str">
        <f t="shared" si="44"/>
        <v xml:space="preserve">   </v>
      </c>
      <c r="I163" s="8" t="str">
        <f t="shared" si="45"/>
        <v xml:space="preserve">   </v>
      </c>
      <c r="J163" s="9" t="str">
        <f t="shared" si="46"/>
        <v xml:space="preserve">   </v>
      </c>
      <c r="K163" s="10" t="str">
        <f t="shared" si="47"/>
        <v xml:space="preserve">   </v>
      </c>
    </row>
    <row r="164" spans="2:11" x14ac:dyDescent="0.25">
      <c r="B164" t="str">
        <f t="shared" si="38"/>
        <v>"TATACHEM","open":"434.95","high":"441.00","low":"423.50","ltP":"425.50","ptsC":"-6.95","per":"-1.61","trdVol":"4.73","trdVolM":"0.47","ntP":"20.21","mVal":"0.20","wkhi":"526.00","wklo":"309.60","wkhicm_adj":"442.75","wklocm_adj":"244.20","xDt":"31-DEC-2999","cAct":"-","yPC":"-2.17","mPC":"1.75"</v>
      </c>
      <c r="C164" s="13" t="s">
        <v>156</v>
      </c>
      <c r="D164" s="6" t="str">
        <f t="shared" ref="D164:G170" si="49">MID($B164,FIND(D$9,$B164)+LEN(D$9)+3,FIND(CHAR(34),$B164,FIND(D$9,$B164)+LEN(D$9)+3)-(FIND(D$9,$B164)+LEN(D$9)+3))</f>
        <v>434.95</v>
      </c>
      <c r="E164" s="6" t="str">
        <f t="shared" si="49"/>
        <v>441.00</v>
      </c>
      <c r="F164" s="6" t="str">
        <f t="shared" si="49"/>
        <v>423.50</v>
      </c>
      <c r="G164" s="6" t="str">
        <f t="shared" si="49"/>
        <v>425.50</v>
      </c>
      <c r="H164" s="7" t="str">
        <f t="shared" si="44"/>
        <v xml:space="preserve">   </v>
      </c>
      <c r="I164" s="8" t="str">
        <f t="shared" si="45"/>
        <v xml:space="preserve">   </v>
      </c>
      <c r="J164" s="9" t="str">
        <f t="shared" si="46"/>
        <v xml:space="preserve">   </v>
      </c>
      <c r="K164" s="10" t="str">
        <f t="shared" si="47"/>
        <v xml:space="preserve">   </v>
      </c>
    </row>
    <row r="165" spans="2:11" x14ac:dyDescent="0.25">
      <c r="B165" t="str">
        <f t="shared" si="38"/>
        <v>"TATACOMM","open":"454.00","high":"473.50","low":"451.80","ltP":"471.90","ptsC":"12.50","per":"2.72","trdVol":"4.25","trdVolM":"0.43","ntP":"19.76","mVal":"0.20","wkhi":"491.35","wklo":"325.00","wkhicm_adj":"462.40","wklocm_adj":"258.50","xDt":"31-DEC-2999","cAct":"-","yPC":"9.68","mPC":"12.54"</v>
      </c>
      <c r="C165" s="13" t="s">
        <v>157</v>
      </c>
      <c r="D165" s="6" t="str">
        <f t="shared" si="49"/>
        <v>454.00</v>
      </c>
      <c r="E165" s="6" t="str">
        <f t="shared" si="49"/>
        <v>473.50</v>
      </c>
      <c r="F165" s="6" t="str">
        <f t="shared" si="49"/>
        <v>451.80</v>
      </c>
      <c r="G165" s="6" t="str">
        <f t="shared" si="49"/>
        <v>471.90</v>
      </c>
      <c r="H165" s="7" t="str">
        <f t="shared" si="44"/>
        <v xml:space="preserve">   </v>
      </c>
      <c r="I165" s="8" t="str">
        <f t="shared" si="45"/>
        <v xml:space="preserve">   </v>
      </c>
      <c r="J165" s="9" t="str">
        <f t="shared" si="46"/>
        <v xml:space="preserve">   </v>
      </c>
      <c r="K165" s="10" t="str">
        <f t="shared" si="47"/>
        <v xml:space="preserve">   </v>
      </c>
    </row>
    <row r="166" spans="2:11" x14ac:dyDescent="0.25">
      <c r="B166" t="str">
        <f t="shared" si="38"/>
        <v>"TATAGLOBAL","open":"118.00","high":"119.65","low":"117.30","ltP":"118.00","ptsC":"0.70","per":"0.60","trdVol":"6.31","trdVolM":"0.63","ntP":"7.48","mVal":"0.07","wkhi":"150.30","wklo":"100.00","wkhicm_adj":"177.15","wklocm_adj":"135.25","xDt":"31-DEC-2999","cAct":"-","yPC":"-18.56","mPC":"-3.59"</v>
      </c>
      <c r="C166" s="13" t="s">
        <v>158</v>
      </c>
      <c r="D166" s="6" t="str">
        <f t="shared" si="49"/>
        <v>118.00</v>
      </c>
      <c r="E166" s="6" t="str">
        <f t="shared" si="49"/>
        <v>119.65</v>
      </c>
      <c r="F166" s="6" t="str">
        <f t="shared" si="49"/>
        <v>117.30</v>
      </c>
      <c r="G166" s="6" t="str">
        <f t="shared" si="49"/>
        <v>118.00</v>
      </c>
      <c r="H166" s="7" t="str">
        <f t="shared" si="44"/>
        <v xml:space="preserve">   </v>
      </c>
      <c r="I166" s="8" t="str">
        <f t="shared" si="45"/>
        <v xml:space="preserve">   </v>
      </c>
      <c r="J166" s="9" t="str">
        <f t="shared" si="46"/>
        <v xml:space="preserve">   </v>
      </c>
      <c r="K166" s="10" t="str">
        <f t="shared" si="47"/>
        <v xml:space="preserve">   </v>
      </c>
    </row>
    <row r="167" spans="2:11" x14ac:dyDescent="0.25">
      <c r="B167" t="str">
        <f t="shared" si="38"/>
        <v>"TVSMOTOR","open":"292.10","high":"293.95","low":"283.75","ltP":"287.90","ptsC":"-3.20","per":"-1.10","trdVol":"12.55","trdVolM":"1.26","ntP":"36.01","mVal":"0.36","wkhi":"340.85","wklo":"201.00","wkhicm_adj":"266.70","wklocm_adj":"52.50","xDt":"17-MAR-2016","cAct":"INTERIM DIVIDEND - RS 1.50 PER SHARE (PURPOSE REVISED)","yPC":"22.09","mPC":"-12.19"</v>
      </c>
      <c r="C167" s="13" t="s">
        <v>159</v>
      </c>
      <c r="D167" s="6" t="str">
        <f t="shared" si="49"/>
        <v>292.10</v>
      </c>
      <c r="E167" s="6" t="str">
        <f t="shared" si="49"/>
        <v>293.95</v>
      </c>
      <c r="F167" s="6" t="str">
        <f t="shared" si="49"/>
        <v>283.75</v>
      </c>
      <c r="G167" s="6" t="str">
        <f t="shared" si="49"/>
        <v>287.90</v>
      </c>
      <c r="H167" s="7" t="str">
        <f t="shared" si="44"/>
        <v xml:space="preserve">   </v>
      </c>
      <c r="I167" s="8" t="str">
        <f t="shared" si="45"/>
        <v xml:space="preserve">   </v>
      </c>
      <c r="J167" s="9" t="str">
        <f t="shared" si="46"/>
        <v xml:space="preserve">   </v>
      </c>
      <c r="K167" s="10" t="str">
        <f t="shared" si="47"/>
        <v xml:space="preserve">   </v>
      </c>
    </row>
    <row r="168" spans="2:11" x14ac:dyDescent="0.25">
      <c r="B168" t="str">
        <f t="shared" si="38"/>
        <v>"UNIONBANK","open":"117.90","high":"117.90","low":"114.50","ltP":"115.95","ptsC":"0.80","per":"0.69","trdVol":"22.67","trdVolM":"2.27","ntP":"26.34","mVal":"0.26","wkhi":"222.70","wklo":"104.00","wkhicm_adj":"259.65","wklocm_adj":"100.50","xDt":"31-DEC-2999","cAct":"-","yPC":"-32.39","mPC":"-12.06"</v>
      </c>
      <c r="C168" s="13" t="s">
        <v>160</v>
      </c>
      <c r="D168" s="6" t="str">
        <f t="shared" si="49"/>
        <v>117.90</v>
      </c>
      <c r="E168" s="6" t="str">
        <f t="shared" si="49"/>
        <v>117.90</v>
      </c>
      <c r="F168" s="6" t="str">
        <f t="shared" si="49"/>
        <v>114.50</v>
      </c>
      <c r="G168" s="6" t="str">
        <f t="shared" si="49"/>
        <v>115.95</v>
      </c>
      <c r="H168" s="7" t="str">
        <f t="shared" si="44"/>
        <v xml:space="preserve">SHORT </v>
      </c>
      <c r="I168" s="8">
        <f t="shared" si="45"/>
        <v>116</v>
      </c>
      <c r="J168" s="9">
        <f t="shared" si="46"/>
        <v>118.48950000000001</v>
      </c>
      <c r="K168" s="10">
        <f t="shared" si="47"/>
        <v>4.3103448275859618E-4</v>
      </c>
    </row>
    <row r="169" spans="2:11" x14ac:dyDescent="0.25">
      <c r="B169" t="str">
        <f t="shared" si="38"/>
        <v>"VOLTAS","open":"337.40","high":"342.90","low":"334.40","ltP":"340.30","ptsC":"3.50","per":"1.04","trdVol":"9.12","trdVolM":"0.91","ntP":"30.93","mVal":"0.31","wkhi":"359.90","wklo":"211.00","wkhicm_adj":"286.45","wklocm_adj":"96.85","xDt":"31-DEC-2999","cAct":"-","yPC":"2.97","mPC":"12.72"</v>
      </c>
      <c r="C169" s="13" t="s">
        <v>161</v>
      </c>
      <c r="D169" s="6" t="str">
        <f t="shared" si="49"/>
        <v>337.40</v>
      </c>
      <c r="E169" s="6" t="str">
        <f t="shared" si="49"/>
        <v>342.90</v>
      </c>
      <c r="F169" s="6" t="str">
        <f t="shared" si="49"/>
        <v>334.40</v>
      </c>
      <c r="G169" s="6" t="str">
        <f t="shared" si="49"/>
        <v>340.30</v>
      </c>
      <c r="H169" s="7" t="str">
        <f t="shared" si="44"/>
        <v xml:space="preserve">   </v>
      </c>
      <c r="I169" s="8" t="str">
        <f t="shared" si="45"/>
        <v xml:space="preserve">   </v>
      </c>
      <c r="J169" s="9" t="str">
        <f t="shared" si="46"/>
        <v xml:space="preserve">   </v>
      </c>
      <c r="K169" s="10" t="str">
        <f t="shared" si="47"/>
        <v xml:space="preserve">   </v>
      </c>
    </row>
    <row r="170" spans="2:11" x14ac:dyDescent="0.25">
      <c r="B170" t="str">
        <f t="shared" si="38"/>
        <v>"WOCKPHARMA","open":"934.30","high":"945.00","low":"923.00","ltP":"933.00","ptsC":"6.35","per":"0.69","trdVol":"4.69","trdVolM":"0.47","ntP":"43.87","mVal":"0.44","wkhi":"1,745.00","wklo":"705.75","wkhicm_adj":"887.00","wklocm_adj":"336.55","xDt":"31-DEC-2999","cAct":"-","yPC":"-34.89","mPC":"-9.32"</v>
      </c>
      <c r="C170" s="13" t="s">
        <v>162</v>
      </c>
      <c r="D170" s="6" t="str">
        <f t="shared" si="49"/>
        <v>934.30</v>
      </c>
      <c r="E170" s="6" t="str">
        <f t="shared" si="49"/>
        <v>945.00</v>
      </c>
      <c r="F170" s="6" t="str">
        <f t="shared" si="49"/>
        <v>923.00</v>
      </c>
      <c r="G170" s="6" t="str">
        <f t="shared" si="49"/>
        <v>933.00</v>
      </c>
      <c r="H170" s="7" t="str">
        <f t="shared" si="44"/>
        <v xml:space="preserve">   </v>
      </c>
      <c r="I170" s="8" t="str">
        <f t="shared" si="45"/>
        <v xml:space="preserve">   </v>
      </c>
      <c r="J170" s="9" t="str">
        <f t="shared" si="46"/>
        <v xml:space="preserve">   </v>
      </c>
      <c r="K170" s="10" t="str">
        <f t="shared" si="47"/>
        <v xml:space="preserve">   </v>
      </c>
    </row>
    <row r="499" spans="14:16" hidden="1" x14ac:dyDescent="0.25"/>
    <row r="500" spans="14:16" hidden="1" x14ac:dyDescent="0.25">
      <c r="N500" t="s">
        <v>168</v>
      </c>
      <c r="O500" t="s">
        <v>167</v>
      </c>
      <c r="P500" t="s">
        <v>166</v>
      </c>
    </row>
    <row r="501" spans="14:16" hidden="1" x14ac:dyDescent="0.25"/>
  </sheetData>
  <sortState ref="A2:A55">
    <sortCondition ref="A1:A55"/>
  </sortState>
  <conditionalFormatting sqref="H10:H60">
    <cfRule type="containsText" dxfId="7" priority="5" stopIfTrue="1" operator="containsText" text="short">
      <formula>NOT(ISERROR(SEARCH("short",H10)))</formula>
    </cfRule>
    <cfRule type="containsText" dxfId="6" priority="6" stopIfTrue="1" operator="containsText" text="long">
      <formula>NOT(ISERROR(SEARCH("long",H10)))</formula>
    </cfRule>
  </conditionalFormatting>
  <conditionalFormatting sqref="H66:H115">
    <cfRule type="containsText" dxfId="5" priority="3" stopIfTrue="1" operator="containsText" text="short">
      <formula>NOT(ISERROR(SEARCH("short",H66)))</formula>
    </cfRule>
    <cfRule type="containsText" dxfId="4" priority="4" stopIfTrue="1" operator="containsText" text="long">
      <formula>NOT(ISERROR(SEARCH("long",H66)))</formula>
    </cfRule>
  </conditionalFormatting>
  <conditionalFormatting sqref="H121:H170">
    <cfRule type="containsText" dxfId="3" priority="1" stopIfTrue="1" operator="containsText" text="short">
      <formula>NOT(ISERROR(SEARCH("short",H121)))</formula>
    </cfRule>
    <cfRule type="containsText" dxfId="2" priority="2" stopIfTrue="1" operator="containsText" text="long">
      <formula>NOT(ISERROR(SEARCH("long",H121)))</formula>
    </cfRule>
  </conditionalFormatting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2"/>
  <sheetViews>
    <sheetView workbookViewId="0">
      <selection activeCell="B3" sqref="B3"/>
    </sheetView>
  </sheetViews>
  <sheetFormatPr defaultRowHeight="15" x14ac:dyDescent="0.25"/>
  <cols>
    <col min="5" max="5" width="17" bestFit="1" customWidth="1"/>
  </cols>
  <sheetData>
    <row r="2" spans="2:5" x14ac:dyDescent="0.25">
      <c r="B2" s="4" t="s">
        <v>164</v>
      </c>
      <c r="C2" s="4" t="s">
        <v>1</v>
      </c>
      <c r="D2" s="4" t="s">
        <v>6</v>
      </c>
      <c r="E2" s="4" t="s">
        <v>58</v>
      </c>
    </row>
  </sheetData>
  <dataConsolidate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37" workbookViewId="0">
      <selection activeCell="E12" sqref="E12"/>
    </sheetView>
  </sheetViews>
  <sheetFormatPr defaultRowHeight="15" x14ac:dyDescent="0.25"/>
  <sheetData/>
  <sortState ref="A1:A51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Intraday_Trading_System</vt:lpstr>
      <vt:lpstr>Sheet1</vt:lpstr>
      <vt:lpstr>Sheet2</vt:lpstr>
      <vt:lpstr>Intraday_Trading_System!juniorNiftyStockWatch_1</vt:lpstr>
      <vt:lpstr>Intraday_Trading_System!niftyMidcap50StockWatch_1</vt:lpstr>
      <vt:lpstr>Intraday_Trading_System!niftyStockWatch_1</vt:lpstr>
    </vt:vector>
  </TitlesOfParts>
  <Company>Citrix Systems, Inc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srvdsk</dc:creator>
  <cp:lastModifiedBy>Dang Hung Duong</cp:lastModifiedBy>
  <dcterms:created xsi:type="dcterms:W3CDTF">2016-03-09T20:07:35Z</dcterms:created>
  <dcterms:modified xsi:type="dcterms:W3CDTF">2016-05-30T09:44:55Z</dcterms:modified>
</cp:coreProperties>
</file>