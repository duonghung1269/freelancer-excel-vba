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/>
  </bookViews>
  <sheets>
    <sheet name="Intraday_Trading_System" sheetId="1" r:id="rId1"/>
    <sheet name="Sheet1" sheetId="2" r:id="rId2"/>
    <sheet name="Sheet2" sheetId="3" r:id="rId3"/>
  </sheets>
  <definedNames>
    <definedName name="juniorNiftyStockWatch" localSheetId="0">Intraday_Trading_System!$E$3</definedName>
    <definedName name="juniorNiftyStockWatch_1" localSheetId="0">Intraday_Trading_System!$O$500:$O$501</definedName>
    <definedName name="niftyMidcap50StockWatch" localSheetId="0">Intraday_Trading_System!$E$6</definedName>
    <definedName name="niftyMidcap50StockWatch_1" localSheetId="0">Intraday_Trading_System!$P$500:$P$501</definedName>
    <definedName name="niftyStockWatch" localSheetId="0">Intraday_Trading_System!$E$1</definedName>
    <definedName name="niftyStockWatch_1" localSheetId="0">Intraday_Trading_System!$N$500:$N$501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4" i="1" l="1"/>
  <c r="E164" i="1" s="1"/>
  <c r="B165" i="1"/>
  <c r="F165" i="1" s="1"/>
  <c r="B166" i="1"/>
  <c r="E166" i="1" s="1"/>
  <c r="B167" i="1"/>
  <c r="G167" i="1" s="1"/>
  <c r="B168" i="1"/>
  <c r="E168" i="1" s="1"/>
  <c r="B169" i="1"/>
  <c r="F169" i="1" s="1"/>
  <c r="B170" i="1"/>
  <c r="E170" i="1" s="1"/>
  <c r="B157" i="1"/>
  <c r="E157" i="1" s="1"/>
  <c r="B158" i="1"/>
  <c r="F158" i="1" s="1"/>
  <c r="B159" i="1"/>
  <c r="E159" i="1" s="1"/>
  <c r="B160" i="1"/>
  <c r="G160" i="1" s="1"/>
  <c r="B161" i="1"/>
  <c r="E161" i="1" s="1"/>
  <c r="B162" i="1"/>
  <c r="F162" i="1" s="1"/>
  <c r="B163" i="1"/>
  <c r="E163" i="1" s="1"/>
  <c r="B122" i="1"/>
  <c r="G122" i="1" s="1"/>
  <c r="B123" i="1"/>
  <c r="F123" i="1" s="1"/>
  <c r="B124" i="1"/>
  <c r="E124" i="1" s="1"/>
  <c r="B125" i="1"/>
  <c r="D125" i="1" s="1"/>
  <c r="B126" i="1"/>
  <c r="F126" i="1" s="1"/>
  <c r="B127" i="1"/>
  <c r="D127" i="1" s="1"/>
  <c r="B128" i="1"/>
  <c r="E128" i="1" s="1"/>
  <c r="B129" i="1"/>
  <c r="D129" i="1" s="1"/>
  <c r="B130" i="1"/>
  <c r="D130" i="1" s="1"/>
  <c r="B131" i="1"/>
  <c r="F131" i="1" s="1"/>
  <c r="B132" i="1"/>
  <c r="E132" i="1" s="1"/>
  <c r="B133" i="1"/>
  <c r="D133" i="1" s="1"/>
  <c r="B134" i="1"/>
  <c r="F134" i="1" s="1"/>
  <c r="B135" i="1"/>
  <c r="F135" i="1" s="1"/>
  <c r="B136" i="1"/>
  <c r="E136" i="1" s="1"/>
  <c r="B137" i="1"/>
  <c r="D137" i="1" s="1"/>
  <c r="B138" i="1"/>
  <c r="D138" i="1" s="1"/>
  <c r="B139" i="1"/>
  <c r="F139" i="1" s="1"/>
  <c r="B140" i="1"/>
  <c r="E140" i="1" s="1"/>
  <c r="B141" i="1"/>
  <c r="D141" i="1" s="1"/>
  <c r="B142" i="1"/>
  <c r="F142" i="1" s="1"/>
  <c r="B143" i="1"/>
  <c r="F143" i="1" s="1"/>
  <c r="B144" i="1"/>
  <c r="E144" i="1" s="1"/>
  <c r="B145" i="1"/>
  <c r="D145" i="1" s="1"/>
  <c r="B146" i="1"/>
  <c r="D146" i="1" s="1"/>
  <c r="B147" i="1"/>
  <c r="F147" i="1" s="1"/>
  <c r="B148" i="1"/>
  <c r="E148" i="1" s="1"/>
  <c r="B149" i="1"/>
  <c r="D149" i="1" s="1"/>
  <c r="B150" i="1"/>
  <c r="D150" i="1" s="1"/>
  <c r="B151" i="1"/>
  <c r="E151" i="1" s="1"/>
  <c r="B152" i="1"/>
  <c r="E152" i="1" s="1"/>
  <c r="B153" i="1"/>
  <c r="D153" i="1" s="1"/>
  <c r="B154" i="1"/>
  <c r="D154" i="1" s="1"/>
  <c r="B155" i="1"/>
  <c r="D155" i="1" s="1"/>
  <c r="B156" i="1"/>
  <c r="E156" i="1" s="1"/>
  <c r="B121" i="1"/>
  <c r="G121" i="1" s="1"/>
  <c r="B67" i="1"/>
  <c r="E67" i="1" s="1"/>
  <c r="B68" i="1"/>
  <c r="E68" i="1" s="1"/>
  <c r="B69" i="1"/>
  <c r="E69" i="1" s="1"/>
  <c r="B70" i="1"/>
  <c r="E70" i="1" s="1"/>
  <c r="B71" i="1"/>
  <c r="E71" i="1" s="1"/>
  <c r="B72" i="1"/>
  <c r="G72" i="1" s="1"/>
  <c r="B73" i="1"/>
  <c r="F73" i="1" s="1"/>
  <c r="B74" i="1"/>
  <c r="E74" i="1" s="1"/>
  <c r="B75" i="1"/>
  <c r="E75" i="1" s="1"/>
  <c r="B76" i="1"/>
  <c r="B77" i="1"/>
  <c r="D77" i="1" s="1"/>
  <c r="B78" i="1"/>
  <c r="B79" i="1"/>
  <c r="E79" i="1" s="1"/>
  <c r="B80" i="1"/>
  <c r="E80" i="1" s="1"/>
  <c r="B81" i="1"/>
  <c r="D81" i="1" s="1"/>
  <c r="B82" i="1"/>
  <c r="E82" i="1" s="1"/>
  <c r="B83" i="1"/>
  <c r="E83" i="1" s="1"/>
  <c r="B84" i="1"/>
  <c r="E84" i="1" s="1"/>
  <c r="B85" i="1"/>
  <c r="E85" i="1" s="1"/>
  <c r="B86" i="1"/>
  <c r="E86" i="1" s="1"/>
  <c r="B87" i="1"/>
  <c r="E87" i="1" s="1"/>
  <c r="B88" i="1"/>
  <c r="E88" i="1" s="1"/>
  <c r="B89" i="1"/>
  <c r="E89" i="1" s="1"/>
  <c r="B90" i="1"/>
  <c r="E90" i="1" s="1"/>
  <c r="B91" i="1"/>
  <c r="E91" i="1" s="1"/>
  <c r="B92" i="1"/>
  <c r="B93" i="1"/>
  <c r="D93" i="1" s="1"/>
  <c r="B94" i="1"/>
  <c r="B95" i="1"/>
  <c r="E95" i="1" s="1"/>
  <c r="B96" i="1"/>
  <c r="E96" i="1" s="1"/>
  <c r="B97" i="1"/>
  <c r="D97" i="1" s="1"/>
  <c r="B98" i="1"/>
  <c r="E98" i="1" s="1"/>
  <c r="B99" i="1"/>
  <c r="E99" i="1" s="1"/>
  <c r="B100" i="1"/>
  <c r="G100" i="1" s="1"/>
  <c r="B101" i="1"/>
  <c r="D101" i="1" s="1"/>
  <c r="B102" i="1"/>
  <c r="E102" i="1" s="1"/>
  <c r="B103" i="1"/>
  <c r="E103" i="1" s="1"/>
  <c r="B104" i="1"/>
  <c r="E104" i="1" s="1"/>
  <c r="B105" i="1"/>
  <c r="E105" i="1" s="1"/>
  <c r="B106" i="1"/>
  <c r="E106" i="1" s="1"/>
  <c r="B107" i="1"/>
  <c r="E107" i="1" s="1"/>
  <c r="B108" i="1"/>
  <c r="D108" i="1" s="1"/>
  <c r="B109" i="1"/>
  <c r="F109" i="1" s="1"/>
  <c r="B110" i="1"/>
  <c r="G110" i="1" s="1"/>
  <c r="B111" i="1"/>
  <c r="D111" i="1" s="1"/>
  <c r="B112" i="1"/>
  <c r="D112" i="1" s="1"/>
  <c r="B113" i="1"/>
  <c r="E113" i="1" s="1"/>
  <c r="B114" i="1"/>
  <c r="F114" i="1" s="1"/>
  <c r="B115" i="1"/>
  <c r="G115" i="1" s="1"/>
  <c r="B66" i="1"/>
  <c r="F66" i="1" s="1"/>
  <c r="B52" i="1"/>
  <c r="E52" i="1" s="1"/>
  <c r="B37" i="1"/>
  <c r="D37" i="1" s="1"/>
  <c r="B25" i="1"/>
  <c r="G25" i="1" s="1"/>
  <c r="B14" i="1"/>
  <c r="G14" i="1" s="1"/>
  <c r="B11" i="1"/>
  <c r="E11" i="1" s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H155" i="1" s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K163" i="1" s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J156" i="1" s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J103" i="1" s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I97" i="1" s="1"/>
  <c r="D85" i="1"/>
  <c r="D83" i="1"/>
  <c r="D75" i="1"/>
  <c r="E73" i="1"/>
  <c r="I73" i="1" s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I95" i="1" s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D14" i="1"/>
  <c r="D11" i="1"/>
  <c r="G11" i="1"/>
  <c r="F11" i="1"/>
  <c r="I164" i="1" l="1"/>
  <c r="I127" i="1"/>
  <c r="I155" i="1"/>
  <c r="K155" i="1" s="1"/>
  <c r="I152" i="1"/>
  <c r="K152" i="1" s="1"/>
  <c r="K69" i="1"/>
  <c r="H103" i="1"/>
  <c r="J147" i="1"/>
  <c r="J139" i="1"/>
  <c r="I84" i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H11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73" i="1"/>
  <c r="K100" i="1"/>
  <c r="I88" i="1"/>
  <c r="K88" i="1"/>
  <c r="K84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H14" i="1"/>
  <c r="I52" i="1"/>
  <c r="K52" i="1" s="1"/>
  <c r="J52" i="1"/>
  <c r="I37" i="1"/>
  <c r="J37" i="1"/>
  <c r="K37" i="1"/>
  <c r="K25" i="1"/>
  <c r="I25" i="1"/>
  <c r="J25" i="1"/>
  <c r="J11" i="1"/>
  <c r="K14" i="1"/>
  <c r="I14" i="1"/>
  <c r="J14" i="1"/>
  <c r="I11" i="1"/>
  <c r="K11" i="1" s="1"/>
  <c r="B29" i="1"/>
  <c r="B41" i="1"/>
  <c r="B30" i="1" l="1"/>
  <c r="B60" i="1" l="1"/>
  <c r="G60" i="1" s="1"/>
  <c r="B59" i="1"/>
  <c r="G59" i="1" s="1"/>
  <c r="B58" i="1"/>
  <c r="E58" i="1" s="1"/>
  <c r="B57" i="1"/>
  <c r="G57" i="1" s="1"/>
  <c r="B56" i="1"/>
  <c r="G56" i="1" s="1"/>
  <c r="B55" i="1"/>
  <c r="E55" i="1" s="1"/>
  <c r="B54" i="1"/>
  <c r="G54" i="1" s="1"/>
  <c r="B53" i="1"/>
  <c r="G53" i="1" s="1"/>
  <c r="B51" i="1"/>
  <c r="G51" i="1" s="1"/>
  <c r="B50" i="1"/>
  <c r="E50" i="1" s="1"/>
  <c r="B49" i="1"/>
  <c r="G49" i="1" s="1"/>
  <c r="B48" i="1"/>
  <c r="G48" i="1" s="1"/>
  <c r="B47" i="1"/>
  <c r="G47" i="1" s="1"/>
  <c r="B46" i="1"/>
  <c r="B45" i="1"/>
  <c r="G45" i="1" s="1"/>
  <c r="B44" i="1"/>
  <c r="G44" i="1" s="1"/>
  <c r="B43" i="1"/>
  <c r="E43" i="1" s="1"/>
  <c r="B42" i="1"/>
  <c r="G41" i="1"/>
  <c r="B40" i="1"/>
  <c r="G40" i="1" s="1"/>
  <c r="B39" i="1"/>
  <c r="E39" i="1" s="1"/>
  <c r="B38" i="1"/>
  <c r="G38" i="1" s="1"/>
  <c r="B36" i="1"/>
  <c r="G36" i="1" s="1"/>
  <c r="B35" i="1"/>
  <c r="G35" i="1" s="1"/>
  <c r="B34" i="1"/>
  <c r="E34" i="1" s="1"/>
  <c r="B33" i="1"/>
  <c r="B32" i="1"/>
  <c r="G32" i="1" s="1"/>
  <c r="B31" i="1"/>
  <c r="G31" i="1" s="1"/>
  <c r="B28" i="1"/>
  <c r="G28" i="1" s="1"/>
  <c r="B27" i="1"/>
  <c r="G27" i="1" s="1"/>
  <c r="B26" i="1"/>
  <c r="B24" i="1"/>
  <c r="G24" i="1" s="1"/>
  <c r="B23" i="1"/>
  <c r="G23" i="1" s="1"/>
  <c r="B22" i="1"/>
  <c r="G22" i="1" s="1"/>
  <c r="B21" i="1"/>
  <c r="E21" i="1" s="1"/>
  <c r="B20" i="1"/>
  <c r="F20" i="1" s="1"/>
  <c r="B19" i="1"/>
  <c r="G19" i="1" s="1"/>
  <c r="B18" i="1"/>
  <c r="G18" i="1" s="1"/>
  <c r="B17" i="1"/>
  <c r="G17" i="1" s="1"/>
  <c r="B16" i="1"/>
  <c r="E16" i="1" s="1"/>
  <c r="B15" i="1"/>
  <c r="F15" i="1" s="1"/>
  <c r="B13" i="1"/>
  <c r="G13" i="1" s="1"/>
  <c r="B12" i="1"/>
  <c r="G12" i="1" s="1"/>
  <c r="B10" i="1"/>
  <c r="E10" i="1" s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43" i="1" l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13" i="1"/>
  <c r="H22" i="1"/>
  <c r="H30" i="1"/>
  <c r="H15" i="1"/>
  <c r="H60" i="1"/>
  <c r="H56" i="1"/>
  <c r="H36" i="1"/>
  <c r="H53" i="1"/>
  <c r="H47" i="1"/>
  <c r="H31" i="1"/>
  <c r="H12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41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H10" i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  <connection id="2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3" interval="1" name="juniorNiftyStockWatch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4" interval="1" name="nifty50" type="4" refreshedVersion="4" background="1" refreshOnLoad="1" saveData="1">
    <webPr sourceData="1" parsePre="1" consecutive="1" xl2000="1" url="http://www.nseindia.com/live_market/dynaContent/live_watch/stock_watch/niftyStockWatch.json" htmlTables="1"/>
  </connection>
  <connection id="5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6" interval="1" name="niftyMidcap50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<sst xmlns="http://schemas.openxmlformats.org/spreadsheetml/2006/main" count="197" uniqueCount="171">
  <si>
    <t>Web Data</t>
  </si>
  <si>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</si>
  <si>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</si>
  <si>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</si>
  <si>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</si>
  <si>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</si>
  <si>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</si>
  <si>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</si>
  <si>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</si>
  <si>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</si>
  <si>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</si>
  <si>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</si>
  <si>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</si>
  <si>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</si>
  <si>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</si>
  <si>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</si>
  <si>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</si>
  <si>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</si>
  <si>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</si>
  <si>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</si>
  <si>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</si>
  <si>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</si>
  <si>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</si>
  <si>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</si>
  <si>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</si>
  <si>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</si>
  <si>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</si>
  <si>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</si>
  <si>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</si>
  <si>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</si>
  <si>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</si>
  <si>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</si>
  <si>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</si>
  <si>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</si>
  <si>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</si>
  <si>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</si>
  <si>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</si>
  <si>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</si>
  <si>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</si>
  <si>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</si>
  <si>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</si>
  <si>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</si>
  <si>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</si>
  <si>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</si>
  <si>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</si>
  <si>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</si>
  <si>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</si>
  <si>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</si>
  <si>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</si>
  <si>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</si>
  <si>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</si>
  <si>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</si>
  <si>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</si>
  <si>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</si>
  <si>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</si>
  <si>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</si>
  <si>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</si>
  <si>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</si>
  <si>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</si>
  <si>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</si>
  <si>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</si>
  <si>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</si>
  <si>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</si>
  <si>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</si>
  <si>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</si>
  <si>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</si>
  <si>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</si>
  <si>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</si>
  <si>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</si>
  <si>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</si>
  <si>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</si>
  <si>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</si>
  <si>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</si>
  <si>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</si>
  <si>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</si>
  <si>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</si>
  <si>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</si>
  <si>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</si>
  <si>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</si>
  <si>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</si>
  <si>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</si>
  <si>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</si>
  <si>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</si>
  <si>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</si>
  <si>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</si>
  <si>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</si>
  <si>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</si>
  <si>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</si>
  <si>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</si>
  <si>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</si>
  <si>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</si>
  <si>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</si>
  <si>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</si>
  <si>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</si>
  <si>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</si>
  <si>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</si>
  <si>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</si>
  <si>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</si>
  <si>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</si>
  <si>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</si>
  <si>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</si>
  <si>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</si>
  <si>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</si>
  <si>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</si>
  <si>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</si>
  <si>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</si>
  <si>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</si>
  <si>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</si>
  <si>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</si>
  <si>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</si>
  <si>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</si>
  <si>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</si>
  <si>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</si>
  <si>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</si>
  <si>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</si>
  <si>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</si>
  <si>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</si>
  <si>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</si>
  <si>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</si>
  <si>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</si>
  <si>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</si>
  <si>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</si>
  <si>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</si>
  <si>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</si>
  <si>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</si>
  <si>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</si>
  <si>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</si>
  <si>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</si>
  <si>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</si>
  <si>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</si>
  <si>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</si>
  <si>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</si>
  <si>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</si>
  <si>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</si>
  <si>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</si>
  <si>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</si>
  <si>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</si>
  <si>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</si>
  <si>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</si>
  <si>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</si>
  <si>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</si>
  <si>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</si>
  <si>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</si>
  <si>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</si>
  <si>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</si>
  <si>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</si>
  <si>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</si>
  <si>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</si>
  <si>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</si>
  <si>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</si>
  <si>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</si>
  <si>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</si>
  <si>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</si>
  <si>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</si>
  <si>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</si>
  <si>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</si>
  <si>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</si>
  <si>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</si>
  <si>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</si>
  <si>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</si>
  <si>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</si>
  <si>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</si>
  <si>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</si>
  <si>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</si>
  <si>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</si>
  <si>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</si>
  <si>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 xml:space="preserve">{"trdVolumesumMil":"196.49","time":"May 30, 2016 14:27:39","latestData":[{"indexName":"NIFTY 50","open":"8,166.50","high":"8,200.00","low":"8,150.80","ltp":"8,180.20","ch":"23.55","per":"0.29","yCls":"-1.88","mCls":"2.51","yHigh":"8,654.75","yLow":"6,825.80"}],"declines":21,"trdValueSum":"7,015.76","data":[{"symbol":"HINDALCO","open":"100.00","high":"103.35","low":"98.15","ltP":"103.05","ptsC":"11.15","per":"12.13","trdVol":"344.37","trdVolM":"34.44","ntP":"348.68","mVal":"3.49","wkhi":"134.00","wklo":"58.80","wkhicm_adj":"198.90","wklocm_adj":"96.70","xDt":"31-DEC-2999","cAct":"-","yPC":"-21.69","mPC":"1.28"},{"symbol":"COALINDIA","open":"289.25","high":"295.95","low":"288.50","ltP":"293.50","ptsC":"12.20","per":"4.34","trdVol":"141.57","trdVolM":"14.16","ntP":"414.46","mVal":"4.14","wkhi":"447.10","wklo":"271.65","wkhicm_adj":"423.70","wklocm_adj":"240.30","xDt":"14-MAR-2016","cAct":"INTERIM DIVIDEND - RS 27.40\/- PER SHARE (PURPOSE REVISED)","yPC":"-23.44","mPC":"0.89"},{"symbol":"TATAPOWER","open":"72.90","high":"76.00","low":"72.30","ltP":"75.15","ptsC":"2.55","per":"3.51","trdVol":"30.51","trdVolM":"3.05","ntP":"22.63","mVal":"0.23","wkhi":"76.85","wklo":"55.00","wkhicm_adj":"115.60","wklocm_adj":"68.65","xDt":"31-DEC-2999","cAct":"-","yPC":"1.42","mPC":"6.22"},{"symbol":"TATAMOTORS","open":"404.80","high":"420.00","low":"401.30","ltP":"417.95","ptsC":"14.05","per":"3.48","trdVol":"127.31","trdVolM":"12.73","ntP":"526.98","mVal":"5.27","wkhi":"490.25","wklo":"265.80","wkhicm_adj":"550.70","wklocm_adj":"332.10","xDt":"31-DEC-2999","cAct":"-","yPC":"-13.71","mPC":"-0.14"},{"symbol":"HEROMOTOCO","open":"3,011.00","high":"3,103.90","low":"3,003.00","ltP":"3,096.50","ptsC":"94.00","per":"3.13","trdVol":"3.88","trdVolM":"0.39","ntP":"118.82","mVal":"1.19","wkhi":"3,172.00","wklo":"2,257.20","wkhicm_adj":"3,269.95","wklocm_adj":"1,907.10","xDt":"21-MAR-2016","cAct":"INTERIM DIVIDEND - RS 40\/- PER SHARE","yPC":"17.14","mPC":"4.97"},{"symbol":"TATAMTRDVR","open":"272.95","high":"280.75","low":"272.95","ltP":"279.80","ptsC":"8.10","per":"2.98","trdVol":"41.51","trdVolM":"4.15","ntP":"115.46","mVal":"1.15","wkhi":"311.90","wklo":"200.20","wkhicm_adj":"391.35","wklocm_adj":"168.25","xDt":"31-DEC-2999","cAct":"-","yPC":"-6.41","mPC":"-8.05"},{"symbol":"SBIN","open":"200.20","high":"203.90","low":"194.60","ltP":"199.95","ptsC":"4.05","per":"2.07","trdVol":"398.78","trdVolM":"39.88","ntP":"790.99","mVal":"7.91","wkhi":"291.80","wklo":"148.25","wkhicm_adj":"326.95","wklocm_adj":"145.51","xDt":"31-DEC-2999","cAct":"-","yPC":"-27.97","mPC":"1.94"},{"symbol":"TCS","open":"2,583.00","high":"2,627.00","low":"2,582.00","ltP":"2,624.00","ptsC":"51.35","per":"2.00","trdVol":"4.65","trdVolM":"0.46","ntP":"121.29","mVal":"1.21","wkhi":"2,770.00","wklo":"2,115.00","wkhicm_adj":"2,839.70","wklocm_adj":"1,970.00","xDt":"31-DEC-2999","cAct":"-","yPC":"0.56","mPC":"4.50"},{"symbol":"INFY","open":"1,241.50","high":"1,272.00","low":"1,241.50","ltP":"1,270.05","ptsC":"22.55","per":"1.81","trdVol":"20.26","trdVolM":"2.03","ntP":"256.63","mVal":"2.57","wkhi":"1,272.00","wklo":"932.65","wkhicm_adj":"4,402.20","wklocm_adj":"2,880.00","xDt":"31-DEC-2999","cAct":"-","yPC":"25.96","mPC":"2.41"},{"symbol":"DRREDDY","open":"3,112.00","high":"3,176.35","low":"3,112.00","ltP":"3,167.00","ptsC":"50.95","per":"1.64","trdVol":"1.85","trdVolM":"0.19","ntP":"58.51","mVal":"0.59","wkhi":"4,386.60","wklo":"2,750.05","wkhicm_adj":"3,666.25","wklocm_adj":"2,246.50","xDt":"31-DEC-2999","cAct":"-","yPC":"-10.23","mPC":"1.16"},{"symbol":"TECHM","open":"535.80","high":"564.00","low":"535.00","ltP":"544.60","ptsC":"8.70","per":"1.62","trdVol":"24.49","trdVolM":"2.45","ntP":"135.44","mVal":"1.35","wkhi":"582.00","wklo":"407.40","wkhicm_adj":"2,734.00","wklocm_adj":"1,662.00","xDt":"31-DEC-2999","cAct":"-","yPC":"-0.09","mPC":"13.64"},{"symbol":"BAJAJ-AUTO","open":"2,583.00","high":"2,607.95","low":"2,570.60","ltP":"2,604.85","ptsC":"41.15","per":"1.61","trdVol":"2.12","trdVolM":"0.21","ntP":"55.05","mVal":"0.55","wkhi":"2,656.00","wklo":"2,133.65","wkhicm_adj":"2,695.00","wklocm_adj":"1,793.20","xDt":"16-MAR-2016","cAct":"INTERIM DIVIDEND - RS 50\/- PER SHARE (PURPOSE REVISED)","yPC":"13.11","mPC":"2.22"},{"symbol":"BHARTIARTL","open":"353.10","high":"357.20","low":"352.25","ltP":"355.95","ptsC":"4.70","per":"1.34","trdVol":"16.49","trdVolM":"1.65","ntP":"58.46","mVal":"0.58","wkhi":"452.45","wklo":"282.30","wkhicm_adj":"420.00","wklocm_adj":"281.90","xDt":"31-DEC-2999","cAct":"-","yPC":"-11.67","mPC":"-4.58"},{"symbol":"ACC","open":"1,530.00","high":"1,546.00","low":"1,525.05","ltP":"1,540.00","ptsC":"17.05","per":"1.12","trdVol":"5.44","trdVolM":"0.54","ntP":"83.72","mVal":"0.84","wkhi":"1,546.00","wklo":"1,174.00","wkhicm_adj":"1,564.65","wklocm_adj":"970.15","xDt":"31-DEC-2999","cAct":"-","yPC":"4.71","mPC":"7.73"},{"symbol":"BOSCHLTD","open":"21,811.00","high":"22,197.95","low":"21,811.00","ltP":"22,190.00","ptsC":"243.00","per":"1.11","trdVol":"0.08","trdVolM":"0.01","ntP":"18.37","mVal":"0.18","wkhi":"26,719.95","wklo":"15,736.05","wkhicm_adj":"19,570.00","wklocm_adj":"8,450.00","xDt":"31-DEC-2999","cAct":"-","yPC":"-3.92","mPC":"9.70"},{"symbol":"AXISBANK","open":"513.95","high":"522.05","low":"513.75","ltP":"517.25","ptsC":"4.85","per":"0.95","trdVol":"35.54","trdVolM":"3.55","ntP":"184.29","mVal":"1.84","wkhi":"613.45","wklo":"366.75","wkhicm_adj":"493.20","wklocm_adj":"216.52","xDt":"31-DEC-2999","cAct":"-","yPC":"-9.99","mPC":"11.12"},{"symbol":"ICICIBANK","open":"243.25","high":"246.60","low":"238.80","ltP":"244.95","ptsC":"1.80","per":"0.74","trdVol":"116.74","trdVolM":"11.67","ntP":"284.19","mVal":"2.84","wkhi":"321.00","wklo":"180.75","wkhicm_adj":"1,779.00","wklocm_adj":"943.60","xDt":"31-DEC-2999","cAct":"-","yPC":"-22.11","mPC":"0.14"},{"symbol":"LT","open":"1,469.90","high":"1,496.45","low":"1,466.15","ltP":"1,484.85","ptsC":"9.95","per":"0.67","trdVol":"18.32","trdVolM":"1.83","ntP":"271.30","mVal":"2.71","wkhi":"1,888.00","wklo":"1,016.05","wkhicm_adj":"1,776.60","wklocm_adj":"951.50","xDt":"31-DEC-2999","cAct":"-","yPC":"-8.72","mPC":"16.33"},{"symbol":"POWERGRID","open":"151.10","high":"152.95","low":"149.35","ltP":"151.60","ptsC":"0.75","per":"0.50","trdVol":"22.89","trdVolM":"2.29","ntP":"34.47","mVal":"0.34","wkhi":"152.95","wklo":"120.55","wkhicm_adj":"150.90","wklocm_adj":"91.65","xDt":"31-DEC-2999","cAct":"-","yPC":"5.87","mPC":"5.02"},{"symbol":"ONGC","open":"214.00","high":"215.70","low":"213.50","ltP":"214.00","ptsC":"1.00","per":"0.47","trdVol":"20.70","trdVolM":"2.07","ntP":"44.38","mVal":"0.44","wkhi":"337.20","wklo":"187.75","wkhicm_adj":"471.85","wklocm_adj":"264.15","xDt":"16-MAR-2016","cAct":"INTERIM DIVIDEND - RE 0.75\/- PER SHARE (PURPOSE REVISED)","yPC":"-34.74","mPC":"-3.52"},{"symbol":"WIPRO","open":"547.20","high":"552.50","low":"544.45","ltP":"547.70","ptsC":"2.30","per":"0.42","trdVol":"8.69","trdVolM":"0.87","ntP":"47.68","mVal":"0.48","wkhi":"613.30","wklo":"507.90","wkhicm_adj":"621.90","wklocm_adj":"466.65","xDt":"05-MAY-2016","cAct":"BUYBACK OF SHARES","yPC":"-1.24","mPC":"-2.20"},{"symbol":"CIPLA","open":"476.95","high":"478.50","low":"470.00","ltP":"475.00","ptsC":"1.55","per":"0.33","trdVol":"9.36","trdVolM":"0.94","ntP":"44.46","mVal":"0.44","wkhi":"745.00","wklo":"457.45","wkhicm_adj":"673.00","wklocm_adj":"366.50","xDt":"31-DEC-2999","cAct":"-","yPC":"-26.24","mPC":"-12.07"},{"symbol":"M&amp;M","open":"1,334.00","high":"1,350.50","low":"1,312.80","ltP":"1,338.00","ptsC":"4.30","per":"0.32","trdVol":"14.43","trdVolM":"1.44","ntP":"192.37","mVal":"1.92","wkhi":"1,442.05","wklo":"1,091.25","wkhicm_adj":"1,433.70","wklocm_adj":"846.60","xDt":"31-DEC-2999","cAct":"-","yPC":"11.67","mPC":"-3.38"},{"symbol":"BANKBARODA","open":"141.00","high":"141.40","low":"136.50","ltP":"138.95","ptsC":"0.35","per":"0.25","trdVol":"54.73","trdVolM":"5.47","ntP":"75.97","mVal":"0.76","wkhi":"216.30","wklo":"109.35","wkhicm_adj":"1,104.70","wklocm_adj":"511.15","xDt":"31-DEC-2999","cAct":"-","yPC":"-13.21","mPC":"-13.72"},{"symbol":"INFRATEL","open":"387.80","high":"392.00","low":"385.95","ltP":"387.80","ptsC":"0.95","per":"0.25","trdVol":"6.60","trdVolM":"0.66","ntP":"25.69","mVal":"0.26","wkhi":"499.65","wklo":"341.35","wkhicm_adj":"322.00","wklocm_adj":"156.00","xDt":"31-DEC-2999","cAct":"-","yPC":"-12.01","mPC":"3.22"},{"symbol":"YESBANK","open":"1,024.40","high":"1,034.85","low":"1,021.30","ltP":"1,027.85","ptsC":"12.35","per":"1.22","trdVol":"20.62","trdVolM":"2.06","ntP":"212.19","mVal":"2.12","wkhi":"1,041.80","wklo":"595.00","wkhicm_adj":"719.90","wklocm_adj":"291.40","xDt":"30-MAY-2016","cAct":"ANNUAL GENERAL MEETING\/ DIVIDEND - RS 10\/- PER SHARE","yPC":"19.65","mPC":"12.27"},{"symbol":"GAIL","open":"382.45","high":"384.80","low":"377.10","ltP":"380.00","ptsC":"0.70","per":"0.18","trdVol":"16.41","trdVolM":"1.64","ntP":"62.38","mVal":"0.62","wkhi":"417.90","wklo":"260.05","wkhicm_adj":"551.90","wklocm_adj":"328.80","xDt":"31-DEC-2999","cAct":"-","yPC":"0.01","mPC":"1.82"},{"symbol":"KOTAKBANK","open":"748.70","high":"754.50","low":"740.05","ltP":"743.35","ptsC":"0.80","per":"0.11","trdVol":"5.26","trdVolM":"0.53","ntP":"39.31","mVal":"0.39","wkhi":"754.50","wklo":"585.75","wkhicm_adj":"1,264.70","wklocm_adj":"630.50","xDt":"31-DEC-2999","cAct":"-","yPC":"8.66","mPC":"4.33"},{"symbol":"IDEA","open":"112.80","high":"117.35","low":"112.00","ltP":"113.05","ptsC":"0.05","per":"0.04","trdVol":"40.51","trdVolM":"4.05","ntP":"46.51","mVal":"0.47","wkhi":"186.50","wklo":"97.20","wkhicm_adj":"183.70","wklocm_adj":"125.10","xDt":"31-DEC-2999","cAct":"-","yPC":"-33.19","mPC":"-9.56"},{"symbol":"EICHERMOT","open":"18,711.00","high":"18,811.00","low":"18,601.00","ltP":"18,728.95","ptsC":"-13.35","per":"-0.07","trdVol":"0.14","trdVolM":"0.01","ntP":"25.35","mVal":"0.25","wkhi":"21,620.00","wklo":"14,800.00","wkhicm_adj":"15,149.90","wklocm_adj":"4,401.10","xDt":"22-MAR-2016","cAct":"INTERIM DIVIDEND - RS 100\/- PER SHARE","yPC":"4.13","mPC":"-6.89"},{"symbol":"GRASIM","open":"4,372.25","high":"4,404.35","low":"4,341.25","ltP":"4,355.00","ptsC":"-6.25","per":"-0.14","trdVol":"0.17","trdVolM":"0.02","ntP":"7.62","mVal":"0.08","wkhi":"4,404.35","wklo":"3,233.00","wkhicm_adj":"3,789.00","wklocm_adj":"2,426.35","xDt":"31-DEC-2999","cAct":"-","yPC":"24.01","mPC":"5.41"},{"symbol":"RELIANCE","open":"976.40","high":"981.50","low":"968.10","ltP":"972.35","ptsC":"-2.35","per":"-0.24","trdVol":"16.23","trdVolM":"1.62","ntP":"157.86","mVal":"1.58","wkhi":"1,089.75","wklo":"818.00","wkhicm_adj":"1,145.25","wklocm_adj":"793.10","xDt":"17-MAR-2016","cAct":"INTERIM DIVIDEND - RS 10.50\/- PER SHARE (PURPOSE REVISED)","yPC":"11.02","mPC":"-4.62"},{"symbol":"INDUSINDBK","open":"1,106.20","high":"1,113.55","low":"1,096.90","ltP":"1,101.20","ptsC":"-2.90","per":"-0.26","trdVol":"7.42","trdVolM":"0.74","ntP":"81.89","mVal":"0.82","wkhi":"1,113.55","wklo":"784.00","wkhicm_adj":"776.00","wklocm_adj":"369.50","xDt":"31-DEC-2999","cAct":"-","yPC":"28.75","mPC":"5.88"},{"symbol":"HDFCBANK","open":"1,187.00","high":"1,195.00","low":"1,178.10","ltP":"1,179.65","ptsC":"-7.15","per":"-0.60","trdVol":"6.79","trdVolM":"0.68","ntP":"80.53","mVal":"0.81","wkhi":"1,195.00","wklo":"928.00","wkhicm_adj":"965.90","wklocm_adj":"616.80","xDt":"31-DEC-2999","cAct":"-","yPC":"14.60","mPC":"4.93"},{"symbol":"AMBUJACEM","open":"232.00","high":"232.60","low":"228.65","ltP":"228.85","ptsC":"-1.40","per":"-0.61","trdVol":"8.00","trdVolM":"0.80","ntP":"18.40","mVal":"0.18","wkhi":"257.30","wklo":"185.00","wkhicm_adj":"243.80","wklocm_adj":"150.10","xDt":"31-DEC-2999","cAct":"-","yPC":"-0.48","mPC":"1.58"},{"symbol":"LUPIN","open":"1,489.95","high":"1,493.70","low":"1,454.10","ltP":"1,469.75","ptsC":"-10.35","per":"-0.70","trdVol":"11.19","trdVolM":"1.12","ntP":"164.27","mVal":"1.64","wkhi":"2,129.00","wklo":"1,280.00","wkhicm_adj":"1,497.50","wklocm_adj":"851.50","xDt":"31-DEC-2999","cAct":"-","yPC":"-15.76","mPC":"-6.38"},{"symbol":"AUROPHARMA","open":"769.95","high":"775.00","low":"753.00","ltP":"757.00","ptsC":"-6.10","per":"-0.80","trdVol":"10.29","trdVolM":"1.03","ntP":"78.79","mVal":"0.79","wkhi":"891.50","wklo":"582.00","wkhicm_adj":"1,152.40","wklocm_adj":"286.55","xDt":"31-DEC-2999","cAct":"-","yPC":"16.09","mPC":"-1.03"},{"symbol":"ITC","open":"353.40","high":"358.50","low":"352.80","ltP":"356.15","ptsC":"5.35","per":"1.53","trdVol":"39.59","trdVolM":"3.96","ntP":"141.08","mVal":"1.41","wkhi":"364.00","wklo":"268.00","wkhicm_adj":"387.50","wklocm_adj":"307.55","xDt":"30-MAY-2016","cAct":"DIVIDEND-RS.8.50 PER SHARE (INCLUDING SPECIAL DIVIDEND OF RS.2\/- PER SHARE).","yPC":"10.79","mPC":"6.78"},{"symbol":"HINDUNILVR","open":"864.00","high":"867.20","low":"849.75","ltP":"852.95","ptsC":"-8.25","per":"-0.96","trdVol":"5.44","trdVolM":"0.54","ntP":"46.58","mVal":"0.47","wkhi":"944.00","wklo":"766.40","wkhicm_adj":"814.85","wklocm_adj":"537.20","xDt":"31-DEC-2999","cAct":"-","yPC":"0.80","mPC":"-4.40"},{"symbol":"NTPC","open":"140.35","high":"141.50","low":"137.65","ltP":"138.50","ptsC":"-1.60","per":"-1.14","trdVol":"33.26","trdVolM":"3.33","ntP":"46.12","mVal":"0.46","wkhi":"148.85","wklo":"107.10","wkhicm_adj":"168.90","wklocm_adj":"110.65","xDt":"31-DEC-2999","cAct":"-","yPC":"2.86","mPC":"-1.56"},{"symbol":"HCLTECH","open":"761.10","high":"763.70","low":"745.20","ltP":"748.10","ptsC":"-9.50","per":"-1.25","trdVol":"13.28","trdVolM":"1.33","ntP":"99.75","mVal":"1.00","wkhi":"1,044.95","wklo":"706.40","wkhicm_adj":"1,776.25","wklocm_adj":"1,057.60","xDt":"05-MAY-2016","cAct":"INTERIM DIVIDEND - RS 6\/- PER SHARE (PURPOSE REVISED)","yPC":"-23.67","mPC":"-10.68"},{"symbol":"SUNPHARMA","open":"831.00","high":"842.00","low":"808.25","ltP":"814.50","ptsC":"-10.45","per":"-1.27","trdVol":"35.10","trdVolM":"3.51","ntP":"287.65","mVal":"2.88","wkhi":"979.00","wklo":"704.00","wkhicm_adj":"932.50","wklocm_adj":"552.55","xDt":"31-DEC-2999","cAct":"-","yPC":"-14.69","mPC":"0.07"},{"symbol":"MARUTI","open":"4,132.00","high":"4,155.20","low":"4,077.05","ltP":"4,094.00","ptsC":"-52.60","per":"-1.27","trdVol":"3.66","trdVolM":"0.37","ntP":"150.41","mVal":"1.50","wkhi":"4,790.00","wklo":"3,193.25","wkhicm_adj":"3,432.00","wklocm_adj":"1,540.40","xDt":"31-DEC-2999","cAct":"-","yPC":"10.38","mPC":"6.08"},{"symbol":"ULTRACEMCO","open":"3,257.10","high":"3,257.10","low":"3,192.05","ltP":"3,202.55","ptsC":"-45.75","per":"-1.41","trdVol":"1.32","trdVolM":"0.13","ntP":"42.26","mVal":"0.42","wkhi":"3,454.90","wklo":"2,579.00","wkhicm_adj":"2,872.00","wklocm_adj":"1,634.00","xDt":"31-DEC-2999","cAct":"-","yPC":"9.77","mPC":"0.34"},{"symbol":"BPCL","open":"1,020.00","high":"1,023.95","low":"993.60","ltP":"997.30","ptsC":"-14.70","per":"-1.45","trdVol":"10.60","trdVolM":"1.06","ntP":"106.31","mVal":"1.06","wkhi":"1,024.70","wklo":"731.15","wkhicm_adj":"785.00","wklocm_adj":"316.05","xDt":"31-DEC-2999","cAct":"-","yPC":"21.96","mPC":"1.52"},{"symbol":"TATASTEEL","open":"332.05","high":"334.60","low":"323.05","ltP":"324.65","ptsC":"-4.95","per":"-1.50","trdVol":"46.25","trdVolM":"4.63","ntP":"151.41","mVal":"1.51","wkhi":"364.05","wklo":"199.70","wkhicm_adj":"579.90","wklocm_adj":"332.00","xDt":"31-DEC-2999","cAct":"-","yPC":"-0.02","mPC":"-9.00"},{"symbol":"HDFC","open":"1,255.20","high":"1,259.00","low":"1,212.35","ltP":"1,234.60","ptsC":"-20.95","per":"-1.67","trdVol":"25.11","trdVolM":"2.51","ntP":"309.30","mVal":"3.09","wkhi":"1,372.40","wklo":"1,011.45","wkhicm_adj":"1,177.80","wklocm_adj":"755.00","xDt":"30-MAR-2016","cAct":"INTERIM DIVIDEND - RS 3\/- PER SHARE (PURPOSE REVISED)","yPC":"0.44","mPC":"10.08"},{"symbol":"ADANIPORTS","open":"192.70","high":"194.00","low":"185.45","ltP":"188.35","ptsC":"-3.35","per":"-1.75","trdVol":"28.52","trdVolM":"2.85","ntP":"53.94","mVal":"0.54","wkhi":"374.80","wklo":"169.15","wkhicm_adj":"308.75","wklocm_adj":"141.00","xDt":"22-MAR-2016","cAct":"INTERIM DIVIDEND - RS 1.10\/- PER SHARE (PURPOSE REVISED)","yPC":"-43.44","mPC":"-21.93"},{"symbol":"ASIANPAINT","open":"994.00","high":"1,004.25","low":"979.55","ltP":"980.80","ptsC":"-17.45","per":"-1.75","trdVol":"12.40","trdVolM":"1.24","ntP":"122.66","mVal":"1.23","wkhi":"1,004.25","wklo":"693.00","wkhicm_adj":"802.20","wklocm_adj":"460.20","xDt":"31-DEC-2999","cAct":"-","yPC":"27.82","mPC":"10.22"},{"symbol":"ZEEL","open":"456.50","high":"456.50","low":"441.60","ltP":"443.90","ptsC":"-9.50","per":"-2.10","trdVol":"10.68","trdVolM":"1.07","ntP":"47.46","mVal":"0.47","wkhi":"458.95","wklo":"317.45","wkhicm_adj":"402.40","wklocm_adj":"251.80","xDt":"31-DEC-2999","cAct":"-","yPC":"39.53","mPC":"8.84"},{"symbol":"BHEL","open":"122.90","high":"125.80","low":"121.35","ltP":"122.35","ptsC":"-5.75","per":"-4.49","trdVol":"85.35","trdVolM":"8.54","ntP":"105.44","mVal":"1.05","wkhi":"290.00","wklo":"90.15","wkhicm_adj":"291.50","wklocm_adj":"145.55","xDt":"31-DEC-2999","cAct":"-","yPC":"-51.58","mPC":"-4.23"}],"trdValueSumMil":"70.16","unchanged":0,"trdVolumesum":"1,964.90","advances":30} </t>
  </si>
  <si>
    <t xml:space="preserve">{"trdVolumesumMil":"93.34","time":"May 30, 2016 14:25:39","latestData":[{"indexName":"NIFTY NEXT 50","open":"19,791.95","high":"19,843.55","low":"19,688.05","ltp":"19,754.25","ch":"38.10","per":"0.19","yCls":"10.39","mCls":"1.46","yHigh":"21,730.80","yLow":"16,607.80"}],"declines":20,"trdValueSum":"1,741.22","data":[{"symbol":"CONCOR","open":"1,385.05","high":"1,448.00","low":"1,385.05","ltP":"1,438.90","ptsC":"58.65","per":"4.25","trdVol":"2.36","trdVolM":"0.24","ntP":"33.86","mVal":"0.34","wkhi":"1,947.70","wklo":"1,051.00","wkhicm_adj":"1,504.70","wklocm_adj":"697.55","xDt":"31-DEC-2999","cAct":"-","yPC":"-14.76","mPC":"6.85"},{"symbol":"RECLTD","open":"159.50","high":"163.50","low":"159.50","ltP":"160.75","ptsC":"5.35","per":"3.44","trdVol":"49.52","trdVolM":"4.95","ntP":"80.01","mVal":"0.80","wkhi":"304.90","wklo":"152.25","wkhicm_adj":"383.40","wklocm_adj":"166.50","xDt":"31-DEC-2999","cAct":"-","yPC":"-46.72","mPC":"-11.82"},{"symbol":"APOLLOHOSP","open":"1,348.75","high":"1,394.00","low":"1,348.20","ltP":"1,391.00","ptsC":"42.80","per":"3.17","trdVol":"2.58","trdVolM":"0.26","ntP":"35.53","mVal":"0.36","wkhi":"1,544.90","wklo":"1,150.00","wkhicm_adj":"1,246.50","wklocm_adj":"815.35","xDt":"22-MAR-2016","cAct":"INTERIM DIVIDEND - RS 6\/- PER SHARE (PURPOSE REVISED)","yPC":"13.81","mPC":"5.63"},{"symbol":"VEDL","open":"104.50","high":"107.45","low":"104.15","ltP":"105.90","ptsC":"3.10","per":"3.02","trdVol":"107.58","trdVolM":"10.76","ntP":"113.88","mVal":"1.14","wkhi":"204.00","wklo":"58.15","wkhicm_adj":"318.30","wklocm_adj":"168.85","xDt":"31-DEC-2999","cAct":"-","yPC":"-46.18","mPC":"1.00"},{"symbol":"CAIRN","open":"139.20","high":"142.90","low":"139.20","ltP":"142.20","ptsC":"4.15","per":"3.01","trdVol":"12.63","trdVolM":"1.26","ntP":"17.84","mVal":"0.18","wkhi":"197.90","wklo":"106.50","wkhicm_adj":"386.00","wklocm_adj":"255.00","xDt":"31-DEC-2999","cAct":"-","yPC":"-25.53","mPC":"-3.36"},{"symbol":"CADILAHC","open":"329.25","high":"335.00","low":"326.10","ltP":"334.60","ptsC":"7.40","per":"2.26","trdVol":"3.24","trdVolM":"0.32","ntP":"10.77","mVal":"0.11","wkhi":"453.30","wklo":"295.00","wkhicm_adj":"1,760.15","wklocm_adj":"723.20","xDt":"17-MAR-2016","cAct":"INTERIM DIVIDEND - RS 3.20\/- PER SHARE","yPC":"-10.36","mPC":"2.37"},{"symbol":"MOTHERSUMI","open":"278.10","high":"286.75","low":"276.00","ltP":"284.95","ptsC":"5.70","per":"2.04","trdVol":"21.55","trdVolM":"2.15","ntP":"60.92","mVal":"0.61","wkhi":"396.00","wklo":"205.90","wkhicm_adj":"450.70","wklocm_adj":"178.25","xDt":"22-MAR-2016","cAct":"INTERIM DIVIDEND - RS 2.50\/- PER SHARE (PURPOSE REVISED)","yPC":"-39.85","mPC":"8.35"},{"symbol":"SHREECEM","open":"13,142.00","high":"13,450.00","low":"13,140.00","ltP":"13,384.05","ptsC":"244.00","per":"1.86","trdVol":"0.05","trdVolM":"0.01","ntP":"7.17","mVal":"0.07","wkhi":"13,888.00","wklo":"9,399.95","wkhicm_adj":"9,297.70","wklocm_adj":"4,100.10","xDt":"17-MAR-2016","cAct":"INTERIM DIVIDEND - RS 12\/- PER SHARE (PUPOSE REVISED)","yPC":"22.75","mPC":"5.17"},{"symbol":"SIEMENS","open":"1,202.80","high":"1,231.00","low":"1,198.10","ltP":"1,223.30","ptsC":"20.55","per":"1.71","trdVol":"2.55","trdVolM":"0.25","ntP":"31.07","mVal":"0.31","wkhi":"1,559.70","wklo":"968.60","wkhicm_adj":"1,010.00","wklocm_adj":"513.00","xDt":"31-DEC-2999","cAct":"-","yPC":"-11.81","mPC":"3.46"},{"symbol":"GSKCONS","open":"5,919.00","high":"6,036.00","low":"5,880.00","ltP":"5,999.95","ptsC":"87.15","per":"1.47","trdVol":"0.05","trdVolM":"0.01","ntP":"3.18","mVal":"0.03","wkhi":"6,800.00","wklo":"5,405.00","wkhicm_adj":"5,999.00","wklocm_adj":"4,011.00","xDt":"31-DEC-2999","cAct":"-","yPC":"-5.91","mPC":"-0.27"},{"symbol":"DIVISLAB","open":"1,120.65","high":"1,120.80","low":"1,081.00","ltP":"1,100.00","ptsC":"15.35","per":"1.42","trdVol":"5.31","trdVolM":"0.53","ntP":"58.18","mVal":"0.58","wkhi":"1,242.35","wklo":"863.90","wkhicm_adj":"1,888.05","wklocm_adj":"1,097.00","xDt":"17-MAR-2016","cAct":"INTERIM DIVIDEND - RS 10\/- PER SHARE (PURPOSE REVISED)","yPC":"-39.15","mPC":"5.54"},{"symbol":"BRITANNIA","open":"2,720.00","high":"2,758.00","low":"2,720.00","ltP":"2,752.80","ptsC":"33.50","per":"1.23","trdVol":"0.84","trdVolM":"0.08","ntP":"23.11","mVal":"0.23","wkhi":"3,434.20","wklo":"2,424.00","wkhicm_adj":"1,729.80","wklocm_adj":"809.10","xDt":"31-DEC-2999","cAct":"-","yPC":"3.60","mPC":"-3.80"},{"symbol":"EMAMILTD","open":"1,016.20","high":"1,032.00","low":"1,007.50","ltP":"1,026.45","ptsC":"11.55","per":"1.14","trdVol":"0.79","trdVolM":"0.08","ntP":"8.13","mVal":"0.08","wkhi":"1,365.00","wklo":"901.00","wkhicm_adj":"824.70","wklocm_adj":"420.00","xDt":"31-DEC-2999","cAct":"-","yPC":"-7.01","mPC":"1.89"},{"symbol":"LICHSGFIN","open":"463.90","high":"468.00","low":"460.55","ltP":"466.50","ptsC":"4.55","per":"0.98","trdVol":"10.36","trdVolM":"1.04","ntP":"48.19","mVal":"0.48","wkhi":"523.95","wklo":"388.65","wkhicm_adj":"429.50","wklocm_adj":"187.05","xDt":"31-DEC-2999","cAct":"-","yPC":"13.45","mPC":"0.85"},{"symbol":"COLPAL","open":"838.00","high":"851.90","low":"835.80","ltP":"846.65","ptsC":"7.35","per":"0.88","trdVol":"1.19","trdVolM":"0.12","ntP":"10.04","mVal":"0.10","wkhi":"1,050.00","wklo":"787.20","wkhicm_adj":"2,049.00","wklocm_adj":"1,235.20","xDt":"06-APR-2016","cAct":"INTERIM DIVIDEND - RS 3\/- PER SHARE (PURPOSE REVISED)","yPC":"-15.09","mPC":"-1.04"},{"symbol":"DABUR","open":"295.55","high":"299.90","low":"292.00","ltP":"298.40","ptsC":"2.60","per":"0.88","trdVol":"5.85","trdVolM":"0.58","ntP":"17.36","mVal":"0.17","wkhi":"316.40","wklo":"231.50","wkhicm_adj":"249.15","wklocm_adj":"159.50","xDt":"31-DEC-2999","cAct":"-","yPC":"9.83","mPC":"9.50"},{"symbol":"PIDILITIND","open":"698.50","high":"708.65","low":"691.35","ltP":"700.05","ptsC":"5.40","per":"0.78","trdVol":"2.55","trdVolM":"0.26","ntP":"17.89","mVal":"0.18","wkhi":"709.00","wklo":"507.30","wkhicm_adj":"505.90","wklocm_adj":"269.60","xDt":"18-MAR-2016","cAct":"INTERIM DIVIDEND - RS 3.65\/- PER SHARE (PURPOSE REVISED)","yPC":"26.95","mPC":"15.44"},{"symbol":"PNB","open":"78.00","high":"78.90","low":"76.40","ltP":"77.20","ptsC":"0.60","per":"0.78","trdVol":"73.96","trdVolM":"7.40","ntP":"57.46","mVal":"0.57","wkhi":"180.55","wklo":"69.25","wkhicm_adj":"1,096.50","wklocm_adj":"509.15","xDt":"31-DEC-2999","cAct":"-","yPC":"-50.59","mPC":"-14.32"},{"symbol":"PFC","open":"166.55","high":"170.90","low":"165.80","ltP":"167.40","ptsC":"1.10","per":"0.66","trdVol":"13.22","trdVolM":"1.32","ntP":"22.18","mVal":"0.22","wkhi":"283.40","wklo":"140.25","wkhicm_adj":"344.75","wklocm_adj":"128.75","xDt":"31-DEC-2999","cAct":"-","yPC":"-40.30","mPC":"-6.64"},{"symbol":"SRTRANSFIN","open":"1,190.15","high":"1,219.80","low":"1,175.65","ltP":"1,200.00","ptsC":"5.95","per":"0.50","trdVol":"4.38","trdVolM":"0.44","ntP":"52.48","mVal":"0.52","wkhi":"1,219.80","wklo":"736.95","wkhicm_adj":"1,139.00","wklocm_adj":"548.70","xDt":"31-DEC-2999","cAct":"-","yPC":"44.07","mPC":"20.68"},{"symbol":"MCDOWELL-N","open":"2,505.00","high":"2,507.00","low":"2,464.10","ltP":"2,492.00","ptsC":"10.85","per":"0.44","trdVol":"1.18","trdVolM":"0.12","ntP":"29.29","mVal":"0.29","wkhi":"3,837.90","wklo":"2,225.45","wkhicm_adj":"2,940.80","wklocm_adj":"2,225.00","xDt":"31-DEC-2999","cAct":"-","yPC":"-27.28","mPC":"5.44"},{"symbol":"HINDZINC","open":"169.95","high":"170.35","low":"167.15","ltP":"169.10","ptsC":"0.60","per":"0.36","trdVol":"5.35","trdVolM":"0.54","ntP":"9.04","mVal":"0.09","wkhi":"196.80","wklo":"117.05","wkhicm_adj":"184.00","wklocm_adj":"114.80","xDt":"31-DEC-2999","cAct":"-","yPC":"-1.28","mPC":"-2.20"},{"symbol":"OFSS","open":"3,524.00","high":"3,524.00","low":"3,462.70","ltP":"3,498.25","ptsC":"11.50","per":"0.33","trdVol":"0.16","trdVolM":"0.02","ntP":"5.59","mVal":"0.06","wkhi":"4,444.00","wklo":"3,100.00","wkhicm_adj":"4,180.00","wklocm_adj":"2,770.00","xDt":"31-DEC-2999","cAct":"-","yPC":"-3.62","mPC":"-1.52"},{"symbol":"GLENMARK","open":"876.50","high":"887.35","low":"875.25","ltP":"878.30","ptsC":"2.80","per":"0.32","trdVol":"1.84","trdVolM":"0.18","ntP":"16.18","mVal":"0.16","wkhi":"1,262.90","wklo":"671.10","wkhicm_adj":"841.00","wklocm_adj":"493.00","xDt":"31-DEC-2999","cAct":"-","yPC":"2.43","mPC":"6.25"},{"symbol":"RCOM","open":"49.30","high":"50.65","low":"48.90","ltP":"49.10","ptsC":"0.15","per":"0.31","trdVol":"164.47","trdVolM":"16.45","ntP":"81.79","mVal":"0.82","wkhi":"91.75","wklo":"45.50","wkhicm_adj":"157.25","wklocm_adj":"93.05","xDt":"31-DEC-2999","cAct":"-","yPC":"-23.93","mPC":"-17.34"},{"symbol":"CUMMINSIND","open":"778.00","high":"793.90","low":"778.00","ltP":"786.35","ptsC":"2.45","per":"0.31","trdVol":"1.73","trdVolM":"0.17","ntP":"13.57","mVal":"0.14","wkhi":"1,247.65","wklo":"746.15","wkhicm_adj":"955.60","wklocm_adj":"417.70","xDt":"31-DEC-2999","cAct":"-","yPC":"-7.52","mPC":"-11.50"},{"symbol":"BAJAJFINSV","open":"1,838.00","high":"1,864.85","low":"1,828.25","ltP":"1,840.00","ptsC":"4.30","per":"0.23","trdVol":"0.40","trdVolM":"0.04","ntP":"7.35","mVal":"0.07","wkhi":"2,160.00","wklo":"1,435.15","wkhicm_adj":"1,173.95","wklocm_adj":"658.35","xDt":"16-MAR-2016","cAct":"INTERIM DIVIDEND - RS 1.75\/- PER SHARE (PURPOSE REVISED)","yPC":"20.27","mPC":"-2.11"},{"symbol":"BHARATFORG","open":"751.50","high":"751.85","low":"735.50","ltP":"746.10","ptsC":"1.40","per":"0.19","trdVol":"3.20","trdVolM":"0.32","ntP":"23.83","mVal":"0.24","wkhi":"1,293.00","wklo":"704.90","wkhicm_adj":"979.00","wklocm_adj":"291.10","xDt":"18-MAR-2016","cAct":"INTERIM DIVIDEND - RS 4\/- PER SHARE (PURPOSE REVISED)","yPC":"-38.31","mPC":"-7.09"},{"symbol":"GODREJCP","open":"1,527.10","high":"1,536.85","low":"1,512.00","ltP":"1,527.00","ptsC":"0.55","per":"0.04","trdVol":"1.32","trdVolM":"0.13","ntP":"20.08","mVal":"0.20","wkhi":"1,536.85","wklo":"1,037.00","wkhicm_adj":"1,119.00","wklocm_adj":"667.00","xDt":"10-MAY-2016","cAct":"INTERIM DIVIDEND - RS 2.75\/- PER SHARE (PURPOSE REVISED)","yPC":"39.29","mPC":"11.57"},{"symbol":"SAIL","open":"43.00","high":"43.65","low":"42.35","ltP":"42.70","ptsC":"0.00","per":"0.00","trdVol":"52.78","trdVolM":"5.28","ntP":"22.71","mVal":"0.23","wkhi":"67.30","wklo":"33.50","wkhicm_adj":"112.95","wklocm_adj":"54.05","xDt":"31-DEC-2999","cAct":"-","yPC":"-35.11","mPC":"-7.07"},{"symbol":"GLAXO","open":"3,482.00","high":"3,557.95","low":"3,482.00","ltP":"3,526.50","ptsC":"-1.85","per":"-0.05","trdVol":"0.02","trdVolM":"0.00","ntP":"0.59","mVal":"0.01","wkhi":"3,872.00","wklo":"3,032.05","wkhicm_adj":"3,054.50","wklocm_adj":"2,365.00","xDt":"31-DEC-2999","cAct":"-","yPC":"10.17","mPC":"-6.43"},{"symbol":"OIL","open":"351.90","high":"354.95","low":"343.10","ltP":"348.05","ptsC":"-0.65","per":"-0.19","trdVol":"2.29","trdVolM":"0.23","ntP":"8.00","mVal":"0.08","wkhi":"487.55","wklo":"300.35","wkhicm_adj":"669.95","wklocm_adj":"438.00","xDt":"31-DEC-2999","cAct":"-","yPC":"-26.89","mPC":"6.15"},{"symbol":"JSWSTEEL","open":"1,378.00","high":"1,393.00","low":"1,357.80","ltP":"1,372.05","ptsC":"-3.60","per":"-0.26","trdVol":"4.22","trdVolM":"0.42","ntP":"58.03","mVal":"0.58","wkhi":"1,393.00","wklo":"800.00","wkhicm_adj":"1,366.50","wklocm_adj":"804.00","xDt":"31-DEC-2999","cAct":"-","yPC":"49.77","mPC":"0.69"},{"symbol":"CASTROLIND","open":"376.05","high":"379.45","low":"372.80","ltP":"375.20","ptsC":"-1.55","per":"-0.41","trdVol":"6.18","trdVolM":"0.62","ntP":"23.20","mVal":"0.23","wkhi":"513.80","wklo":"360.85","wkhicm_adj":"523.50","wklocm_adj":"283.10","xDt":"27-APR-2016","cAct":"ANNUAL GENERAL MEETING\/ DIVIDEND - RS 5\/- PER SHARE","yPC":"-20.42","mPC":"-3.70"},{"symbol":"BAJFINANCE","open":"7,700.00","high":"7,720.00","low":"7,559.40","ltP":"7,624.85","ptsC":"-43.05","per":"-0.56","trdVol":"0.51","trdVolM":"0.05","ntP":"38.45","mVal":"0.38","wkhi":"7,858.05","wklo":"4,115.70","wkhicm_adj":"3,385.00","wklocm_adj":"1,375.00","xDt":"16-MAR-2016","cAct":"INTERIM DIVIDEND - RS 18\/- PER SHARE (PURPOSE REVISED)","yPC":"72.34","mPC":"9.78"},{"symbol":"BEL","open":"1,195.00","high":"1,199.00","low":"1,170.00","ltP":"1,175.00","ptsC":"-8.05","per":"-0.68","trdVol":"2.39","trdVolM":"0.24","ntP":"28.25","mVal":"0.28","wkhi":"1,416.85","wklo":"984.00","wkhicm_adj":"2,375.00","wklocm_adj":"893.00","xDt":"31-DEC-2999","cAct":"-","yPC":"5.65","mPC":"-3.10"},{"symbol":"TORNTPHARM","open":"1,379.00","high":"1,384.80","low":"1,353.25","ltP":"1,368.00","ptsC":"-10.50","per":"-0.76","trdVol":"0.37","trdVolM":"0.04","ntP":"5.08","mVal":"0.05","wkhi":"1,718.40","wklo":"1,169.05","wkhicm_adj":"1,135.00","wklocm_adj":"458.00","xDt":"16-MAR-2016","cAct":"INTERIM DIVIDEND - RS 15\/- PER SHARE (PURPOSE REVISED)","yPC":"10.42","mPC":"-5.19"},{"symbol":"ASHOKLEY","open":"107.30","high":"107.45","low":"105.10","ltP":"105.80","ptsC":"-1.00","per":"-0.94","trdVol":"63.98","trdVolM":"6.40","ntP":"67.86","mVal":"0.68","wkhi":"112.90","wklo":"64.00","wkhicm_adj":"56.20","wklocm_adj":"14.85","xDt":"31-DEC-2999","cAct":"-","yPC":"50.07","mPC":"-1.99"},{"symbol":"UPL","open":"597.90","high":"602.60","low":"586.40","ltP":"589.65","ptsC":"-5.75","per":"-0.97","trdVol":"9.14","trdVolM":"0.91","ntP":"54.22","mVal":"0.54","wkhi":"612.95","wklo":"367.25","wkhicm_adj":"388.70","wklocm_adj":"161.10","xDt":"31-DEC-2999","cAct":"-","yPC":"13.63","mPC":"14.51"},{"symbol":"TITAN","open":"361.10","high":"363.20","low":"354.25","ltP":"356.75","ptsC":"-3.70","per":"-1.03","trdVol":"14.59","trdVolM":"1.46","ntP":"52.11","mVal":"0.52","wkhi":"392.40","wklo":"301.70","wkhicm_adj":"425.00","wklocm_adj":"202.45","xDt":"22-MAR-2016","cAct":"INTERIM DIVIDEND - RS 2.20\/- PER SHARE (PURPOSE REVISED)","yPC":"-6.18","mPC":"-3.97"},{"symbol":"PGHH","open":"6,289.00","high":"6,294.70","low":"6,177.10","ltP":"6,199.20","ptsC":"-90.35","per":"-1.44","trdVol":"0.02","trdVolM":"0.00","ntP":"1.22","mVal":"0.01","wkhi":"6,995.00","wklo":"5,178.65","wkhicm_adj":"5,949.00","wklocm_adj":"2,752.00","xDt":"31-DEC-2999","cAct":"-","yPC":"-3.49","mPC":"-3.49"},{"symbol":"NHPC","open":"22.80","high":"23.95","low":"22.05","ltP":"22.75","ptsC":"-0.35","per":"-1.52","trdVol":"110.42","trdVolM":"11.04","ntP":"25.29","mVal":"0.25","wkhi":"24.45","wklo":"15.55","wkhicm_adj":"29.60","wklocm_adj":"17.35","xDt":"31-DEC-2999","cAct":"-","yPC":"12.62","mPC":"5.57"},{"symbol":"IBULHSGFIN","open":"750.00","high":"754.25","low":"731.50","ltP":"732.10","ptsC":"-11.65","per":"-1.57","trdVol":"5.54","trdVolM":"0.55","ntP":"41.29","mVal":"0.41","wkhi":"820.85","wklo":"541.50","wkhicm_adj":"484.95","wklocm_adj":"187.05","xDt":"18-MAR-2016","cAct":"INTERIM DIVIDEND - RS 9\/- PER SHARE","yPC":"23.45","mPC":"4.16"},{"symbol":"MARICO","open":"257.00","high":"260.45","low":"252.80","ltP":"253.05","ptsC":"-4.25","per":"-1.65","trdVol":"4.48","trdVolM":"0.45","ntP":"11.47","mVal":"0.11","wkhi":"269.25","wklo":"189.30","wkhicm_adj":"350.20","wklocm_adj":"200.05","xDt":"17-MAR-2016","cAct":"INTERIM DIVIDEND - RE 1\/- PER SHARE (PURPOSE REVISED)","yPC":"-38.25","mPC":"1.22"},{"symbol":"HINDPETRO","open":"938.00","high":"945.10","low":"910.05","ltP":"915.70","ptsC":"-15.95","per":"-1.71","trdVol":"17.11","trdVolM":"1.71","ntP":"157.33","mVal":"1.57","wkhi":"990.95","wklo":"625.70","wkhicm_adj":"627.80","wklocm_adj":"205.05","xDt":"17-MAR-2016","cAct":"INTERIM DIVIDEND - RS 7\/- PER SHARE (PURPOSE REVISED)","yPC":"44.01","mPC":"6.72"},{"symbol":"UBL","open":"726.80","high":"727.90","low":"709.00","ltP":"709.40","ptsC":"-12.90","per":"-1.79","trdVol":"2.00","trdVolM":"0.20","ntP":"14.36","mVal":"0.14","wkhi":"1,074.95","wklo":"690.00","wkhicm_adj":"859.00","wklocm_adj":"615.65","xDt":"31-DEC-2999","cAct":"-","yPC":"-25.50","mPC":"-6.40"},{"symbol":"DLF","open":"129.00","high":"133.90","low":"126.05","ltP":"126.35","ptsC":"-2.60","per":"-2.02","trdVol":"97.25","trdVolM":"9.72","ntP":"125.94","mVal":"1.26","wkhi":"142.90","wklo":"72.35","wkhicm_adj":"242.95","wklocm_adj":"100.10","xDt":"28-MAR-2016","cAct":"INTERIM DIVIDEND - RS 2\/- PER SHARE (PURPOSE REVISED)","yPC":"5.82","mPC":"2.47"},{"symbol":"IOC","open":"412.00","high":"412.80","low":"402.30","ltP":"402.75","ptsC":"-10.20","per":"-2.47","trdVol":"14.78","trdVolM":"1.48","ntP":"60.06","mVal":"0.60","wkhi":"465.90","wklo":"336.20","wkhicm_adj":"411.20","wklocm_adj":"193.75","xDt":"31-DEC-2999","cAct":"-","yPC":"11.67","mPC":"-7.87"},{"symbol":"ABB","open":"1,259.30","high":"1,259.30","low":"1,220.00","ltP":"1,221.00","ptsC":"-32.95","per":"-2.63","trdVol":"0.62","trdVolM":"0.06","ntP":"7.65","mVal":"0.08","wkhi":"1,445.00","wklo":"955.20","wkhicm_adj":"1,263.50","wklocm_adj":"566.95","xDt":"13-APR-2016","cAct":"ANNUAL GENERAL MEETING\/DIVIDEND - RS 3.70 PER SHARE","yPC":"-9.04","mPC":"-4.13"},{"symbol":"NMDC","open":"93.05","high":"93.25","low":"87.95","ltP":"89.75","ptsC":"-2.95","per":"-3.18","trdVol":"24.47","trdVolM":"2.45","ntP":"22.14","mVal":"0.22","wkhi":"133.50","wklo":"75.15","wkhicm_adj":"196.00","wklocm_adj":"123.10","xDt":"30-MAR-2016","cAct":"INTERIM DIVIDEND - RS 1.50\/- PER SHARE (PURPOSE REVISED)","yPC":"-31.67","mPC":"-9.11"}],"trdValueSumMil":"17.41","unchanged":1,"trdVolumesum":"933.37","advances":29} </t>
  </si>
  <si>
    <t xml:space="preserve">{"trdVolumesumMil":"67.92","time":"May 30, 2016 14:27:39","latestData":[{"indexName":"NIFTY MIDCAP 50","open":"3,388.20","high":"3,396.20","low":"3,360.00","ltp":"3,383.80","ch":"12.90","per":"0.38","yCls":"1.17","mCls":"-0.09","yHigh":"3,563.60","yLow":"2,633.10"}],"declines":17,"trdValueSum":"1,279.16","data":[{"symbol":"L&amp;TFH","open":"74.00","high":"78.45","low":"72.95","ltP":"77.65","ptsC":"3.90","per":"5.29","trdVol":"77.77","trdVolM":"7.78","ntP":"59.55","mVal":"0.60","wkhi":"78.45","wklo":"48.25","wkhicm_adj":"88.25","wklocm_adj":"62.30","xDt":"31-DEC-2999","cAct":"-","yPC":"21.90","mPC":"8.30"},{"symbol":"IDFC","open":"50.35","high":"53.50","low":"49.25","ltP":"52.00","ptsC":"2.35","per":"4.73","trdVol":"69.12","trdVolM":"6.91","ntP":"35.87","mVal":"0.36","wkhi":"163.60","wklo":"34.80","wkhicm_adj":"166.65","wklocm_adj":"88.05","xDt":"31-DEC-2999","cAct":"-","yPC":"-66.02","mPC":"11.95"},{"symbol":"PAGEIND","open":"13,500.00","high":"14,021.00","low":"13,500.00","ltP":"13,950.00","ptsC":"477.75","per":"3.55","trdVol":"0.14","trdVolM":"0.01","ntP":"19.31","mVal":"0.19","wkhi":"17,000.00","wklo":"9,752.35","wkhicm_adj":"10,390.00","wklocm_adj":"5,010.00","xDt":"31-DEC-2999","cAct":"-","yPC":"-8.30","mPC":"7.48"},{"symbol":"TATACOMM","open":"454.00","high":"473.50","low":"451.80","ltP":"471.60","ptsC":"12.20","per":"2.66","trdVol":"4.07","trdVolM":"0.41","ntP":"18.92","mVal":"0.19","wkhi":"491.35","wklo":"325.00","wkhicm_adj":"462.40","wklocm_adj":"258.50","xDt":"31-DEC-2999","cAct":"-","yPC":"9.61","mPC":"12.47"},{"symbol":"SYNDIBANK","open":"65.25","high":"66.60","low":"64.40","ltP":"65.90","ptsC":"1.70","per":"2.65","trdVol":"20.63","trdVolM":"2.06","ntP":"13.51","mVal":"0.14","wkhi":"118.30","wklo":"49.40","wkhicm_adj":"180.00","wklocm_adj":"77.60","xDt":"31-DEC-2999","cAct":"-","yPC":"-43.04","mPC":"-6.06"},{"symbol":"SRF","open":"1,270.00","high":"1,295.00","low":"1,265.65","ltP":"1,292.70","ptsC":"32.15","per":"2.55","trdVol":"1.81","trdVolM":"0.18","ntP":"23.26","mVal":"0.23","wkhi":"1,498.85","wklo":"990.00","wkhicm_adj":"958.80","wklocm_adj":"170.00","xDt":"31-DEC-2999","cAct":"-","yPC":"27.94","mPC":"-4.65"},{"symbol":"BATAINDIA","open":"558.65","high":"571.30","low":"557.50","ltP":"568.95","ptsC":"11.65","per":"2.09","trdVol":"5.58","trdVolM":"0.56","ntP":"31.63","mVal":"0.32","wkhi":"622.00","wklo":"438.00","wkhicm_adj":"1,413.40","wklocm_adj":"894.55","xDt":"31-DEC-2999","cAct":"-","yPC":"-45.99","mPC":"0.81"},{"symbol":"PETRONET","open":"274.80","high":"279.80","low":"270.20","ltP":"278.35","ptsC":"5.20","per":"1.90","trdVol":"4.30","trdVolM":"0.43","ntP":"11.83","mVal":"0.12","wkhi":"284.80","wklo":"163.55","wkhicm_adj":"208.80","wklocm_adj":"102.60","xDt":"31-DEC-2999","cAct":"-","yPC":"51.61","mPC":"5.62"},{"symbol":"GMRINFRA","open":"11.60","high":"11.65","low":"11.35","ltP":"11.60","ptsC":"0.15","per":"1.31","trdVol":"40.39","trdVolM":"4.04","ntP":"4.66","mVal":"0.05","wkhi":"18.55","wklo":"9.75","wkhicm_adj":"38.25","wklocm_adj":"17.15","xDt":"31-DEC-2999","cAct":"-","yPC":"-19.72","mPC":"-6.83"},{"symbol":"UNIONBANK","open":"117.90","high":"117.90","low":"114.50","ltP":"116.50","ptsC":"1.35","per":"1.17","trdVol":"19.46","trdVolM":"1.95","ntP":"22.60","mVal":"0.23","wkhi":"222.70","wklo":"104.00","wkhicm_adj":"259.65","wklocm_adj":"100.50","xDt":"31-DEC-2999","cAct":"-","yPC":"-32.07","mPC":"-11.64"},{"symbol":"MINDTREE","open":"667.60","high":"681.80","low":"667.60","ltP":"675.15","ptsC":"7.55","per":"1.13","trdVol":"2.37","trdVolM":"0.24","ntP":"16.01","mVal":"0.16","wkhi":"804.50","wklo":"594.03","wkhicm_adj":"1,268.30","wklocm_adj":"648.75","xDt":"11-APR-2016","cAct":"INTERIM DIVIDEND - RS 2\/- PER SHARE (PURPOSE REVISED)","yPC":"-6.81","mPC":"-3.51"},{"symbol":"GODREJIND","open":"348.00","high":"356.95","low":"346.15","ltP":"351.15","ptsC":"3.30","per":"0.95","trdVol":"2.55","trdVolM":"0.25","ntP":"8.98","mVal":"0.09","wkhi":"412.00","wklo":"290.00","wkhicm_adj":"372.80","wklocm_adj":"248.50","xDt":"15-MAR-2016","cAct":"INTERIM DIVIDEND - RE 1.75 PER SHARE (PURPOSE REVISED)","yPC":"-6.98","mPC":"-1.27"},{"symbol":"RELINFRA","open":"550.00","high":"552.90","low":"541.00","ltP":"546.40","ptsC":"4.70","per":"0.87","trdVol":"22.23","trdVolM":"2.22","ntP":"121.73","mVal":"1.22","wkhi":"621.90","wklo":"281.55","wkhicm_adj":"819.90","wklocm_adj":"350.30","xDt":"31-DEC-2999","cAct":"-","yPC":"31.13","mPC":"-0.67"},{"symbol":"DISHTV","open":"87.00","high":"88.00","low":"85.40","ltP":"87.45","ptsC":"0.75","per":"0.87","trdVol":"28.48","trdVolM":"2.85","ntP":"24.75","mVal":"0.25","wkhi":"121.65","wklo":"65.20","wkhicm_adj":"65.90","wklocm_adj":"43.15","xDt":"31-DEC-2999","cAct":"-","yPC":"-9.89","mPC":"-3.80"},{"symbol":"ENGINERSIN","open":"180.30","high":"184.90","low":"178.40","ltP":"182.00","ptsC":"1.55","per":"0.86","trdVol":"4.95","trdVolM":"0.49","ntP":"8.99","mVal":"0.09","wkhi":"252.20","wklo":"143.10","wkhicm_adj":"331.70","wklocm_adj":"142.50","xDt":"08-MAR-2016","cAct":"INTERIM DIVIDEND - RS 2\/- PER SHARE (PURPOSE REVISED)","yPC":"-8.95","mPC":"-1.46"},{"symbol":"HEXAWARE","open":"216.90","high":"218.75","low":"215.20","ltP":"217.35","ptsC":"1.65","per":"0.76","trdVol":"6.06","trdVolM":"0.61","ntP":"13.17","mVal":"0.13","wkhi":"298.50","wklo":"201.50","wkhicm_adj":"226.25","wklocm_adj":"111.90","xDt":"13-MAY-2016","cAct":"INTERIM DIVIDEND - RS 2.50\/- PER SHARE","yPC":"-23.24","mPC":"-10.96"},{"symbol":"JINDALSTEL","open":"62.60","high":"63.25","low":"61.40","ltP":"62.05","ptsC":"0.45","per":"0.73","trdVol":"37.47","trdVolM":"3.75","ntP":"23.33","mVal":"0.23","wkhi":"128.70","wklo":"48.10","wkhicm_adj":"351.00","wklocm_adj":"127.70","xDt":"31-DEC-2999","cAct":"-","yPC":"-47.48","mPC":"-19.21"},{"symbol":"CANBK","open":"194.05","high":"195.70","low":"188.70","ltP":"193.90","ptsC":"1.25","per":"0.65","trdVol":"33.08","trdVolM":"3.31","ntP":"63.70","mVal":"0.64","wkhi":"360.45","wklo":"156.00","wkhicm_adj":"498.00","wklocm_adj":"209.00","xDt":"31-DEC-2999","cAct":"-","yPC":"-43.22","mPC":"-8.49"},{"symbol":"TATAGLOBAL","open":"118.00","high":"119.65","low":"117.30","ltP":"118.00","ptsC":"0.70","per":"0.60","trdVol":"5.40","trdVolM":"0.54","ntP":"6.41","mVal":"0.06","wkhi":"150.30","wklo":"100.00","wkhicm_adj":"177.15","wklocm_adj":"135.25","xDt":"31-DEC-2999","cAct":"-","yPC":"-18.56","mPC":"-3.59"},{"symbol":"AJANTPHARM","open":"1,524.05","high":"1,555.00","low":"1,524.05","ltP":"1,539.15","ptsC":"8.95","per":"0.58","trdVol":"0.53","trdVolM":"0.05","ntP":"8.23","mVal":"0.08","wkhi":"1,720.00","wklo":"1,101.05","wkhicm_adj":"2,526.95","wklocm_adj":"776.65","xDt":"31-DEC-2999","cAct":"-","yPC":"6.05","mPC":"0.44"},{"symbol":"ADANIPOWER","open":"30.25","high":"30.50","low":"29.75","ltP":"30.20","ptsC":"0.15","per":"0.50","trdVol":"29.92","trdVolM":"2.99","ntP":"9.01","mVal":"0.09","wkhi":"40.15","wklo":"19.60","wkhicm_adj":"68.35","wklocm_adj":"31.80","xDt":"31-DEC-2999","cAct":"-","yPC":"-21.66","mPC":"-6.50"},{"symbol":"WOCKPHARMA","open":"934.30","high":"945.00","low":"923.00","ltP":"931.00","ptsC":"4.35","per":"0.47","trdVol":"4.19","trdVolM":"0.42","ntP":"39.18","mVal":"0.39","wkhi":"1,745.00","wklo":"705.75","wkhicm_adj":"887.00","wklocm_adj":"336.55","xDt":"31-DEC-2999","cAct":"-","yPC":"-35.03","mPC":"-9.51"},{"symbol":"M&amp;MFIN","open":"324.80","high":"330.45","low":"321.95","ltP":"326.20","ptsC":"1.35","per":"0.42","trdVol":"5.82","trdVolM":"0.58","ntP":"18.98","mVal":"0.19","wkhi":"330.45","wklo":"173.10","wkhicm_adj":"356.50","wklocm_adj":"229.25","xDt":"31-DEC-2999","cAct":"-","yPC":"22.40","mPC":"6.36"},{"symbol":"EXIDEIND","open":"158.00","high":"160.00","low":"156.80","ltP":"158.20","ptsC":"0.65","per":"0.41","trdVol":"3.74","trdVolM":"0.37","ntP":"5.93","mVal":"0.06","wkhi":"168.60","wklo":"116.00","wkhicm_adj":"183.40","wklocm_adj":"99.00","xDt":"31-DEC-2999","cAct":"-","yPC":"2.73","mPC":"5.82"},{"symbol":"JSWENERGY","open":"72.50","high":"74.40","low":"70.65","ltP":"71.95","ptsC":"0.25","per":"0.35","trdVol":"16.62","trdVolM":"1.66","ntP":"12.02","mVal":"0.12","wkhi":"114.30","wklo":"59.00","wkhicm_adj":"97.40","wklocm_adj":"39.85","xDt":"31-DEC-2999","cAct":"-","yPC":"-35.64","mPC":"6.04"},{"symbol":"FEDERALBNK","open":"53.00","high":"53.30","low":"52.30","ltP":"52.70","ptsC":"0.15","per":"0.29","trdVol":"25.21","trdVolM":"2.52","ntP":"13.30","mVal":"0.13","wkhi":"79.80","wklo":"41.35","wkhicm_adj":"152.95","wklocm_adj":"72.35","xDt":"31-DEC-2999","cAct":"-","yPC":"-26.22","mPC":"9.79"},{"symbol":"ADANIENT","open":"73.90","high":"74.65","low":"72.75","ltP":"73.55","ptsC":"0.20","per":"0.27","trdVol":"8.33","trdVolM":"0.83","ntP":"6.14","mVal":"0.06","wkhi":"791.00","wklo":"58.20","wkhicm_adj":"585.00","wklocm_adj":"210.10","xDt":"22-MAR-2016","cAct":"INTERIM DIVIDEND - RE 0.40\/- PER SHARE (PURPOSE REVISED)","yPC":"-89.99","mPC":"-14.23"},{"symbol":"VOLTAS","open":"337.40","high":"342.90","low":"334.40","ltP":"337.55","ptsC":"0.75","per":"0.22","trdVol":"7.71","trdVolM":"0.77","ntP":"26.14","mVal":"0.26","wkhi":"359.90","wklo":"211.00","wkhicm_adj":"286.45","wklocm_adj":"96.85","xDt":"31-DEC-2999","cAct":"-","yPC":"2.13","mPC":"11.81"},{"symbol":"IDBI","open":"68.20","high":"68.70","low":"66.60","ltP":"67.55","ptsC":"0.10","per":"0.15","trdVol":"20.14","trdVolM":"2.01","ntP":"13.61","mVal":"0.14","wkhi":"95.70","wklo":"47.25","wkhicm_adj":"116.40","wklocm_adj":"52.90","xDt":"31-DEC-2999","cAct":"-","yPC":"-4.39","mPC":"-4.72"},{"symbol":"RPOWER","open":"53.05","high":"53.50","low":"52.10","ltP":"52.30","ptsC":"0.05","per":"0.10","trdVol":"27.09","trdVolM":"2.71","ntP":"14.26","mVal":"0.14","wkhi":"61.25","wklo":"33.10","wkhicm_adj":"113.30","wklocm_adj":"60.00","xDt":"31-DEC-2999","cAct":"-","yPC":"-1.32","mPC":"-1.88"},{"symbol":"RELCAPITAL","open":"417.75","high":"420.90","low":"412.10","ltP":"414.30","ptsC":"0.30","per":"0.07","trdVol":"18.46","trdVolM":"1.85","ntP":"76.88","mVal":"0.77","wkhi":"471.00","wklo":"246.35","wkhicm_adj":"669.90","wklocm_adj":"304.50","xDt":"31-DEC-2999","cAct":"-","yPC":"7.05","mPC":"2.57"},{"symbol":"ALBK","open":"53.60","high":"54.00","low":"52.20","ltP":"52.70","ptsC":"0.00","per":"0.00","trdVol":"14.66","trdVolM":"1.47","ntP":"7.76","mVal":"0.08","wkhi":"108.25","wklo":"39.40","wkhicm_adj":"150.00","wklocm_adj":"72.20","xDt":"31-DEC-2999","cAct":"-","yPC":"-50.02","mPC":"-11.58"},{"symbol":"APOLLOTYRE","open":"157.90","high":"159.10","low":"154.30","ltP":"156.85","ptsC":"0.00","per":"0.00","trdVol":"5.54","trdVolM":"0.55","ntP":"8.68","mVal":"0.09","wkhi":"223.40","wklo":"127.05","wkhicm_adj":"242.95","wklocm_adj":"77.50","xDt":"31-DEC-2999","cAct":"-","yPC":"-13.87","mPC":"-5.77"},{"symbol":"IRB","open":"219.95","high":"221.70","low":"216.70","ltP":"218.85","ptsC":"-0.05","per":"-0.02","trdVol":"6.42","trdVolM":"0.64","ntP":"14.05","mVal":"0.14","wkhi":"272.00","wklo":"197.10","wkhicm_adj":"289.65","wklocm_adj":"67.20","xDt":"16-MAR-2016","cAct":"INTERIM DIVIDEND - RS 2\/- PER SHARE (PURPOSE REVISED)","yPC":"-11.24","mPC":"1.44"},{"symbol":"MRF","open":"33,719.00","high":"33,840.00","low":"33,222.10","ltP":"33,490.15","ptsC":"-52.05","per":"-0.16","trdVol":"0.02","trdVolM":"0.00","ntP":"7.27","mVal":"0.07","wkhi":"46,399.00","wklo":"31,002.00","wkhicm_adj":"33,980.00","wklocm_adj":"17,070.00","xDt":"31-DEC-2999","cAct":"-","yPC":"-5.35","mPC":"-3.73"},{"symbol":"ARVIND","open":"315.50","high":"318.00","low":"313.35","ltP":"314.70","ptsC":"-0.65","per":"-0.21","trdVol":"5.87","trdVolM":"0.59","ntP":"18.52","mVal":"0.19","wkhi":"365.70","wklo":"216.30","wkhicm_adj":"341.50","wklocm_adj":"119.00","xDt":"31-DEC-2999","cAct":"-","yPC":"32.12","mPC":"8.05"},{"symbol":"STAR","open":"1,128.50","high":"1,130.00","low":"1,100.10","ltP":"1,113.60","ptsC":"-7.25","per":"-0.65","trdVol":"1.15","trdVolM":"0.11","ntP":"12.78","mVal":"0.13","wkhi":"1,414.00","wklo":"847.00","wkhicm_adj":"1,045.00","wklocm_adj":"310.15","xDt":"31-DEC-2999","cAct":"-","yPC":"-8.76","mPC":"0.88"},{"symbol":"CENTURYTEX","open":"627.40","high":"628.90","low":"616.85","ltP":"619.15","ptsC":"-4.05","per":"-0.65","trdVol":"3.02","trdVolM":"0.30","ntP":"18.78","mVal":"0.19","wkhi":"748.60","wklo":"403.00","wkhicm_adj":"664.40","wklocm_adj":"248.25","xDt":"31-DEC-2999","cAct":"-","yPC":"-6.68","mPC":"-1.62"},{"symbol":"SUNTV","open":"387.00","high":"387.00","low":"373.50","ltP":"379.50","ptsC":"-2.80","per":"-0.73","trdVol":"6.47","trdVolM":"0.65","ntP":"24.55","mVal":"0.25","wkhi":"436.80","wklo":"255.80","wkhicm_adj":"477.00","wklocm_adj":"300.00","xDt":"21-MAR-2016","cAct":"INTERIM DIVIDEND - RS 7.50\/- PER SHARE (PURPOSE REVISED)","yPC":"-1.95","mPC":"6.47"},{"symbol":"BANKINDIA","open":"87.55","high":"88.45","low":"85.50","ltP":"86.30","ptsC":"-0.65","per":"-0.75","trdVol":"22.83","trdVolM":"2.28","ntP":"19.76","mVal":"0.20","wkhi":"205.00","wklo":"78.40","wkhicm_adj":"357.00","wklocm_adj":"165.55","xDt":"31-DEC-2999","cAct":"-","yPC":"-55.02","mPC":"-10.85"},{"symbol":"CESC","open":"563.70","high":"563.70","low":"552.35","ltP":"556.90","ptsC":"-5.45","per":"-0.97","trdVol":"1.46","trdVolM":"0.15","ntP":"8.11","mVal":"0.08","wkhi":"624.30","wklo":"404.55","wkhicm_adj":"827.45","wklocm_adj":"374.40","xDt":"17-MAR-2016","cAct":"INTERIM DIVIDEND - RS 10\/- PER SHARE (PURPOSE REVISED)","yPC":"1.70","mPC":"0.65"},{"symbol":"HAVELLS","open":"374.50","high":"377.80","low":"370.35","ltP":"371.20","ptsC":"-3.70","per":"-0.99","trdVol":"10.27","trdVolM":"1.03","ntP":"38.26","mVal":"0.38","wkhi":"378.40","wklo":"235.30","wkhicm_adj":"326.50","wklocm_adj":"143.57","xDt":"31-DEC-2999","cAct":"-","yPC":"36.80","mPC":"7.84"},{"symbol":"TVSMOTOR","open":"292.10","high":"293.95","low":"283.75","ltP":"288.00","ptsC":"-3.10","per":"-1.06","trdVol":"10.89","trdVolM":"1.09","ntP":"31.24","mVal":"0.31","wkhi":"340.85","wklo":"201.00","wkhicm_adj":"266.70","wklocm_adj":"52.50","xDt":"17-MAR-2016","cAct":"INTERIM DIVIDEND - RS 1.50 PER SHARE (PURPOSE REVISED)","yPC":"22.14","mPC":"-12.15"},{"symbol":"JUSTDIAL","open":"656.00","high":"661.95","low":"641.20","ltP":"647.00","ptsC":"-7.25","per":"-1.11","trdVol":"7.44","trdVolM":"0.74","ntP":"48.27","mVal":"0.48","wkhi":"1,290.00","wklo":"375.70","wkhicm_adj":"1,894.40","wklocm_adj":"982.60","xDt":"31-DEC-2999","cAct":"-","yPC":"-42.47","mPC":"-23.85"},{"symbol":"PCJEWELLER","open":"368.00","high":"370.00","low":"361.65","ltP":"363.60","ptsC":"-4.50","per":"-1.22","trdVol":"0.91","trdVolM":"0.09","ntP":"3.33","mVal":"0.03","wkhi":"493.40","wklo":"295.80","wkhicm_adj":"278.00","wklocm_adj":"72.00","xDt":"31-DEC-2999","cAct":"-","yPC":"-1.88","mPC":"-0.42"},{"symbol":"IGL","open":"574.00","high":"575.60","low":"565.30","ltP":"566.75","ptsC":"-7.55","per":"-1.31","trdVol":"1.65","trdVolM":"0.16","ntP":"9.35","mVal":"0.09","wkhi":"608.00","wklo":"375.35","wkhicm_adj":"458.80","wklocm_adj":"238.05","xDt":"31-DEC-2999","cAct":"-","yPC":"41.63","mPC":"-0.92"},{"symbol":"AMARAJABAT","open":"865.35","high":"866.90","low":"846.00","ltP":"849.10","ptsC":"-12.10","per":"-1.41","trdVol":"1.35","trdVolM":"0.13","ntP":"11.50","mVal":"0.12","wkhi":"1,128.00","wklo":"774.15","wkhicm_adj":"794.00","wklocm_adj":"315.05","xDt":"22-MAR-2016","cAct":"INTERIM DIVIDEND - RS 4.25\/- PER SHARE (PURPOSE REVISED)","yPC":"-1.72","mPC":"-9.78"},{"symbol":"BIOCON","open":"703.90","high":"707.50","low":"686.05","ltP":"689.05","ptsC":"-10.40","per":"-1.49","trdVol":"4.66","trdVolM":"0.47","ntP":"32.30","mVal":"0.32","wkhi":"717.00","wklo":"395.30","wkhicm_adj":"553.60","wklocm_adj":"378.65","xDt":"17-MAR-2016","cAct":"INTERIM DIVIDEND - RS 5\/- PER SHARE (PURPOSE REVISED)","yPC":"55.79","mPC":"20.48"},{"symbol":"TATACHEM","open":"434.95","high":"441.00","low":"423.50","ltP":"425.95","ptsC":"-6.50","per":"-1.50","trdVol":"4.40","trdVolM":"0.44","ntP":"18.79","mVal":"0.19","wkhi":"526.00","wklo":"309.60","wkhicm_adj":"442.75","wklocm_adj":"244.20","xDt":"31-DEC-2999","cAct":"-","yPC":"-2.07","mPC":"1.85"},{"symbol":"JUBLFOOD","open":"1,094.00","high":"1,094.00","low":"1,011.10","ltP":"1,027.05","ptsC":"-84.90","per":"-7.64","trdVol":"16.62","trdVolM":"1.66","ntP":"173.97","mVal":"1.74","wkhi":"1,959.50","wklo":"887.35","wkhicm_adj":"1,497.40","wklocm_adj":"937.70","xDt":"31-DEC-2999","cAct":"-","yPC":"-41.55","mPC":"-22.91"}],"trdValueSumMil":"12.79","unchanged":2,"trdVolumesum":"679.25","advances":31} </t>
  </si>
  <si>
    <t xml:space="preserve">{"trdVolumesumMil":"93.94","time":"May 30, 2016 14:29:09","latestData":[{"indexName":"NIFTY NEXT 50","open":"19,791.95","high":"19,843.55","low":"19,688.05","ltp":"19,767.40","ch":"51.25","per":"0.26","yCls":"10.47","mCls":"1.52","yHigh":"21,730.80","yLow":"16,607.80"}],"declines":20,"trdValueSum":"1,754.70","data":[{"symbol":"CONCOR","open":"1,385.05","high":"1,448.00","low":"1,385.05","ltP":"1,437.90","ptsC":"57.65","per":"4.18","trdVol":"2.39","trdVolM":"0.24","ntP":"34.23","mVal":"0.34","wkhi":"1,947.70","wklo":"1,051.00","wkhicm_adj":"1,504.70","wklocm_adj":"697.55","xDt":"31-DEC-2999","cAct":"-","yPC":"-14.82","mPC":"6.77"},{"symbol":"RECLTD","open":"159.50","high":"163.50","low":"159.50","ltP":"161.35","ptsC":"5.95","per":"3.83","trdVol":"50.03","trdVolM":"5.00","ntP":"80.84","mVal":"0.81","wkhi":"304.90","wklo":"152.25","wkhicm_adj":"383.40","wklocm_adj":"166.50","xDt":"31-DEC-2999","cAct":"-","yPC":"-46.52","mPC":"-11.49"},{"symbol":"VEDL","open":"104.50","high":"107.45","low":"104.15","ltP":"106.15","ptsC":"3.35","per":"3.26","trdVol":"107.88","trdVolM":"10.79","ntP":"114.19","mVal":"1.14","wkhi":"204.00","wklo":"58.15","wkhicm_adj":"318.30","wklocm_adj":"168.85","xDt":"31-DEC-2999","cAct":"-","yPC":"-46.05","mPC":"1.24"},{"symbol":"APOLLOHOSP","open":"1,348.75","high":"1,394.00","low":"1,348.20","ltP":"1,391.65","ptsC":"43.45","per":"3.22","trdVol":"2.59","trdVolM":"0.26","ntP":"35.71","mVal":"0.36","wkhi":"1,544.90","wklo":"1,150.00","wkhicm_adj":"1,246.50","wklocm_adj":"815.35","xDt":"22-MAR-2016","cAct":"INTERIM DIVIDEND - RS 6\/- PER SHARE (PURPOSE REVISED)","yPC":"13.86","mPC":"5.68"},{"symbol":"CAIRN","open":"139.20","high":"142.90","low":"139.20","ltP":"142.25","ptsC":"4.20","per":"3.04","trdVol":"12.69","trdVolM":"1.27","ntP":"17.94","mVal":"0.18","wkhi":"197.90","wklo":"106.50","wkhicm_adj":"386.00","wklocm_adj":"255.00","xDt":"31-DEC-2999","cAct":"-","yPC":"-25.50","mPC":"-3.33"},{"symbol":"CADILAHC","open":"329.25","high":"335.00","low":"326.10","ltP":"334.90","ptsC":"7.70","per":"2.35","trdVol":"3.32","trdVolM":"0.33","ntP":"11.03","mVal":"0.11","wkhi":"453.30","wklo":"295.00","wkhicm_adj":"1,760.15","wklocm_adj":"723.20","xDt":"17-MAR-2016","cAct":"INTERIM DIVIDEND - RS 3.20\/- PER SHARE","yPC":"-10.28","mPC":"2.46"},{"symbol":"MOTHERSUMI","open":"278.10","high":"286.75","low":"276.00","ltP":"285.15","ptsC":"5.90","per":"2.11","trdVol":"21.63","trdVolM":"2.16","ntP":"61.14","mVal":"0.61","wkhi":"396.00","wklo":"205.90","wkhicm_adj":"450.70","wklocm_adj":"178.25","xDt":"22-MAR-2016","cAct":"INTERIM DIVIDEND - RS 2.50\/- PER SHARE (PURPOSE REVISED)","yPC":"-39.81","mPC":"8.42"},{"symbol":"SHREECEM","open":"13,142.00","high":"13,450.00","low":"13,140.00","ltP":"13,399.95","ptsC":"259.90","per":"1.98","trdVol":"0.05","trdVolM":"0.01","ntP":"7.23","mVal":"0.07","wkhi":"13,888.00","wklo":"9,399.95","wkhicm_adj":"9,297.70","wklocm_adj":"4,100.10","xDt":"17-MAR-2016","cAct":"INTERIM DIVIDEND - RS 12\/- PER SHARE (PUPOSE REVISED)","yPC":"22.90","mPC":"5.30"},{"symbol":"SIEMENS","open":"1,202.80","high":"1,231.00","low":"1,198.10","ltP":"1,223.50","ptsC":"20.75","per":"1.73","trdVol":"2.55","trdVolM":"0.26","ntP":"31.15","mVal":"0.31","wkhi":"1,559.70","wklo":"968.60","wkhicm_adj":"1,010.00","wklocm_adj":"513.00","xDt":"31-DEC-2999","cAct":"-","yPC":"-11.80","mPC":"3.48"},{"symbol":"GSKCONS","open":"5,919.00","high":"6,036.00","low":"5,880.00","ltP":"5,999.90","ptsC":"87.10","per":"1.47","trdVol":"0.05","trdVolM":"0.01","ntP":"3.23","mVal":"0.03","wkhi":"6,800.00","wklo":"5,405.00","wkhicm_adj":"5,999.00","wklocm_adj":"4,011.00","xDt":"31-DEC-2999","cAct":"-","yPC":"-5.91","mPC":"-0.28"},{"symbol":"DIVISLAB","open":"1,120.65","high":"1,120.80","low":"1,081.00","ltP":"1,100.35","ptsC":"15.70","per":"1.45","trdVol":"5.35","trdVolM":"0.53","ntP":"58.52","mVal":"0.59","wkhi":"1,242.35","wklo":"863.90","wkhicm_adj":"1,888.05","wklocm_adj":"1,097.00","xDt":"17-MAR-2016","cAct":"INTERIM DIVIDEND - RS 10\/- PER SHARE (PURPOSE REVISED)","yPC":"-39.13","mPC":"5.57"},{"symbol":"BRITANNIA","open":"2,720.00","high":"2,758.00","low":"2,720.00","ltP":"2,755.35","ptsC":"36.05","per":"1.33","trdVol":"0.85","trdVolM":"0.09","ntP":"23.32","mVal":"0.23","wkhi":"3,434.20","wklo":"2,424.00","wkhicm_adj":"1,729.80","wklocm_adj":"809.10","xDt":"31-DEC-2999","cAct":"-","yPC":"3.69","mPC":"-3.71"},{"symbol":"PFC","open":"166.55","high":"170.90","low":"165.80","ltP":"168.20","ptsC":"1.90","per":"1.14","trdVol":"13.44","trdVolM":"1.34","ntP":"22.56","mVal":"0.23","wkhi":"283.40","wklo":"140.25","wkhicm_adj":"344.75","wklocm_adj":"128.75","xDt":"31-DEC-2999","cAct":"-","yPC":"-40.01","mPC":"-6.19"},{"symbol":"LICHSGFIN","open":"463.90","high":"468.00","low":"460.55","ltP":"467.00","ptsC":"5.05","per":"1.09","trdVol":"10.47","trdVolM":"1.05","ntP":"48.69","mVal":"0.49","wkhi":"523.95","wklo":"388.65","wkhicm_adj":"429.50","wklocm_adj":"187.05","xDt":"31-DEC-2999","cAct":"-","yPC":"13.57","mPC":"0.96"},{"symbol":"EMAMILTD","open":"1,016.20","high":"1,032.00","low":"1,007.50","ltP":"1,025.90","ptsC":"11.00","per":"1.08","trdVol":"0.80","trdVolM":"0.08","ntP":"8.16","mVal":"0.08","wkhi":"1,365.00","wklo":"901.00","wkhicm_adj":"824.70","wklocm_adj":"420.00","xDt":"31-DEC-2999","cAct":"-","yPC":"-7.06","mPC":"1.84"},{"symbol":"PNB","open":"78.00","high":"78.90","low":"76.40","ltP":"77.40","ptsC":"0.80","per":"1.04","trdVol":"74.31","trdVolM":"7.43","ntP":"57.73","mVal":"0.58","wkhi":"180.55","wklo":"69.25","wkhicm_adj":"1,096.50","wklocm_adj":"509.15","xDt":"31-DEC-2999","cAct":"-","yPC":"-50.46","mPC":"-14.10"},{"symbol":"DABUR","open":"295.55","high":"299.90","low":"292.00","ltP":"298.85","ptsC":"3.05","per":"1.03","trdVol":"5.90","trdVolM":"0.59","ntP":"17.53","mVal":"0.18","wkhi":"316.40","wklo":"231.50","wkhicm_adj":"249.15","wklocm_adj":"159.50","xDt":"31-DEC-2999","cAct":"-","yPC":"9.99","mPC":"9.67"},{"symbol":"COLPAL","open":"838.00","high":"851.90","low":"835.80","ltP":"847.40","ptsC":"8.10","per":"0.97","trdVol":"1.21","trdVolM":"0.12","ntP":"10.18","mVal":"0.10","wkhi":"1,050.00","wklo":"787.20","wkhicm_adj":"2,049.00","wklocm_adj":"1,235.20","xDt":"06-APR-2016","cAct":"INTERIM DIVIDEND - RS 3\/- PER SHARE (PURPOSE REVISED)","yPC":"-15.02","mPC":"-0.95"},{"symbol":"PIDILITIND","open":"698.50","high":"708.65","low":"691.35","ltP":"700.10","ptsC":"5.45","per":"0.78","trdVol":"2.56","trdVolM":"0.26","ntP":"17.93","mVal":"0.18","wkhi":"709.00","wklo":"507.30","wkhicm_adj":"505.90","wklocm_adj":"269.60","xDt":"18-MAR-2016","cAct":"INTERIM DIVIDEND - RS 3.65\/- PER SHARE (PURPOSE REVISED)","yPC":"26.96","mPC":"15.45"},{"symbol":"SRTRANSFIN","open":"1,190.15","high":"1,219.80","low":"1,175.65","ltP":"1,200.00","ptsC":"5.95","per":"0.50","trdVol":"4.41","trdVolM":"0.44","ntP":"52.79","mVal":"0.53","wkhi":"1,219.80","wklo":"736.95","wkhicm_adj":"1,139.00","wklocm_adj":"548.70","xDt":"31-DEC-2999","cAct":"-","yPC":"44.07","mPC":"20.68"},{"symbol":"MCDOWELL-N","open":"2,505.00","high":"2,507.00","low":"2,464.10","ltP":"2,493.05","ptsC":"11.90","per":"0.48","trdVol":"1.19","trdVolM":"0.12","ntP":"29.72","mVal":"0.30","wkhi":"3,837.90","wklo":"2,225.45","wkhicm_adj":"2,940.80","wklocm_adj":"2,225.00","xDt":"31-DEC-2999","cAct":"-","yPC":"-27.25","mPC":"5.48"},{"symbol":"RCOM","open":"49.30","high":"50.65","low":"48.90","ltP":"49.15","ptsC":"0.20","per":"0.41","trdVol":"166.05","trdVolM":"16.61","ntP":"82.56","mVal":"0.83","wkhi":"91.75","wklo":"45.50","wkhicm_adj":"157.25","wklocm_adj":"93.05","xDt":"31-DEC-2999","cAct":"-","yPC":"-23.86","mPC":"-17.26"},{"symbol":"HINDZINC","open":"169.95","high":"170.35","low":"167.15","ltP":"169.10","ptsC":"0.60","per":"0.36","trdVol":"5.38","trdVolM":"0.54","ntP":"9.09","mVal":"0.09","wkhi":"196.80","wklo":"117.05","wkhicm_adj":"184.00","wklocm_adj":"114.80","xDt":"31-DEC-2999","cAct":"-","yPC":"-1.28","mPC":"-2.20"},{"symbol":"OFSS","open":"3,524.00","high":"3,524.00","low":"3,462.70","ltP":"3,498.35","ptsC":"11.60","per":"0.33","trdVol":"0.16","trdVolM":"0.02","ntP":"5.68","mVal":"0.06","wkhi":"4,444.00","wklo":"3,100.00","wkhicm_adj":"4,180.00","wklocm_adj":"2,770.00","xDt":"31-DEC-2999","cAct":"-","yPC":"-3.62","mPC":"-1.51"},{"symbol":"GLENMARK","open":"876.50","high":"887.35","low":"875.25","ltP":"878.40","ptsC":"2.90","per":"0.33","trdVol":"1.85","trdVolM":"0.18","ntP":"16.28","mVal":"0.16","wkhi":"1,262.90","wklo":"671.10","wkhicm_adj":"841.00","wklocm_adj":"493.00","xDt":"31-DEC-2999","cAct":"-","yPC":"2.44","mPC":"6.26"},{"symbol":"BAJAJFINSV","open":"1,838.00","high":"1,864.85","low":"1,828.25","ltP":"1,840.55","ptsC":"4.85","per":"0.26","trdVol":"0.40","trdVolM":"0.04","ntP":"7.35","mVal":"0.07","wkhi":"2,160.00","wklo":"1,435.15","wkhicm_adj":"1,173.95","wklocm_adj":"658.35","xDt":"16-MAR-2016","cAct":"INTERIM DIVIDEND - RS 1.75\/- PER SHARE (PURPOSE REVISED)","yPC":"20.31","mPC":"-2.08"},{"symbol":"CUMMINSIND","open":"778.00","high":"793.90","low":"778.00","ltP":"785.80","ptsC":"1.90","per":"0.24","trdVol":"1.73","trdVolM":"0.17","ntP":"13.64","mVal":"0.14","wkhi":"1,247.65","wklo":"746.15","wkhicm_adj":"955.60","wklocm_adj":"417.70","xDt":"31-DEC-2999","cAct":"-","yPC":"-7.58","mPC":"-11.56"},{"symbol":"BHARATFORG","open":"751.50","high":"751.85","low":"735.50","ltP":"746.20","ptsC":"1.50","per":"0.20","trdVol":"3.24","trdVolM":"0.32","ntP":"24.07","mVal":"0.24","wkhi":"1,293.00","wklo":"704.90","wkhicm_adj":"979.00","wklocm_adj":"291.10","xDt":"18-MAR-2016","cAct":"INTERIM DIVIDEND - RS 4\/- PER SHARE (PURPOSE REVISED)","yPC":"-38.30","mPC":"-7.07"},{"symbol":"GODREJCP","open":"1,527.10","high":"1,536.85","low":"1,512.00","ltP":"1,526.90","ptsC":"0.45","per":"0.03","trdVol":"1.33","trdVolM":"0.13","ntP":"20.24","mVal":"0.20","wkhi":"1,536.85","wklo":"1,037.00","wkhicm_adj":"1,119.00","wklocm_adj":"667.00","xDt":"10-MAY-2016","cAct":"INTERIM DIVIDEND - RS 2.75\/- PER SHARE (PURPOSE REVISED)","yPC":"39.28","mPC":"11.57"},{"symbol":"SAIL","open":"43.00","high":"43.65","low":"42.35","ltP":"42.70","ptsC":"0.00","per":"0.00","trdVol":"53.04","trdVolM":"5.30","ntP":"22.82","mVal":"0.23","wkhi":"67.30","wklo":"33.50","wkhicm_adj":"112.95","wklocm_adj":"54.05","xDt":"31-DEC-2999","cAct":"-","yPC":"-35.11","mPC":"-7.07"},{"symbol":"JSWSTEEL","open":"1,378.00","high":"1,393.00","low":"1,357.80","ltP":"1,374.90","ptsC":"-0.75","per":"-0.05","trdVol":"4.24","trdVolM":"0.42","ntP":"58.30","mVal":"0.58","wkhi":"1,393.00","wklo":"800.00","wkhicm_adj":"1,366.50","wklocm_adj":"804.00","xDt":"31-DEC-2999","cAct":"-","yPC":"50.08","mPC":"0.90"},{"symbol":"GLAXO","open":"3,482.00","high":"3,557.95","low":"3,482.00","ltP":"3,524.45","ptsC":"-3.90","per":"-0.11","trdVol":"0.02","trdVolM":"0.00","ntP":"0.62","mVal":"0.01","wkhi":"3,872.00","wklo":"3,032.05","wkhicm_adj":"3,054.50","wklocm_adj":"2,365.00","xDt":"31-DEC-2999","cAct":"-","yPC":"10.11","mPC":"-6.49"},{"symbol":"OIL","open":"351.90","high":"354.95","low":"343.10","ltP":"348.10","ptsC":"-0.60","per":"-0.17","trdVol":"2.29","trdVolM":"0.23","ntP":"8.01","mVal":"0.08","wkhi":"487.55","wklo":"300.35","wkhicm_adj":"669.95","wklocm_adj":"438.00","xDt":"31-DEC-2999","cAct":"-","yPC":"-26.88","mPC":"6.16"},{"symbol":"CASTROLIND","open":"376.05","high":"379.45","low":"372.80","ltP":"375.05","ptsC":"-1.70","per":"-0.45","trdVol":"6.22","trdVolM":"0.62","ntP":"23.35","mVal":"0.23","wkhi":"513.80","wklo":"360.85","wkhicm_adj":"523.50","wklocm_adj":"283.10","xDt":"27-APR-2016","cAct":"ANNUAL GENERAL MEETING\/ DIVIDEND - RS 5\/- PER SHARE","yPC":"-20.45","mPC":"-3.73"},{"symbol":"BEL","open":"1,195.00","high":"1,199.00","low":"1,170.00","ltP":"1,176.75","ptsC":"-6.30","per":"-0.53","trdVol":"2.42","trdVolM":"0.24","ntP":"28.58","mVal":"0.29","wkhi":"1,416.85","wklo":"984.00","wkhicm_adj":"2,375.00","wklocm_adj":"893.00","xDt":"31-DEC-2999","cAct":"-","yPC":"5.81","mPC":"-2.96"},{"symbol":"BAJFINANCE","open":"7,700.00","high":"7,720.00","low":"7,559.40","ltP":"7,621.15","ptsC":"-46.75","per":"-0.61","trdVol":"0.51","trdVolM":"0.05","ntP":"38.90","mVal":"0.39","wkhi":"7,858.05","wklo":"4,115.70","wkhicm_adj":"3,385.00","wklocm_adj":"1,375.00","xDt":"16-MAR-2016","cAct":"INTERIM DIVIDEND - RS 18\/- PER SHARE (PURPOSE REVISED)","yPC":"72.26","mPC":"9.73"},{"symbol":"TORNTPHARM","open":"1,379.00","high":"1,384.80","low":"1,353.25","ltP":"1,368.50","ptsC":"-10.00","per":"-0.73","trdVol":"0.38","trdVolM":"0.04","ntP":"5.13","mVal":"0.05","wkhi":"1,718.40","wklo":"1,169.05","wkhicm_adj":"1,135.00","wklocm_adj":"458.00","xDt":"16-MAR-2016","cAct":"INTERIM DIVIDEND - RS 15\/- PER SHARE (PURPOSE REVISED)","yPC":"10.47","mPC":"-5.15"},{"symbol":"ASHOKLEY","open":"107.30","high":"107.45","low":"105.10","ltP":"105.90","ptsC":"-0.90","per":"-0.84","trdVol":"64.57","trdVolM":"6.46","ntP":"68.47","mVal":"0.68","wkhi":"112.90","wklo":"64.00","wkhicm_adj":"56.20","wklocm_adj":"14.85","xDt":"31-DEC-2999","cAct":"-","yPC":"50.21","mPC":"-1.90"},{"symbol":"TITAN","open":"361.10","high":"363.20","low":"354.25","ltP":"357.05","ptsC":"-3.40","per":"-0.94","trdVol":"14.70","trdVolM":"1.47","ntP":"52.52","mVal":"0.53","wkhi":"392.40","wklo":"301.70","wkhicm_adj":"425.00","wklocm_adj":"202.45","xDt":"22-MAR-2016","cAct":"INTERIM DIVIDEND - RS 2.20\/- PER SHARE (PURPOSE REVISED)","yPC":"-6.10","mPC":"-3.89"},{"symbol":"UPL","open":"597.90","high":"602.60","low":"586.40","ltP":"589.65","ptsC":"-5.75","per":"-0.97","trdVol":"9.19","trdVolM":"0.92","ntP":"54.54","mVal":"0.55","wkhi":"612.95","wklo":"367.25","wkhicm_adj":"388.70","wklocm_adj":"161.10","xDt":"31-DEC-2999","cAct":"-","yPC":"13.63","mPC":"14.51"},{"symbol":"IBULHSGFIN","open":"750.00","high":"754.25","low":"730.25","ltP":"734.60","ptsC":"-9.15","per":"-1.23","trdVol":"5.64","trdVolM":"0.56","ntP":"42.05","mVal":"0.42","wkhi":"820.85","wklo":"541.50","wkhicm_adj":"484.95","wklocm_adj":"187.05","xDt":"18-MAR-2016","cAct":"INTERIM DIVIDEND - RS 9\/- PER SHARE","yPC":"23.87","mPC":"4.52"},{"symbol":"UBL","open":"726.80","high":"727.90","low":"709.00","ltP":"713.00","ptsC":"-9.30","per":"-1.29","trdVol":"2.06","trdVolM":"0.21","ntP":"14.74","mVal":"0.15","wkhi":"1,074.95","wklo":"690.00","wkhicm_adj":"859.00","wklocm_adj":"615.65","xDt":"31-DEC-2999","cAct":"-","yPC":"-25.12","mPC":"-5.92"},{"symbol":"NHPC","open":"22.80","high":"23.95","low":"22.05","ltP":"22.80","ptsC":"-0.30","per":"-1.30","trdVol":"110.44","trdVolM":"11.04","ntP":"25.29","mVal":"0.25","wkhi":"24.45","wklo":"15.55","wkhicm_adj":"29.60","wklocm_adj":"17.35","xDt":"31-DEC-2999","cAct":"-","yPC":"12.87","mPC":"5.80"},{"symbol":"PGHH","open":"6,289.00","high":"6,294.70","low":"6,177.10","ltP":"6,199.25","ptsC":"-90.30","per":"-1.44","trdVol":"0.02","trdVolM":"0.00","ntP":"1.23","mVal":"0.01","wkhi":"6,995.00","wklo":"5,178.65","wkhicm_adj":"5,949.00","wklocm_adj":"2,752.00","xDt":"31-DEC-2999","cAct":"-","yPC":"-3.49","mPC":"-3.49"},{"symbol":"MARICO","open":"257.00","high":"260.45","low":"252.80","ltP":"253.40","ptsC":"-3.90","per":"-1.52","trdVol":"4.53","trdVolM":"0.45","ntP":"11.59","mVal":"0.12","wkhi":"269.25","wklo":"189.30","wkhicm_adj":"350.20","wklocm_adj":"200.05","xDt":"17-MAR-2016","cAct":"INTERIM DIVIDEND - RE 1\/- PER SHARE (PURPOSE REVISED)","yPC":"-38.16","mPC":"1.36"},{"symbol":"HINDPETRO","open":"938.00","high":"945.10","low":"910.05","ltP":"915.75","ptsC":"-15.90","per":"-1.71","trdVol":"17.23","trdVolM":"1.72","ntP":"158.42","mVal":"1.58","wkhi":"990.95","wklo":"625.70","wkhicm_adj":"627.80","wklocm_adj":"205.05","xDt":"17-MAR-2016","cAct":"INTERIM DIVIDEND - RS 7\/- PER SHARE (PURPOSE REVISED)","yPC":"44.02","mPC":"6.72"},{"symbol":"DLF","open":"129.00","high":"133.90","low":"126.05","ltP":"126.55","ptsC":"-2.40","per":"-1.86","trdVol":"97.87","trdVolM":"9.79","ntP":"126.74","mVal":"1.27","wkhi":"142.90","wklo":"72.35","wkhicm_adj":"242.95","wklocm_adj":"100.10","xDt":"28-MAR-2016","cAct":"INTERIM DIVIDEND - RS 2\/- PER SHARE (PURPOSE REVISED)","yPC":"5.99","mPC":"2.64"},{"symbol":"IOC","open":"412.00","high":"412.80","low":"402.30","ltP":"402.70","ptsC":"-10.25","per":"-2.48","trdVol":"14.92","trdVolM":"1.49","ntP":"60.64","mVal":"0.61","wkhi":"465.90","wklo":"336.20","wkhicm_adj":"411.20","wklocm_adj":"193.75","xDt":"31-DEC-2999","cAct":"-","yPC":"11.66","mPC":"-7.88"},{"symbol":"ABB","open":"1,259.30","high":"1,259.30","low":"1,220.00","ltP":"1,220.15","ptsC":"-33.80","per":"-2.70","trdVol":"0.63","trdVolM":"0.06","ntP":"7.73","mVal":"0.08","wkhi":"1,445.00","wklo":"955.20","wkhicm_adj":"1,263.50","wklocm_adj":"566.95","xDt":"13-APR-2016","cAct":"ANNUAL GENERAL MEETING\/DIVIDEND - RS 3.70 PER SHARE","yPC":"-9.10","mPC":"-4.19"},{"symbol":"NMDC","open":"93.05","high":"93.25","low":"87.95","ltP":"89.90","ptsC":"-2.80","per":"-3.02","trdVol":"24.65","trdVolM":"2.46","ntP":"22.30","mVal":"0.22","wkhi":"133.50","wklo":"75.15","wkhicm_adj":"196.00","wklocm_adj":"123.10","xDt":"30-MAR-2016","cAct":"INTERIM DIVIDEND - RS 1.50\/- PER SHARE (PURPOSE REVISED)","yPC":"-31.56","mPC":"-8.96"}],"trdValueSumMil":"17.55","unchanged":1,"trdVolumesum":"939.38","advances":29} </t>
  </si>
  <si>
    <t xml:space="preserve">{"trdVolumesumMil":"68.10","time":"May 30, 2016 14:29:09","latestData":[{"indexName":"NIFTY MIDCAP 50","open":"3,388.20","high":"3,396.20","low":"3,360.00","ltp":"3,384.15","ch":"13.25","per":"0.39","yCls":"1.18","mCls":"-0.08","yHigh":"3,563.60","yLow":"2,633.10"}],"declines":17,"trdValueSum":"1,282.84","data":[{"symbol":"L&amp;TFH","open":"74.00","high":"78.45","low":"72.95","ltP":"77.70","ptsC":"3.95","per":"5.36","trdVol":"77.98","trdVolM":"7.80","ntP":"59.71","mVal":"0.60","wkhi":"78.45","wklo":"48.25","wkhicm_adj":"88.25","wklocm_adj":"62.30","xDt":"31-DEC-2999","cAct":"-","yPC":"21.98","mPC":"8.37"},{"symbol":"IDFC","open":"50.35","high":"53.50","low":"49.25","ltP":"52.00","ptsC":"2.35","per":"4.73","trdVol":"69.14","trdVolM":"6.91","ntP":"35.88","mVal":"0.36","wkhi":"163.60","wklo":"34.80","wkhicm_adj":"166.65","wklocm_adj":"88.05","xDt":"31-DEC-2999","cAct":"-","yPC":"-66.02","mPC":"11.95"},{"symbol":"PAGEIND","open":"13,500.00","high":"14,021.00","low":"13,500.00","ltP":"13,931.60","ptsC":"459.35","per":"3.41","trdVol":"0.14","trdVolM":"0.01","ntP":"19.33","mVal":"0.19","wkhi":"17,000.00","wklo":"9,752.35","wkhicm_adj":"10,390.00","wklocm_adj":"5,010.00","xDt":"31-DEC-2999","cAct":"-","yPC":"-8.42","mPC":"7.34"},{"symbol":"SYNDIBANK","open":"65.25","high":"66.60","low":"64.40","ltP":"66.00","ptsC":"1.80","per":"2.80","trdVol":"20.73","trdVolM":"2.07","ntP":"13.57","mVal":"0.14","wkhi":"118.30","wklo":"49.40","wkhicm_adj":"180.00","wklocm_adj":"77.60","xDt":"31-DEC-2999","cAct":"-","yPC":"-42.96","mPC":"-5.92"},{"symbol":"TATACOMM","open":"454.00","high":"473.50","low":"451.80","ltP":"471.85","ptsC":"12.45","per":"2.71","trdVol":"4.08","trdVolM":"0.41","ntP":"18.94","mVal":"0.19","wkhi":"491.35","wklo":"325.00","wkhicm_adj":"462.40","wklocm_adj":"258.50","xDt":"31-DEC-2999","cAct":"-","yPC":"9.67","mPC":"12.53"},{"symbol":"SRF","open":"1,270.00","high":"1,295.00","low":"1,265.65","ltP":"1,293.45","ptsC":"32.90","per":"2.61","trdVol":"1.82","trdVolM":"0.18","ntP":"23.37","mVal":"0.23","wkhi":"1,498.85","wklo":"990.00","wkhicm_adj":"958.80","wklocm_adj":"170.00","xDt":"31-DEC-2999","cAct":"-","yPC":"28.01","mPC":"-4.60"},{"symbol":"BATAINDIA","open":"558.65","high":"571.30","low":"557.50","ltP":"569.00","ptsC":"11.70","per":"2.10","trdVol":"5.58","trdVolM":"0.56","ntP":"31.65","mVal":"0.32","wkhi":"622.00","wklo":"438.00","wkhicm_adj":"1,413.40","wklocm_adj":"894.55","xDt":"31-DEC-2999","cAct":"-","yPC":"-45.99","mPC":"0.82"},{"symbol":"PETRONET","open":"274.80","high":"279.80","low":"270.20","ltP":"278.40","ptsC":"5.25","per":"1.92","trdVol":"4.32","trdVolM":"0.43","ntP":"11.88","mVal":"0.12","wkhi":"284.80","wklo":"163.55","wkhicm_adj":"208.80","wklocm_adj":"102.60","xDt":"31-DEC-2999","cAct":"-","yPC":"51.63","mPC":"5.63"},{"symbol":"GMRINFRA","open":"11.60","high":"11.65","low":"11.35","ltP":"11.60","ptsC":"0.15","per":"1.31","trdVol":"40.41","trdVolM":"4.04","ntP":"4.66","mVal":"0.05","wkhi":"18.55","wklo":"9.75","wkhicm_adj":"38.25","wklocm_adj":"17.15","xDt":"31-DEC-2999","cAct":"-","yPC":"-19.72","mPC":"-6.83"},{"symbol":"UNIONBANK","open":"117.90","high":"117.90","low":"114.50","ltP":"116.50","ptsC":"1.35","per":"1.17","trdVol":"19.51","trdVolM":"1.95","ntP":"22.67","mVal":"0.23","wkhi":"222.70","wklo":"104.00","wkhicm_adj":"259.65","wklocm_adj":"100.50","xDt":"31-DEC-2999","cAct":"-","yPC":"-32.07","mPC":"-11.64"},{"symbol":"MINDTREE","open":"667.60","high":"681.80","low":"667.60","ltP":"674.75","ptsC":"7.15","per":"1.07","trdVol":"2.37","trdVolM":"0.24","ntP":"16.02","mVal":"0.16","wkhi":"804.50","wklo":"594.03","wkhicm_adj":"1,268.30","wklocm_adj":"648.75","xDt":"11-APR-2016","cAct":"INTERIM DIVIDEND - RS 2\/- PER SHARE (PURPOSE REVISED)","yPC":"-6.86","mPC":"-3.57"},{"symbol":"RELINFRA","open":"550.00","high":"552.90","low":"541.00","ltP":"547.20","ptsC":"5.50","per":"1.02","trdVol":"22.28","trdVolM":"2.23","ntP":"122.01","mVal":"1.22","wkhi":"621.90","wklo":"281.55","wkhicm_adj":"819.90","wklocm_adj":"350.30","xDt":"31-DEC-2999","cAct":"-","yPC":"31.32","mPC":"-0.53"},{"symbol":"CANBK","open":"194.05","high":"195.70","low":"188.70","ltP":"194.45","ptsC":"1.80","per":"0.93","trdVol":"33.23","trdVolM":"3.32","ntP":"64.00","mVal":"0.64","wkhi":"360.45","wklo":"156.00","wkhicm_adj":"498.00","wklocm_adj":"209.00","xDt":"31-DEC-2999","cAct":"-","yPC":"-43.06","mPC":"-8.24"},{"symbol":"DISHTV","open":"87.00","high":"88.00","low":"85.40","ltP":"87.50","ptsC":"0.80","per":"0.92","trdVol":"28.55","trdVolM":"2.86","ntP":"24.82","mVal":"0.25","wkhi":"121.65","wklo":"65.20","wkhicm_adj":"65.90","wklocm_adj":"43.15","xDt":"31-DEC-2999","cAct":"-","yPC":"-9.84","mPC":"-3.74"},{"symbol":"GODREJIND","open":"348.00","high":"356.95","low":"346.15","ltP":"351.05","ptsC":"3.20","per":"0.92","trdVol":"2.55","trdVolM":"0.26","ntP":"8.99","mVal":"0.09","wkhi":"412.00","wklo":"290.00","wkhicm_adj":"372.80","wklocm_adj":"248.50","xDt":"15-MAR-2016","cAct":"INTERIM DIVIDEND - RE 1.75 PER SHARE (PURPOSE REVISED)","yPC":"-7.01","mPC":"-1.29"},{"symbol":"ENGINERSIN","open":"180.30","high":"184.90","low":"178.40","ltP":"182.00","ptsC":"1.55","per":"0.86","trdVol":"4.96","trdVolM":"0.50","ntP":"9.00","mVal":"0.09","wkhi":"252.20","wklo":"143.10","wkhicm_adj":"331.70","wklocm_adj":"142.50","xDt":"08-MAR-2016","cAct":"INTERIM DIVIDEND - RS 2\/- PER SHARE (PURPOSE REVISED)","yPC":"-8.95","mPC":"-1.46"},{"symbol":"JINDALSTEL","open":"62.60","high":"63.25","low":"61.40","ltP":"62.10","ptsC":"0.50","per":"0.81","trdVol":"37.52","trdVolM":"3.75","ntP":"23.36","mVal":"0.23","wkhi":"128.70","wklo":"48.10","wkhicm_adj":"351.00","wklocm_adj":"127.70","xDt":"31-DEC-2999","cAct":"-","yPC":"-47.44","mPC":"-19.14"},{"symbol":"HEXAWARE","open":"216.90","high":"218.75","low":"215.20","ltP":"217.40","ptsC":"1.70","per":"0.79","trdVol":"6.07","trdVolM":"0.61","ntP":"13.19","mVal":"0.13","wkhi":"298.50","wklo":"201.50","wkhicm_adj":"226.25","wklocm_adj":"111.90","xDt":"13-MAY-2016","cAct":"INTERIM DIVIDEND - RS 2.50\/- PER SHARE","yPC":"-23.22","mPC":"-10.94"},{"symbol":"ADANIPOWER","open":"30.25","high":"30.50","low":"29.75","ltP":"30.25","ptsC":"0.20","per":"0.67","trdVol":"29.96","trdVolM":"3.00","ntP":"9.02","mVal":"0.09","wkhi":"40.15","wklo":"19.60","wkhicm_adj":"68.35","wklocm_adj":"31.80","xDt":"31-DEC-2999","cAct":"-","yPC":"-21.53","mPC":"-6.35"},{"symbol":"AJANTPHARM","open":"1,524.05","high":"1,555.00","low":"1,524.05","ltP":"1,538.50","ptsC":"8.30","per":"0.54","trdVol":"0.53","trdVolM":"0.05","ntP":"8.24","mVal":"0.08","wkhi":"1,720.00","wklo":"1,101.05","wkhicm_adj":"2,526.95","wklocm_adj":"776.65","xDt":"31-DEC-2999","cAct":"-","yPC":"6.01","mPC":"0.40"},{"symbol":"M&amp;MFIN","open":"324.80","high":"330.45","low":"321.95","ltP":"326.50","ptsC":"1.65","per":"0.51","trdVol":"5.82","trdVolM":"0.58","ntP":"19.01","mVal":"0.19","wkhi":"330.45","wklo":"173.10","wkhicm_adj":"356.50","wklocm_adj":"229.25","xDt":"31-DEC-2999","cAct":"-","yPC":"22.51","mPC":"6.46"},{"symbol":"FEDERALBNK","open":"53.00","high":"53.30","low":"52.30","ltP":"52.80","ptsC":"0.25","per":"0.48","trdVol":"25.34","trdVolM":"2.53","ntP":"13.37","mVal":"0.13","wkhi":"79.80","wklo":"41.35","wkhicm_adj":"152.95","wklocm_adj":"72.35","xDt":"31-DEC-2999","cAct":"-","yPC":"-26.08","mPC":"10.00"},{"symbol":"TATAGLOBAL","open":"118.00","high":"119.65","low":"117.30","ltP":"117.85","ptsC":"0.55","per":"0.47","trdVol":"5.54","trdVolM":"0.55","ntP":"6.58","mVal":"0.07","wkhi":"150.30","wklo":"100.00","wkhicm_adj":"177.15","wklocm_adj":"135.25","xDt":"31-DEC-2999","cAct":"-","yPC":"-18.67","mPC":"-3.72"},{"symbol":"EXIDEIND","open":"158.00","high":"160.00","low":"156.80","ltP":"158.20","ptsC":"0.65","per":"0.41","trdVol":"3.74","trdVolM":"0.37","ntP":"5.93","mVal":"0.06","wkhi":"168.60","wklo":"116.00","wkhicm_adj":"183.40","wklocm_adj":"99.00","xDt":"31-DEC-2999","cAct":"-","yPC":"2.73","mPC":"5.82"},{"symbol":"IDBI","open":"68.20","high":"68.70","low":"66.60","ltP":"67.70","ptsC":"0.25","per":"0.37","trdVol":"20.22","trdVolM":"2.02","ntP":"13.67","mVal":"0.14","wkhi":"95.70","wklo":"47.25","wkhicm_adj":"116.40","wklocm_adj":"52.90","xDt":"31-DEC-2999","cAct":"-","yPC":"-4.18","mPC":"-4.51"},{"symbol":"WOCKPHARMA","open":"934.30","high":"945.00","low":"923.00","ltP":"930.00","ptsC":"3.35","per":"0.36","trdVol":"4.22","trdVolM":"0.42","ntP":"39.42","mVal":"0.39","wkhi":"1,745.00","wklo":"705.75","wkhicm_adj":"887.00","wklocm_adj":"336.55","xDt":"31-DEC-2999","cAct":"-","yPC":"-35.10","mPC":"-9.61"},{"symbol":"JSWENERGY","open":"72.50","high":"74.40","low":"70.65","ltP":"71.95","ptsC":"0.25","per":"0.35","trdVol":"16.62","trdVolM":"1.66","ntP":"12.02","mVal":"0.12","wkhi":"114.30","wklo":"59.00","wkhicm_adj":"97.40","wklocm_adj":"39.85","xDt":"31-DEC-2999","cAct":"-","yPC":"-35.64","mPC":"6.04"},{"symbol":"RPOWER","open":"53.05","high":"53.50","low":"52.10","ltP":"52.40","ptsC":"0.15","per":"0.29","trdVol":"27.21","trdVolM":"2.72","ntP":"14.32","mVal":"0.14","wkhi":"61.25","wklo":"33.10","wkhicm_adj":"113.30","wklocm_adj":"60.00","xDt":"31-DEC-2999","cAct":"-","yPC":"-1.13","mPC":"-1.69"},{"symbol":"ADANIENT","open":"73.90","high":"74.65","low":"72.75","ltP":"73.55","ptsC":"0.20","per":"0.27","trdVol":"8.33","trdVolM":"0.83","ntP":"6.14","mVal":"0.06","wkhi":"791.00","wklo":"58.20","wkhicm_adj":"585.00","wklocm_adj":"210.10","xDt":"22-MAR-2016","cAct":"INTERIM DIVIDEND - RE 0.40\/- PER SHARE (PURPOSE REVISED)","yPC":"-89.99","mPC":"-14.23"},{"symbol":"VOLTAS","open":"337.40","high":"342.90","low":"334.40","ltP":"337.70","ptsC":"0.90","per":"0.27","trdVol":"7.72","trdVolM":"0.77","ntP":"26.17","mVal":"0.26","wkhi":"359.90","wklo":"211.00","wkhicm_adj":"286.45","wklocm_adj":"96.85","xDt":"31-DEC-2999","cAct":"-","yPC":"2.18","mPC":"11.86"},{"symbol":"RELCAPITAL","open":"417.75","high":"420.90","low":"412.10","ltP":"414.85","ptsC":"0.85","per":"0.21","trdVol":"18.50","trdVolM":"1.85","ntP":"77.07","mVal":"0.77","wkhi":"471.00","wklo":"246.35","wkhicm_adj":"669.90","wklocm_adj":"304.50","xDt":"31-DEC-2999","cAct":"-","yPC":"7.20","mPC":"2.71"},{"symbol":"APOLLOTYRE","open":"157.90","high":"159.10","low":"154.30","ltP":"156.90","ptsC":"0.05","per":"0.03","trdVol":"5.55","trdVolM":"0.56","ntP":"8.70","mVal":"0.09","wkhi":"223.40","wklo":"127.05","wkhicm_adj":"242.95","wklocm_adj":"77.50","xDt":"31-DEC-2999","cAct":"-","yPC":"-13.84","mPC":"-5.74"},{"symbol":"ALBK","open":"53.60","high":"54.00","low":"52.20","ltP":"52.70","ptsC":"0.00","per":"0.00","trdVol":"14.68","trdVolM":"1.47","ntP":"7.77","mVal":"0.08","wkhi":"108.25","wklo":"39.40","wkhicm_adj":"150.00","wklocm_adj":"72.20","xDt":"31-DEC-2999","cAct":"-","yPC":"-50.02","mPC":"-11.58"},{"symbol":"IRB","open":"219.95","high":"221.70","low":"216.70","ltP":"218.75","ptsC":"-0.15","per":"-0.07","trdVol":"6.42","trdVolM":"0.64","ntP":"14.06","mVal":"0.14","wkhi":"272.00","wklo":"197.10","wkhicm_adj":"289.65","wklocm_adj":"67.20","xDt":"16-MAR-2016","cAct":"INTERIM DIVIDEND - RS 2\/- PER SHARE (PURPOSE REVISED)","yPC":"-11.28","mPC":"1.39"},{"symbol":"ARVIND","open":"315.50","high":"318.00","low":"313.35","ltP":"314.95","ptsC":"-0.40","per":"-0.13","trdVol":"5.89","trdVolM":"0.59","ntP":"18.56","mVal":"0.19","wkhi":"365.70","wklo":"216.30","wkhicm_adj":"341.50","wklocm_adj":"119.00","xDt":"31-DEC-2999","cAct":"-","yPC":"32.22","mPC":"8.14"},{"symbol":"MRF","open":"33,719.00","high":"33,840.00","low":"33,222.10","ltP":"33,482.80","ptsC":"-59.40","per":"-0.18","trdVol":"0.02","trdVolM":"0.00","ntP":"7.28","mVal":"0.07","wkhi":"46,399.00","wklo":"31,002.00","wkhicm_adj":"33,980.00","wklocm_adj":"17,070.00","xDt":"31-DEC-2999","cAct":"-","yPC":"-5.37","mPC":"-3.75"},{"symbol":"BANKINDIA","open":"87.55","high":"88.45","low":"85.50","ltP":"86.55","ptsC":"-0.40","per":"-0.46","trdVol":"22.89","trdVolM":"2.29","ntP":"19.81","mVal":"0.20","wkhi":"205.00","wklo":"78.40","wkhicm_adj":"357.00","wklocm_adj":"165.55","xDt":"31-DEC-2999","cAct":"-","yPC":"-54.89","mPC":"-10.59"},{"symbol":"CENTURYTEX","open":"627.40","high":"628.90","low":"616.85","ltP":"619.60","ptsC":"-3.60","per":"-0.58","trdVol":"3.02","trdVolM":"0.30","ntP":"18.78","mVal":"0.19","wkhi":"748.60","wklo":"403.00","wkhicm_adj":"664.40","wklocm_adj":"248.25","xDt":"31-DEC-2999","cAct":"-","yPC":"-6.62","mPC":"-1.55"},{"symbol":"STAR","open":"1,128.50","high":"1,130.00","low":"1,100.10","ltP":"1,114.00","ptsC":"-6.85","per":"-0.61","trdVol":"1.15","trdVolM":"0.11","ntP":"12.79","mVal":"0.13","wkhi":"1,414.00","wklo":"847.00","wkhicm_adj":"1,045.00","wklocm_adj":"310.15","xDt":"31-DEC-2999","cAct":"-","yPC":"-8.73","mPC":"0.91"},{"symbol":"SUNTV","open":"387.00","high":"387.00","low":"373.50","ltP":"379.10","ptsC":"-3.20","per":"-0.84","trdVol":"6.48","trdVolM":"0.65","ntP":"24.59","mVal":"0.25","wkhi":"436.80","wklo":"255.80","wkhicm_adj":"477.00","wklocm_adj":"300.00","xDt":"21-MAR-2016","cAct":"INTERIM DIVIDEND - RS 7.50\/- PER SHARE (PURPOSE REVISED)","yPC":"-2.05","mPC":"6.35"},{"symbol":"HAVELLS","open":"374.50","high":"377.80","low":"370.35","ltP":"371.50","ptsC":"-3.40","per":"-0.91","trdVol":"10.37","trdVolM":"1.04","ntP":"38.63","mVal":"0.39","wkhi":"378.40","wklo":"235.30","wkhicm_adj":"326.50","wklocm_adj":"143.57","xDt":"31-DEC-2999","cAct":"-","yPC":"36.91","mPC":"7.93"},{"symbol":"CESC","open":"563.70","high":"563.70","low":"552.35","ltP":"556.95","ptsC":"-5.40","per":"-0.96","trdVol":"1.46","trdVolM":"0.15","ntP":"8.12","mVal":"0.08","wkhi":"624.30","wklo":"404.55","wkhicm_adj":"827.45","wklocm_adj":"374.40","xDt":"17-MAR-2016","cAct":"INTERIM DIVIDEND - RS 10\/- PER SHARE (PURPOSE REVISED)","yPC":"1.71","mPC":"0.66"},{"symbol":"JUSTDIAL","open":"656.00","high":"661.95","low":"641.20","ltP":"646.20","ptsC":"-8.05","per":"-1.23","trdVol":"7.48","trdVolM":"0.75","ntP":"48.58","mVal":"0.49","wkhi":"1,290.00","wklo":"375.70","wkhicm_adj":"1,894.40","wklocm_adj":"982.60","xDt":"31-DEC-2999","cAct":"-","yPC":"-42.54","mPC":"-23.95"},{"symbol":"TVSMOTOR","open":"292.10","high":"293.95","low":"283.75","ltP":"287.50","ptsC":"-3.60","per":"-1.24","trdVol":"10.94","trdVolM":"1.09","ntP":"31.39","mVal":"0.31","wkhi":"340.85","wklo":"201.00","wkhicm_adj":"266.70","wklocm_adj":"52.50","xDt":"17-MAR-2016","cAct":"INTERIM DIVIDEND - RS 1.50 PER SHARE (PURPOSE REVISED)","yPC":"21.93","mPC":"-12.31"},{"symbol":"IGL","open":"574.00","high":"575.60","low":"565.30","ltP":"566.75","ptsC":"-7.55","per":"-1.31","trdVol":"1.65","trdVolM":"0.16","ntP":"9.35","mVal":"0.09","wkhi":"608.00","wklo":"375.35","wkhicm_adj":"458.80","wklocm_adj":"238.05","xDt":"31-DEC-2999","cAct":"-","yPC":"41.63","mPC":"-0.92"},{"symbol":"PCJEWELLER","open":"368.00","high":"370.00","low":"361.65","ltP":"363.20","ptsC":"-4.90","per":"-1.33","trdVol":"0.91","trdVolM":"0.09","ntP":"3.33","mVal":"0.03","wkhi":"493.40","wklo":"295.80","wkhicm_adj":"278.00","wklocm_adj":"72.00","xDt":"31-DEC-2999","cAct":"-","yPC":"-1.98","mPC":"-0.53"},{"symbol":"AMARAJABAT","open":"865.35","high":"866.90","low":"846.00","ltP":"849.60","ptsC":"-11.60","per":"-1.35","trdVol":"1.35","trdVolM":"0.14","ntP":"11.55","mVal":"0.12","wkhi":"1,128.00","wklo":"774.15","wkhicm_adj":"794.00","wklocm_adj":"315.05","xDt":"22-MAR-2016","cAct":"INTERIM DIVIDEND - RS 4.25\/- PER SHARE (PURPOSE REVISED)","yPC":"-1.67","mPC":"-9.72"},{"symbol":"BIOCON","open":"703.90","high":"707.50","low":"686.05","ltP":"689.65","ptsC":"-9.80","per":"-1.40","trdVol":"4.68","trdVolM":"0.47","ntP":"32.44","mVal":"0.32","wkhi":"717.00","wklo":"395.30","wkhicm_adj":"553.60","wklocm_adj":"378.65","xDt":"17-MAR-2016","cAct":"INTERIM DIVIDEND - RS 5\/- PER SHARE (PURPOSE REVISED)","yPC":"55.92","mPC":"20.59"},{"symbol":"TATACHEM","open":"434.95","high":"441.00","low":"423.50","ltP":"425.55","ptsC":"-6.90","per":"-1.60","trdVol":"4.40","trdVolM":"0.44","ntP":"18.80","mVal":"0.19","wkhi":"526.00","wklo":"309.60","wkhicm_adj":"442.75","wklocm_adj":"244.20","xDt":"31-DEC-2999","cAct":"-","yPC":"-2.16","mPC":"1.76"},{"symbol":"JUBLFOOD","open":"1,094.00","high":"1,094.00","low":"1,011.10","ltP":"1,028.90","ptsC":"-83.05","per":"-7.47","trdVol":"16.65","trdVolM":"1.67","ntP":"174.30","mVal":"1.74","wkhi":"1,959.50","wklo":"887.35","wkhicm_adj":"1,497.40","wklocm_adj":"937.70","xDt":"31-DEC-2999","cAct":"-","yPC":"-41.44","mPC":"-22.78"}],"trdValueSumMil":"12.83","unchanged":1,"trdVolumesum":"680.98","advances":32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</si>
</sst>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</cellXfs>
  <cellStyles count="2">
    <cellStyle name="Normal" xfId="0" builtinId="0"/>
    <cellStyle name="Percent" xfId="1" builtinId="5"/>
  </cellStyles>
  <dxfs count="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Midcap50StockWatch_1" refreshOnLoad="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juniorNiftyStockWatch_1" refreshOnLoad="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niftyStockWatch_1" refreshOnLoad="1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juniorNiftyStockWatch" refreshOnLoad="1" growShrinkType="overwriteClear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iftyStockWatch" refreshOnLoad="1" growShrinkType="overwriteClear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niftyMidcap50StockWatch" refreshOnLoad="1" growShrinkType="overwriteClear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0"/>
  <sheetViews>
    <sheetView tabSelected="1" topLeftCell="M492" workbookViewId="0">
      <selection activeCell="P500" sqref="P500"/>
    </sheetView>
  </sheetViews>
  <sheetFormatPr defaultRowHeight="15" x14ac:dyDescent="0.25"/>
  <cols>
    <col min="1" max="1" width="25" customWidth="1"/>
    <col min="2" max="2" width="255.7109375" hidden="1" customWidth="1"/>
    <col min="3" max="3" width="14.85546875" style="1" bestFit="1" customWidth="1"/>
    <col min="4" max="4" width="11.5703125" customWidth="1"/>
    <col min="5" max="5" width="81.140625" customWidth="1"/>
    <col min="6" max="6" width="11" customWidth="1"/>
    <col min="7" max="7" width="9.140625" customWidth="1"/>
    <col min="8" max="8" width="16.85546875" bestFit="1" customWidth="1"/>
    <col min="9" max="10" width="9.140625" customWidth="1"/>
    <col min="11" max="11" width="17" bestFit="1" customWidth="1"/>
    <col min="14" max="16" width="81.140625" bestFit="1" customWidth="1"/>
  </cols>
  <sheetData>
    <row r="1" spans="1:13" ht="22.5" customHeight="1" x14ac:dyDescent="0.25">
      <c r="D1" s="2" t="s">
        <v>0</v>
      </c>
      <c r="E1" s="3" t="s">
        <v>166</v>
      </c>
    </row>
    <row r="2" spans="1:13" x14ac:dyDescent="0.25">
      <c r="A2" t="str">
        <f>MID(M2, 14, 4)</f>
        <v/>
      </c>
    </row>
    <row r="3" spans="1:13" x14ac:dyDescent="0.25">
      <c r="D3" t="s">
        <v>66</v>
      </c>
      <c r="E3" t="s">
        <v>167</v>
      </c>
    </row>
    <row r="6" spans="1:13" x14ac:dyDescent="0.25">
      <c r="A6" t="str">
        <f>MID(M6, 14, 4)</f>
        <v/>
      </c>
      <c r="D6" t="s">
        <v>113</v>
      </c>
      <c r="E6" t="s">
        <v>168</v>
      </c>
    </row>
    <row r="8" spans="1:13" x14ac:dyDescent="0.25">
      <c r="C8" s="15" t="s">
        <v>164</v>
      </c>
    </row>
    <row r="9" spans="1:13" x14ac:dyDescent="0.25">
      <c r="A9" t="str">
        <f>MID(M9, 14, 4)</f>
        <v/>
      </c>
      <c r="B9" t="s">
        <v>1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4" t="s">
        <v>7</v>
      </c>
      <c r="I9" s="4" t="s">
        <v>8</v>
      </c>
      <c r="J9" s="4" t="s">
        <v>9</v>
      </c>
      <c r="K9" s="4" t="s">
        <v>59</v>
      </c>
    </row>
    <row r="10" spans="1:13" x14ac:dyDescent="0.25">
      <c r="B10" t="str">
        <f t="shared" ref="B10:B44" si="0">MID($E$1,FIND(C10,$E$1)-1,FIND("}",$E$1,FIND(C10,$E$1))-FIND(C10,$E$1)+1)</f>
        <v>"ACC","open":"1,530.00","high":"1,546.00","low":"1,525.05","ltP":"1,540.00","ptsC":"17.05","per":"1.12","trdVol":"5.44","trdVolM":"0.54","ntP":"83.72","mVal":"0.84","wkhi":"1,546.00","wklo":"1,174.00","wkhicm_adj":"1,564.65","wklocm_adj":"970.15","xDt":"31-DEC-2999","cAct":"-","yPC":"4.71","mPC":"7.73"</v>
      </c>
      <c r="C10" s="5" t="s">
        <v>10</v>
      </c>
      <c r="D10" s="6" t="str">
        <f t="shared" ref="D10:G31" si="1">MID($B10,FIND(D$9,$B10)+LEN(D$9)+3,FIND(CHAR(34),$B10,FIND(D$9,$B10)+LEN(D$9)+3)-(FIND(D$9,$B10)+LEN(D$9)+3))</f>
        <v>1,530.00</v>
      </c>
      <c r="E10" s="6" t="str">
        <f t="shared" si="1"/>
        <v>1,546.00</v>
      </c>
      <c r="F10" s="6" t="str">
        <f t="shared" si="1"/>
        <v>1,525.05</v>
      </c>
      <c r="G10" s="6" t="str">
        <f t="shared" si="1"/>
        <v>1,540.00</v>
      </c>
      <c r="H10" s="7" t="str">
        <f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M10" s="12"/>
    </row>
    <row r="11" spans="1:13" x14ac:dyDescent="0.25">
      <c r="B11" t="str">
        <f t="shared" ref="B11" si="2">MID($E$1,FIND(C11,$E$1)-1,FIND("}",$E$1,FIND(C11,$E$1))-FIND(C11,$E$1)+1)</f>
        <v>"ADANIPORTS","open":"192.70","high":"194.00","low":"185.45","ltP":"188.35","ptsC":"-3.35","per":"-1.75","trdVol":"28.52","trdVolM":"2.85","ntP":"53.94","mVal":"0.54","wkhi":"374.80","wklo":"169.15","wkhicm_adj":"308.75","wklocm_adj":"141.00","xDt":"22-MAR-2016","cAct":"INTERIM DIVIDEND - RS 1.10\/- PER SHARE (PURPOSE REVISED)","yPC":"-43.44","mPC":"-21.93"</v>
      </c>
      <c r="C11" s="5" t="s">
        <v>61</v>
      </c>
      <c r="D11" s="6" t="str">
        <f t="shared" si="1"/>
        <v>192.70</v>
      </c>
      <c r="E11" s="6" t="str">
        <f t="shared" si="1"/>
        <v>194.00</v>
      </c>
      <c r="F11" s="6" t="str">
        <f t="shared" si="1"/>
        <v>185.45</v>
      </c>
      <c r="G11" s="6" t="str">
        <f t="shared" si="1"/>
        <v>188.35</v>
      </c>
      <c r="H11" s="7" t="str">
        <f t="shared" ref="H11:H60" si="3">IF(AND(E11=0, F11=0, D11=0),"  ",IF(E11= D11,"SHORT ",IF(F11= D11,"LONG ",IF(E11&lt;&gt; F11&lt;&gt; D11,"   "))))</f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M11" s="12"/>
    </row>
    <row r="12" spans="1:13" x14ac:dyDescent="0.25">
      <c r="B12" t="str">
        <f t="shared" si="0"/>
        <v>"AMBUJACEM","open":"232.00","high":"232.60","low":"228.65","ltP":"228.85","ptsC":"-1.40","per":"-0.61","trdVol":"8.00","trdVolM":"0.80","ntP":"18.40","mVal":"0.18","wkhi":"257.30","wklo":"185.00","wkhicm_adj":"243.80","wklocm_adj":"150.10","xDt":"31-DEC-2999","cAct":"-","yPC":"-0.48","mPC":"1.58"</v>
      </c>
      <c r="C12" s="5" t="s">
        <v>11</v>
      </c>
      <c r="D12" s="6" t="str">
        <f t="shared" si="1"/>
        <v>232.00</v>
      </c>
      <c r="E12" s="6" t="str">
        <f t="shared" si="1"/>
        <v>232.60</v>
      </c>
      <c r="F12" s="6" t="str">
        <f t="shared" si="1"/>
        <v>228.65</v>
      </c>
      <c r="G12" s="6" t="str">
        <f t="shared" si="1"/>
        <v>228.85</v>
      </c>
      <c r="H12" s="7" t="str">
        <f t="shared" si="3"/>
        <v xml:space="preserve">   </v>
      </c>
      <c r="I12" s="8" t="str">
        <f t="shared" ref="I12:I60" si="4">IF(AND(E12=0,F12=0,D12=0),"  ",IF(D12=F12,ROUND(((SQRT(F12) +0.0833) ^2),0),IF(E12=D12,ROUND(((SQRT(E12) -0.0833) ^2),0),IF(E12&lt;&gt;F12&lt;&gt;D12,"   "))))</f>
        <v xml:space="preserve">   </v>
      </c>
      <c r="J12" s="9" t="str">
        <f t="shared" ref="J12:J60" si="5">IF(AND(E12=0, F12=0, D12=0),"  ",IF(E12= D12,D12+0.005*D12,IF(F12= D12,D12-0.005*D12,IF(E12&lt;&gt; F12&lt;&gt; D12,"   "))))</f>
        <v xml:space="preserve">   </v>
      </c>
      <c r="K12" s="10" t="str">
        <f t="shared" ref="K12:K13" si="6">IF(AND(E12=0, F12=0, D12=0),"  ",IF(E12= D12,(I12-G12)/I12,IF(F12= D12,(G12-I12)/I12,IF(E12&lt;&gt; F12&lt;&gt; D12,"   "))))</f>
        <v xml:space="preserve">   </v>
      </c>
      <c r="M12" s="13"/>
    </row>
    <row r="13" spans="1:13" x14ac:dyDescent="0.25">
      <c r="B13" t="str">
        <f t="shared" si="0"/>
        <v>"ASIANPAINT","open":"994.00","high":"1,004.25","low":"979.55","ltP":"980.80","ptsC":"-17.45","per":"-1.75","trdVol":"12.40","trdVolM":"1.24","ntP":"122.66","mVal":"1.23","wkhi":"1,004.25","wklo":"693.00","wkhicm_adj":"802.20","wklocm_adj":"460.20","xDt":"31-DEC-2999","cAct":"-","yPC":"27.82","mPC":"10.22"</v>
      </c>
      <c r="C13" s="5" t="s">
        <v>12</v>
      </c>
      <c r="D13" s="6" t="str">
        <f t="shared" si="1"/>
        <v>994.00</v>
      </c>
      <c r="E13" s="6" t="str">
        <f t="shared" si="1"/>
        <v>1,004.25</v>
      </c>
      <c r="F13" s="6" t="str">
        <f t="shared" si="1"/>
        <v>979.55</v>
      </c>
      <c r="G13" s="6" t="str">
        <f t="shared" si="1"/>
        <v>980.80</v>
      </c>
      <c r="H13" s="7" t="str">
        <f t="shared" si="3"/>
        <v xml:space="preserve">   </v>
      </c>
      <c r="I13" s="8" t="str">
        <f t="shared" si="4"/>
        <v xml:space="preserve">   </v>
      </c>
      <c r="J13" s="9" t="str">
        <f t="shared" si="5"/>
        <v xml:space="preserve">   </v>
      </c>
      <c r="K13" s="10" t="str">
        <f t="shared" si="6"/>
        <v xml:space="preserve">   </v>
      </c>
      <c r="M13" s="13"/>
    </row>
    <row r="14" spans="1:13" x14ac:dyDescent="0.25">
      <c r="B14" t="str">
        <f t="shared" ref="B14" si="7">MID($E$1,FIND(C14,$E$1)-1,FIND("}",$E$1,FIND(C14,$E$1))-FIND(C14,$E$1)+1)</f>
        <v>"AUROPHARMA","open":"769.95","high":"775.00","low":"753.00","ltP":"757.00","ptsC":"-6.10","per":"-0.80","trdVol":"10.29","trdVolM":"1.03","ntP":"78.79","mVal":"0.79","wkhi":"891.50","wklo":"582.00","wkhicm_adj":"1,152.40","wklocm_adj":"286.55","xDt":"31-DEC-2999","cAct":"-","yPC":"16.09","mPC":"-1.03"</v>
      </c>
      <c r="C14" s="5" t="s">
        <v>62</v>
      </c>
      <c r="D14" s="6" t="str">
        <f t="shared" si="1"/>
        <v>769.95</v>
      </c>
      <c r="E14" s="6" t="str">
        <f t="shared" si="1"/>
        <v>775.00</v>
      </c>
      <c r="F14" s="6" t="str">
        <f t="shared" si="1"/>
        <v>753.00</v>
      </c>
      <c r="G14" s="6" t="str">
        <f t="shared" si="1"/>
        <v>757.00</v>
      </c>
      <c r="H14" s="7" t="str">
        <f t="shared" si="3"/>
        <v xml:space="preserve">   </v>
      </c>
      <c r="I14" s="8" t="str">
        <f t="shared" ref="I14" si="8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9">IF(AND(E14=0, F14=0, D14=0),"  ",IF(E14= D14,D14+0.005*D14,IF(F14= D14,D14-0.005*D14,IF(E14&lt;&gt; F14&lt;&gt; D14,"   "))))</f>
        <v xml:space="preserve">   </v>
      </c>
      <c r="K14" s="10" t="str">
        <f t="shared" ref="K14" si="10">IF(AND(E14=0, F14=0, D14=0),"  ",IF(E14= D14,(I14-G14)/I14,IF(F14= D14,(G14-I14)/I14,IF(E14&lt;&gt; F14&lt;&gt; D14,"   "))))</f>
        <v xml:space="preserve">   </v>
      </c>
      <c r="M14" s="13"/>
    </row>
    <row r="15" spans="1:13" x14ac:dyDescent="0.25">
      <c r="B15" t="str">
        <f t="shared" si="0"/>
        <v>"AXISBANK","open":"513.95","high":"522.05","low":"513.75","ltP":"517.25","ptsC":"4.85","per":"0.95","trdVol":"35.54","trdVolM":"3.55","ntP":"184.29","mVal":"1.84","wkhi":"613.45","wklo":"366.75","wkhicm_adj":"493.20","wklocm_adj":"216.52","xDt":"31-DEC-2999","cAct":"-","yPC":"-9.99","mPC":"11.12"</v>
      </c>
      <c r="C15" s="5" t="s">
        <v>13</v>
      </c>
      <c r="D15" s="6" t="str">
        <f t="shared" si="1"/>
        <v>513.95</v>
      </c>
      <c r="E15" s="6" t="str">
        <f t="shared" si="1"/>
        <v>522.05</v>
      </c>
      <c r="F15" s="6" t="str">
        <f t="shared" si="1"/>
        <v>513.75</v>
      </c>
      <c r="G15" s="6" t="str">
        <f t="shared" si="1"/>
        <v>517.25</v>
      </c>
      <c r="H15" s="7" t="str">
        <f t="shared" si="3"/>
        <v xml:space="preserve">   </v>
      </c>
      <c r="I15" s="8" t="str">
        <f t="shared" si="4"/>
        <v xml:space="preserve">   </v>
      </c>
      <c r="J15" s="9" t="str">
        <f t="shared" si="5"/>
        <v xml:space="preserve">   </v>
      </c>
      <c r="K15" s="10" t="str">
        <f t="shared" ref="K15:K21" si="11">IF(AND(E15=0, F15=0, D15=0),"  ",IF(E15= D15,(I15-G15)/I15,IF(F15= D15,(G15-I15)/I15,IF(E15&lt;&gt; F15&lt;&gt; D15,"   "))))</f>
        <v xml:space="preserve">   </v>
      </c>
      <c r="M15" s="13"/>
    </row>
    <row r="16" spans="1:13" x14ac:dyDescent="0.25">
      <c r="B16" t="str">
        <f t="shared" si="0"/>
        <v>"BAJAJ-AUTO","open":"2,583.00","high":"2,607.95","low":"2,570.60","ltP":"2,604.85","ptsC":"41.15","per":"1.61","trdVol":"2.12","trdVolM":"0.21","ntP":"55.05","mVal":"0.55","wkhi":"2,656.00","wklo":"2,133.65","wkhicm_adj":"2,695.00","wklocm_adj":"1,793.20","xDt":"16-MAR-2016","cAct":"INTERIM DIVIDEND - RS 50\/- PER SHARE (PURPOSE REVISED)","yPC":"13.11","mPC":"2.22"</v>
      </c>
      <c r="C16" s="5" t="s">
        <v>14</v>
      </c>
      <c r="D16" s="6" t="str">
        <f t="shared" si="1"/>
        <v>2,583.00</v>
      </c>
      <c r="E16" s="6" t="str">
        <f t="shared" si="1"/>
        <v>2,607.95</v>
      </c>
      <c r="F16" s="6" t="str">
        <f t="shared" si="1"/>
        <v>2,570.60</v>
      </c>
      <c r="G16" s="6" t="str">
        <f t="shared" si="1"/>
        <v>2,604.85</v>
      </c>
      <c r="H16" s="7" t="str">
        <f t="shared" si="3"/>
        <v xml:space="preserve">   </v>
      </c>
      <c r="I16" s="8" t="str">
        <f t="shared" si="4"/>
        <v xml:space="preserve">   </v>
      </c>
      <c r="J16" s="9" t="str">
        <f t="shared" si="5"/>
        <v xml:space="preserve">   </v>
      </c>
      <c r="K16" s="10" t="str">
        <f t="shared" si="11"/>
        <v xml:space="preserve">   </v>
      </c>
      <c r="M16" s="13"/>
    </row>
    <row r="17" spans="2:13" x14ac:dyDescent="0.25">
      <c r="B17" t="str">
        <f t="shared" si="0"/>
        <v>"BANKBARODA","open":"141.00","high":"141.40","low":"136.50","ltP":"138.95","ptsC":"0.35","per":"0.25","trdVol":"54.73","trdVolM":"5.47","ntP":"75.97","mVal":"0.76","wkhi":"216.30","wklo":"109.35","wkhicm_adj":"1,104.70","wklocm_adj":"511.15","xDt":"31-DEC-2999","cAct":"-","yPC":"-13.21","mPC":"-13.72"</v>
      </c>
      <c r="C17" s="5" t="s">
        <v>15</v>
      </c>
      <c r="D17" s="6" t="str">
        <f t="shared" si="1"/>
        <v>141.00</v>
      </c>
      <c r="E17" s="6" t="str">
        <f t="shared" si="1"/>
        <v>141.40</v>
      </c>
      <c r="F17" s="6" t="str">
        <f t="shared" si="1"/>
        <v>136.50</v>
      </c>
      <c r="G17" s="6" t="str">
        <f t="shared" si="1"/>
        <v>138.95</v>
      </c>
      <c r="H17" s="7" t="str">
        <f t="shared" si="3"/>
        <v xml:space="preserve">   </v>
      </c>
      <c r="I17" s="8" t="str">
        <f t="shared" si="4"/>
        <v xml:space="preserve">   </v>
      </c>
      <c r="J17" s="9" t="str">
        <f t="shared" si="5"/>
        <v xml:space="preserve">   </v>
      </c>
      <c r="K17" s="10" t="str">
        <f t="shared" si="11"/>
        <v xml:space="preserve">   </v>
      </c>
      <c r="M17" s="13"/>
    </row>
    <row r="18" spans="2:13" x14ac:dyDescent="0.25">
      <c r="B18" t="str">
        <f t="shared" si="0"/>
        <v>"BHARTIARTL","open":"353.10","high":"357.20","low":"352.25","ltP":"355.95","ptsC":"4.70","per":"1.34","trdVol":"16.49","trdVolM":"1.65","ntP":"58.46","mVal":"0.58","wkhi":"452.45","wklo":"282.30","wkhicm_adj":"420.00","wklocm_adj":"281.90","xDt":"31-DEC-2999","cAct":"-","yPC":"-11.67","mPC":"-4.58"</v>
      </c>
      <c r="C18" s="5" t="s">
        <v>16</v>
      </c>
      <c r="D18" s="6" t="str">
        <f t="shared" si="1"/>
        <v>353.10</v>
      </c>
      <c r="E18" s="6" t="str">
        <f t="shared" si="1"/>
        <v>357.20</v>
      </c>
      <c r="F18" s="6" t="str">
        <f t="shared" si="1"/>
        <v>352.25</v>
      </c>
      <c r="G18" s="6" t="str">
        <f t="shared" si="1"/>
        <v>355.95</v>
      </c>
      <c r="H18" s="7" t="str">
        <f t="shared" si="3"/>
        <v xml:space="preserve">   </v>
      </c>
      <c r="I18" s="8" t="str">
        <f t="shared" si="4"/>
        <v xml:space="preserve">   </v>
      </c>
      <c r="J18" s="9" t="str">
        <f t="shared" si="5"/>
        <v xml:space="preserve">   </v>
      </c>
      <c r="K18" s="10" t="str">
        <f t="shared" si="11"/>
        <v xml:space="preserve">   </v>
      </c>
      <c r="M18" s="13"/>
    </row>
    <row r="19" spans="2:13" x14ac:dyDescent="0.25">
      <c r="B19" t="str">
        <f t="shared" si="0"/>
        <v>"BHEL","open":"122.90","high":"125.80","low":"121.35","ltP":"122.35","ptsC":"-5.75","per":"-4.49","trdVol":"85.35","trdVolM":"8.54","ntP":"105.44","mVal":"1.05","wkhi":"290.00","wklo":"90.15","wkhicm_adj":"291.50","wklocm_adj":"145.55","xDt":"31-DEC-2999","cAct":"-","yPC":"-51.58","mPC":"-4.23"</v>
      </c>
      <c r="C19" s="5" t="s">
        <v>17</v>
      </c>
      <c r="D19" s="6" t="str">
        <f t="shared" si="1"/>
        <v>122.90</v>
      </c>
      <c r="E19" s="6" t="str">
        <f t="shared" si="1"/>
        <v>125.80</v>
      </c>
      <c r="F19" s="6" t="str">
        <f t="shared" si="1"/>
        <v>121.35</v>
      </c>
      <c r="G19" s="6" t="str">
        <f t="shared" si="1"/>
        <v>122.35</v>
      </c>
      <c r="H19" s="7" t="str">
        <f t="shared" si="3"/>
        <v xml:space="preserve">   </v>
      </c>
      <c r="I19" s="8" t="str">
        <f t="shared" si="4"/>
        <v xml:space="preserve">   </v>
      </c>
      <c r="J19" s="9" t="str">
        <f t="shared" si="5"/>
        <v xml:space="preserve">   </v>
      </c>
      <c r="K19" s="10" t="str">
        <f t="shared" si="11"/>
        <v xml:space="preserve">   </v>
      </c>
      <c r="M19" s="13"/>
    </row>
    <row r="20" spans="2:13" x14ac:dyDescent="0.25">
      <c r="B20" t="str">
        <f t="shared" si="0"/>
        <v>"BOSCHLTD","open":"21,811.00","high":"22,197.95","low":"21,811.00","ltP":"22,190.00","ptsC":"243.00","per":"1.11","trdVol":"0.08","trdVolM":"0.01","ntP":"18.37","mVal":"0.18","wkhi":"26,719.95","wklo":"15,736.05","wkhicm_adj":"19,570.00","wklocm_adj":"8,450.00","xDt":"31-DEC-2999","cAct":"-","yPC":"-3.92","mPC":"9.70"</v>
      </c>
      <c r="C20" s="5" t="s">
        <v>18</v>
      </c>
      <c r="D20" s="6" t="str">
        <f t="shared" si="1"/>
        <v>21,811.00</v>
      </c>
      <c r="E20" s="6" t="str">
        <f t="shared" si="1"/>
        <v>22,197.95</v>
      </c>
      <c r="F20" s="6" t="str">
        <f t="shared" si="1"/>
        <v>21,811.00</v>
      </c>
      <c r="G20" s="6" t="str">
        <f t="shared" si="1"/>
        <v>22,190.00</v>
      </c>
      <c r="H20" s="7" t="str">
        <f t="shared" si="3"/>
        <v xml:space="preserve">LONG </v>
      </c>
      <c r="I20" s="8">
        <f t="shared" si="4"/>
        <v>21836</v>
      </c>
      <c r="J20" s="9">
        <f t="shared" si="5"/>
        <v>21701.945</v>
      </c>
      <c r="K20" s="10">
        <f t="shared" si="11"/>
        <v>1.6211760395676865E-2</v>
      </c>
      <c r="M20" s="13"/>
    </row>
    <row r="21" spans="2:13" x14ac:dyDescent="0.25">
      <c r="B21" t="str">
        <f t="shared" si="0"/>
        <v>"BPCL","open":"1,020.00","high":"1,023.95","low":"993.60","ltP":"997.30","ptsC":"-14.70","per":"-1.45","trdVol":"10.60","trdVolM":"1.06","ntP":"106.31","mVal":"1.06","wkhi":"1,024.70","wklo":"731.15","wkhicm_adj":"785.00","wklocm_adj":"316.05","xDt":"31-DEC-2999","cAct":"-","yPC":"21.96","mPC":"1.52"</v>
      </c>
      <c r="C21" s="5" t="s">
        <v>19</v>
      </c>
      <c r="D21" s="6" t="str">
        <f t="shared" si="1"/>
        <v>1,020.00</v>
      </c>
      <c r="E21" s="6" t="str">
        <f t="shared" si="1"/>
        <v>1,023.95</v>
      </c>
      <c r="F21" s="6" t="str">
        <f t="shared" si="1"/>
        <v>993.60</v>
      </c>
      <c r="G21" s="6" t="str">
        <f t="shared" si="1"/>
        <v>997.30</v>
      </c>
      <c r="H21" s="7" t="str">
        <f t="shared" si="3"/>
        <v xml:space="preserve">   </v>
      </c>
      <c r="I21" s="8" t="str">
        <f t="shared" si="4"/>
        <v xml:space="preserve">   </v>
      </c>
      <c r="J21" s="9" t="str">
        <f t="shared" si="5"/>
        <v xml:space="preserve">   </v>
      </c>
      <c r="K21" s="10" t="str">
        <f t="shared" si="11"/>
        <v xml:space="preserve">   </v>
      </c>
      <c r="M21" s="13"/>
    </row>
    <row r="22" spans="2:13" x14ac:dyDescent="0.25">
      <c r="B22" t="str">
        <f t="shared" si="0"/>
        <v>"CIPLA","open":"476.95","high":"478.50","low":"470.00","ltP":"475.00","ptsC":"1.55","per":"0.33","trdVol":"9.36","trdVolM":"0.94","ntP":"44.46","mVal":"0.44","wkhi":"745.00","wklo":"457.45","wkhicm_adj":"673.00","wklocm_adj":"366.50","xDt":"31-DEC-2999","cAct":"-","yPC":"-26.24","mPC":"-12.07"</v>
      </c>
      <c r="C22" s="5" t="s">
        <v>21</v>
      </c>
      <c r="D22" s="6" t="str">
        <f t="shared" si="1"/>
        <v>476.95</v>
      </c>
      <c r="E22" s="6" t="str">
        <f t="shared" si="1"/>
        <v>478.50</v>
      </c>
      <c r="F22" s="6" t="str">
        <f t="shared" si="1"/>
        <v>470.00</v>
      </c>
      <c r="G22" s="6" t="str">
        <f t="shared" si="1"/>
        <v>475.00</v>
      </c>
      <c r="H22" s="7" t="str">
        <f t="shared" si="3"/>
        <v xml:space="preserve">   </v>
      </c>
      <c r="I22" s="8" t="str">
        <f t="shared" si="4"/>
        <v xml:space="preserve">   </v>
      </c>
      <c r="J22" s="9" t="str">
        <f t="shared" si="5"/>
        <v xml:space="preserve">   </v>
      </c>
      <c r="K22" s="10" t="str">
        <f t="shared" ref="K22:K60" si="12">IF(AND(E22=0, F22=0, D22=0),"  ",IF(E22= D22,(I22-G22)/I22,IF(F22= D22,(G22-I22)/I22,IF(E22&lt;&gt; F22&lt;&gt; D22,"   "))))</f>
        <v xml:space="preserve">   </v>
      </c>
      <c r="M22" s="13"/>
    </row>
    <row r="23" spans="2:13" x14ac:dyDescent="0.25">
      <c r="B23" t="str">
        <f t="shared" si="0"/>
        <v>"COALINDIA","open":"289.25","high":"295.95","low":"288.50","ltP":"293.50","ptsC":"12.20","per":"4.34","trdVol":"141.57","trdVolM":"14.16","ntP":"414.46","mVal":"4.14","wkhi":"447.10","wklo":"271.65","wkhicm_adj":"423.70","wklocm_adj":"240.30","xDt":"14-MAR-2016","cAct":"INTERIM DIVIDEND - RS 27.40\/- PER SHARE (PURPOSE REVISED)","yPC":"-23.44","mPC":"0.89"</v>
      </c>
      <c r="C23" s="5" t="s">
        <v>22</v>
      </c>
      <c r="D23" s="6" t="str">
        <f t="shared" si="1"/>
        <v>289.25</v>
      </c>
      <c r="E23" s="6" t="str">
        <f t="shared" si="1"/>
        <v>295.95</v>
      </c>
      <c r="F23" s="6" t="str">
        <f t="shared" si="1"/>
        <v>288.50</v>
      </c>
      <c r="G23" s="6" t="str">
        <f t="shared" si="1"/>
        <v>293.50</v>
      </c>
      <c r="H23" s="7" t="str">
        <f t="shared" si="3"/>
        <v xml:space="preserve">   </v>
      </c>
      <c r="I23" s="8" t="str">
        <f t="shared" si="4"/>
        <v xml:space="preserve">   </v>
      </c>
      <c r="J23" s="9" t="str">
        <f t="shared" si="5"/>
        <v xml:space="preserve">   </v>
      </c>
      <c r="K23" s="10" t="str">
        <f t="shared" si="12"/>
        <v xml:space="preserve">   </v>
      </c>
      <c r="M23" s="13"/>
    </row>
    <row r="24" spans="2:13" x14ac:dyDescent="0.25">
      <c r="B24" t="str">
        <f t="shared" si="0"/>
        <v>"DRREDDY","open":"3,112.00","high":"3,176.35","low":"3,112.00","ltP":"3,167.00","ptsC":"50.95","per":"1.64","trdVol":"1.85","trdVolM":"0.19","ntP":"58.51","mVal":"0.59","wkhi":"4,386.60","wklo":"2,750.05","wkhicm_adj":"3,666.25","wklocm_adj":"2,246.50","xDt":"31-DEC-2999","cAct":"-","yPC":"-10.23","mPC":"1.16"</v>
      </c>
      <c r="C24" s="5" t="s">
        <v>23</v>
      </c>
      <c r="D24" s="6" t="str">
        <f t="shared" si="1"/>
        <v>3,112.00</v>
      </c>
      <c r="E24" s="6" t="str">
        <f t="shared" si="1"/>
        <v>3,176.35</v>
      </c>
      <c r="F24" s="6" t="str">
        <f t="shared" si="1"/>
        <v>3,112.00</v>
      </c>
      <c r="G24" s="6" t="str">
        <f t="shared" si="1"/>
        <v>3,167.00</v>
      </c>
      <c r="H24" s="7" t="str">
        <f t="shared" si="3"/>
        <v xml:space="preserve">LONG </v>
      </c>
      <c r="I24" s="8">
        <f t="shared" si="4"/>
        <v>3121</v>
      </c>
      <c r="J24" s="9">
        <f t="shared" si="5"/>
        <v>3096.44</v>
      </c>
      <c r="K24" s="10">
        <f t="shared" si="12"/>
        <v>1.4738865748157642E-2</v>
      </c>
      <c r="M24" s="13"/>
    </row>
    <row r="25" spans="2:13" x14ac:dyDescent="0.25">
      <c r="B25" t="str">
        <f t="shared" ref="B25" si="13">MID($E$1,FIND(C25,$E$1)-1,FIND("}",$E$1,FIND(C25,$E$1))-FIND(C25,$E$1)+1)</f>
        <v>"EICHERMOT","open":"18,711.00","high":"18,811.00","low":"18,601.00","ltP":"18,728.95","ptsC":"-13.35","per":"-0.07","trdVol":"0.14","trdVolM":"0.01","ntP":"25.35","mVal":"0.25","wkhi":"21,620.00","wklo":"14,800.00","wkhicm_adj":"15,149.90","wklocm_adj":"4,401.10","xDt":"22-MAR-2016","cAct":"INTERIM DIVIDEND - RS 100\/- PER SHARE","yPC":"4.13","mPC":"-6.89"</v>
      </c>
      <c r="C25" s="5" t="s">
        <v>63</v>
      </c>
      <c r="D25" s="6" t="str">
        <f t="shared" si="1"/>
        <v>18,711.00</v>
      </c>
      <c r="E25" s="6" t="str">
        <f t="shared" si="1"/>
        <v>18,811.00</v>
      </c>
      <c r="F25" s="6" t="str">
        <f t="shared" si="1"/>
        <v>18,601.00</v>
      </c>
      <c r="G25" s="6" t="str">
        <f t="shared" si="1"/>
        <v>18,728.95</v>
      </c>
      <c r="H25" s="7" t="str">
        <f t="shared" si="3"/>
        <v xml:space="preserve">   </v>
      </c>
      <c r="I25" s="8" t="str">
        <f t="shared" ref="I25" si="14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5">IF(AND(E25=0, F25=0, D25=0),"  ",IF(E25= D25,D25+0.005*D25,IF(F25= D25,D25-0.005*D25,IF(E25&lt;&gt; F25&lt;&gt; D25,"   "))))</f>
        <v xml:space="preserve">   </v>
      </c>
      <c r="K25" s="10" t="str">
        <f t="shared" ref="K25" si="16">IF(AND(E25=0, F25=0, D25=0),"  ",IF(E25= D25,(I25-G25)/I25,IF(F25= D25,(G25-I25)/I25,IF(E25&lt;&gt; F25&lt;&gt; D25,"   "))))</f>
        <v xml:space="preserve">   </v>
      </c>
      <c r="M25" s="13"/>
    </row>
    <row r="26" spans="2:13" x14ac:dyDescent="0.25">
      <c r="B26" t="str">
        <f t="shared" si="0"/>
        <v>"GAIL","open":"382.45","high":"384.80","low":"377.10","ltP":"380.00","ptsC":"0.70","per":"0.18","trdVol":"16.41","trdVolM":"1.64","ntP":"62.38","mVal":"0.62","wkhi":"417.90","wklo":"260.05","wkhicm_adj":"551.90","wklocm_adj":"328.80","xDt":"31-DEC-2999","cAct":"-","yPC":"0.01","mPC":"1.82"</v>
      </c>
      <c r="C26" s="5" t="s">
        <v>24</v>
      </c>
      <c r="D26" s="6" t="str">
        <f t="shared" si="1"/>
        <v>382.45</v>
      </c>
      <c r="E26" s="6" t="str">
        <f t="shared" si="1"/>
        <v>384.80</v>
      </c>
      <c r="F26" s="6" t="str">
        <f t="shared" si="1"/>
        <v>377.10</v>
      </c>
      <c r="G26" s="6" t="str">
        <f t="shared" si="1"/>
        <v>380.00</v>
      </c>
      <c r="H26" s="7" t="str">
        <f t="shared" si="3"/>
        <v xml:space="preserve">   </v>
      </c>
      <c r="I26" s="8" t="str">
        <f t="shared" si="4"/>
        <v xml:space="preserve">   </v>
      </c>
      <c r="J26" s="9" t="str">
        <f t="shared" si="5"/>
        <v xml:space="preserve">   </v>
      </c>
      <c r="K26" s="10" t="str">
        <f t="shared" si="12"/>
        <v xml:space="preserve">   </v>
      </c>
      <c r="M26" s="13"/>
    </row>
    <row r="27" spans="2:13" x14ac:dyDescent="0.25">
      <c r="B27" t="str">
        <f t="shared" si="0"/>
        <v>"GRASIM","open":"4,372.25","high":"4,404.35","low":"4,341.25","ltP":"4,355.00","ptsC":"-6.25","per":"-0.14","trdVol":"0.17","trdVolM":"0.02","ntP":"7.62","mVal":"0.08","wkhi":"4,404.35","wklo":"3,233.00","wkhicm_adj":"3,789.00","wklocm_adj":"2,426.35","xDt":"31-DEC-2999","cAct":"-","yPC":"24.01","mPC":"5.41"</v>
      </c>
      <c r="C27" s="5" t="s">
        <v>25</v>
      </c>
      <c r="D27" s="6" t="str">
        <f t="shared" si="1"/>
        <v>4,372.25</v>
      </c>
      <c r="E27" s="6" t="str">
        <f t="shared" si="1"/>
        <v>4,404.35</v>
      </c>
      <c r="F27" s="6" t="str">
        <f t="shared" si="1"/>
        <v>4,341.25</v>
      </c>
      <c r="G27" s="6" t="str">
        <f t="shared" si="1"/>
        <v>4,355.00</v>
      </c>
      <c r="H27" s="7" t="str">
        <f t="shared" si="3"/>
        <v xml:space="preserve">   </v>
      </c>
      <c r="I27" s="8" t="str">
        <f t="shared" si="4"/>
        <v xml:space="preserve">   </v>
      </c>
      <c r="J27" s="9" t="str">
        <f t="shared" si="5"/>
        <v xml:space="preserve">   </v>
      </c>
      <c r="K27" s="10" t="str">
        <f t="shared" si="12"/>
        <v xml:space="preserve">   </v>
      </c>
      <c r="M27" s="13"/>
    </row>
    <row r="28" spans="2:13" x14ac:dyDescent="0.25">
      <c r="B28" t="str">
        <f t="shared" si="0"/>
        <v>"HCLTECH","open":"761.10","high":"763.70","low":"745.20","ltP":"748.10","ptsC":"-9.50","per":"-1.25","trdVol":"13.28","trdVolM":"1.33","ntP":"99.75","mVal":"1.00","wkhi":"1,044.95","wklo":"706.40","wkhicm_adj":"1,776.25","wklocm_adj":"1,057.60","xDt":"05-MAY-2016","cAct":"INTERIM DIVIDEND - RS 6\/- PER SHARE (PURPOSE REVISED)","yPC":"-23.67","mPC":"-10.68"</v>
      </c>
      <c r="C28" s="5" t="s">
        <v>26</v>
      </c>
      <c r="D28" s="6" t="str">
        <f t="shared" si="1"/>
        <v>761.10</v>
      </c>
      <c r="E28" s="6" t="str">
        <f t="shared" si="1"/>
        <v>763.70</v>
      </c>
      <c r="F28" s="6" t="str">
        <f t="shared" si="1"/>
        <v>745.20</v>
      </c>
      <c r="G28" s="6" t="str">
        <f t="shared" si="1"/>
        <v>748.10</v>
      </c>
      <c r="H28" s="7" t="str">
        <f t="shared" si="3"/>
        <v xml:space="preserve">   </v>
      </c>
      <c r="I28" s="8" t="str">
        <f t="shared" si="4"/>
        <v xml:space="preserve">   </v>
      </c>
      <c r="J28" s="9" t="str">
        <f t="shared" si="5"/>
        <v xml:space="preserve">   </v>
      </c>
      <c r="K28" s="10" t="str">
        <f t="shared" si="12"/>
        <v xml:space="preserve">   </v>
      </c>
      <c r="M28" s="13"/>
    </row>
    <row r="29" spans="2:13" x14ac:dyDescent="0.25">
      <c r="B29" t="str">
        <f>MID($E$1,FIND(C29,$E$1,FIND(C29,$E$1)+1)-1,FIND("}",$E$1,FIND(C29,$E$1))-FIND(C29,$E$1)+1)</f>
        <v>"HDFC","open":"1,255.20","high":"1,259.00","low":"1,212.35","ltP":"1,234.60","ptsC":"-20.95","per":"-1.67","trdVol":"25.11","trdVolM":"2.51","ntP":"309.30","mVal":"3.09","wkhi":"1,372.40","wklo":"1,011.45","wkhicm_adj":"1,177.80","wklocm_adj":"755.00","xDt":"30-MAR-2016","cAct":"INTERIM DIVIDEND - RS 3\/-</v>
      </c>
      <c r="C29" s="5" t="s">
        <v>27</v>
      </c>
      <c r="D29" s="6" t="str">
        <f t="shared" si="1"/>
        <v>1,255.20</v>
      </c>
      <c r="E29" s="6" t="str">
        <f t="shared" si="1"/>
        <v>1,259.00</v>
      </c>
      <c r="F29" s="6" t="str">
        <f t="shared" si="1"/>
        <v>1,212.35</v>
      </c>
      <c r="G29" s="6" t="str">
        <f t="shared" si="1"/>
        <v>1,234.60</v>
      </c>
      <c r="H29" s="7" t="str">
        <f t="shared" si="3"/>
        <v xml:space="preserve">   </v>
      </c>
      <c r="I29" s="8" t="str">
        <f t="shared" si="4"/>
        <v xml:space="preserve">   </v>
      </c>
      <c r="J29" s="9" t="str">
        <f t="shared" si="5"/>
        <v xml:space="preserve">   </v>
      </c>
      <c r="K29" s="10" t="str">
        <f t="shared" si="12"/>
        <v xml:space="preserve">   </v>
      </c>
      <c r="M29" s="13"/>
    </row>
    <row r="30" spans="2:13" x14ac:dyDescent="0.25">
      <c r="B30" t="str">
        <f t="shared" si="0"/>
        <v>"HDFCBANK","open":"1,187.00","high":"1,195.00","low":"1,178.10","ltP":"1,179.65","ptsC":"-7.15","per":"-0.60","trdVol":"6.79","trdVolM":"0.68","ntP":"80.53","mVal":"0.81","wkhi":"1,195.00","wklo":"928.00","wkhicm_adj":"965.90","wklocm_adj":"616.80","xDt":"31-DEC-2999","cAct":"-","yPC":"14.60","mPC":"4.93"</v>
      </c>
      <c r="C30" s="5" t="s">
        <v>28</v>
      </c>
      <c r="D30" s="6" t="str">
        <f t="shared" si="1"/>
        <v>1,187.00</v>
      </c>
      <c r="E30" s="6" t="str">
        <f t="shared" si="1"/>
        <v>1,195.00</v>
      </c>
      <c r="F30" s="6" t="str">
        <f t="shared" si="1"/>
        <v>1,178.10</v>
      </c>
      <c r="G30" s="6" t="str">
        <f t="shared" si="1"/>
        <v>1,179.65</v>
      </c>
      <c r="H30" s="7" t="str">
        <f t="shared" si="3"/>
        <v xml:space="preserve">   </v>
      </c>
      <c r="I30" s="8" t="str">
        <f t="shared" si="4"/>
        <v xml:space="preserve">   </v>
      </c>
      <c r="J30" s="9" t="str">
        <f t="shared" si="5"/>
        <v xml:space="preserve">   </v>
      </c>
      <c r="K30" s="10" t="str">
        <f t="shared" si="12"/>
        <v xml:space="preserve">   </v>
      </c>
      <c r="M30" s="13"/>
    </row>
    <row r="31" spans="2:13" x14ac:dyDescent="0.25">
      <c r="B31" t="str">
        <f t="shared" si="0"/>
        <v>"HEROMOTOCO","open":"3,011.00","high":"3,103.90","low":"3,003.00","ltP":"3,096.50","ptsC":"94.00","per":"3.13","trdVol":"3.88","trdVolM":"0.39","ntP":"118.82","mVal":"1.19","wkhi":"3,172.00","wklo":"2,257.20","wkhicm_adj":"3,269.95","wklocm_adj":"1,907.10","xDt":"21-MAR-2016","cAct":"INTERIM DIVIDEND - RS 40\/- PER SHARE","yPC":"17.14","mPC":"4.97"</v>
      </c>
      <c r="C31" s="5" t="s">
        <v>29</v>
      </c>
      <c r="D31" s="6" t="str">
        <f t="shared" si="1"/>
        <v>3,011.00</v>
      </c>
      <c r="E31" s="6" t="str">
        <f t="shared" si="1"/>
        <v>3,103.90</v>
      </c>
      <c r="F31" s="6" t="str">
        <f t="shared" si="1"/>
        <v>3,003.00</v>
      </c>
      <c r="G31" s="6" t="str">
        <f t="shared" si="1"/>
        <v>3,096.50</v>
      </c>
      <c r="H31" s="7" t="str">
        <f t="shared" si="3"/>
        <v xml:space="preserve">   </v>
      </c>
      <c r="I31" s="8" t="str">
        <f t="shared" si="4"/>
        <v xml:space="preserve">   </v>
      </c>
      <c r="J31" s="9" t="str">
        <f t="shared" si="5"/>
        <v xml:space="preserve">   </v>
      </c>
      <c r="K31" s="10" t="str">
        <f t="shared" si="12"/>
        <v xml:space="preserve">   </v>
      </c>
      <c r="M31" s="13"/>
    </row>
    <row r="32" spans="2:13" x14ac:dyDescent="0.25">
      <c r="B32" t="str">
        <f t="shared" si="0"/>
        <v>"HINDALCO","open":"100.00","high":"103.35","low":"98.15","ltP":"103.05","ptsC":"11.15","per":"12.13","trdVol":"344.37","trdVolM":"34.44","ntP":"348.68","mVal":"3.49","wkhi":"134.00","wklo":"58.80","wkhicm_adj":"198.90","wklocm_adj":"96.70","xDt":"31-DEC-2999","cAct":"-","yPC":"-21.69","mPC":"1.28"</v>
      </c>
      <c r="C32" s="5" t="s">
        <v>30</v>
      </c>
      <c r="D32" s="6" t="str">
        <f t="shared" ref="D32:G52" si="17">MID($B32,FIND(D$9,$B32)+LEN(D$9)+3,FIND(CHAR(34),$B32,FIND(D$9,$B32)+LEN(D$9)+3)-(FIND(D$9,$B32)+LEN(D$9)+3))</f>
        <v>100.00</v>
      </c>
      <c r="E32" s="6" t="str">
        <f t="shared" si="17"/>
        <v>103.35</v>
      </c>
      <c r="F32" s="6" t="str">
        <f t="shared" si="17"/>
        <v>98.15</v>
      </c>
      <c r="G32" s="6" t="str">
        <f t="shared" si="17"/>
        <v>103.05</v>
      </c>
      <c r="H32" s="7" t="str">
        <f t="shared" si="3"/>
        <v xml:space="preserve">   </v>
      </c>
      <c r="I32" s="8" t="str">
        <f t="shared" si="4"/>
        <v xml:space="preserve">   </v>
      </c>
      <c r="J32" s="9" t="str">
        <f t="shared" si="5"/>
        <v xml:space="preserve">   </v>
      </c>
      <c r="K32" s="10" t="str">
        <f t="shared" si="12"/>
        <v xml:space="preserve">   </v>
      </c>
      <c r="M32" s="13"/>
    </row>
    <row r="33" spans="2:13" x14ac:dyDescent="0.25">
      <c r="B33" t="str">
        <f t="shared" si="0"/>
        <v>"HINDUNILVR","open":"864.00","high":"867.20","low":"849.75","ltP":"852.95","ptsC":"-8.25","per":"-0.96","trdVol":"5.44","trdVolM":"0.54","ntP":"46.58","mVal":"0.47","wkhi":"944.00","wklo":"766.40","wkhicm_adj":"814.85","wklocm_adj":"537.20","xDt":"31-DEC-2999","cAct":"-","yPC":"0.80","mPC":"-4.40"</v>
      </c>
      <c r="C33" s="5" t="s">
        <v>31</v>
      </c>
      <c r="D33" s="6" t="str">
        <f t="shared" si="17"/>
        <v>864.00</v>
      </c>
      <c r="E33" s="6" t="str">
        <f t="shared" si="17"/>
        <v>867.20</v>
      </c>
      <c r="F33" s="6" t="str">
        <f t="shared" si="17"/>
        <v>849.75</v>
      </c>
      <c r="G33" s="6" t="str">
        <f t="shared" si="17"/>
        <v>852.95</v>
      </c>
      <c r="H33" s="7" t="str">
        <f t="shared" si="3"/>
        <v xml:space="preserve">   </v>
      </c>
      <c r="I33" s="8" t="str">
        <f t="shared" si="4"/>
        <v xml:space="preserve">   </v>
      </c>
      <c r="J33" s="9" t="str">
        <f t="shared" si="5"/>
        <v xml:space="preserve">   </v>
      </c>
      <c r="K33" s="10" t="str">
        <f t="shared" si="12"/>
        <v xml:space="preserve">   </v>
      </c>
      <c r="M33" s="13"/>
    </row>
    <row r="34" spans="2:13" x14ac:dyDescent="0.25">
      <c r="B34" t="str">
        <f t="shared" si="0"/>
        <v>"ICICIBANK","open":"243.25","high":"246.60","low":"238.80","ltP":"244.95","ptsC":"1.80","per":"0.74","trdVol":"116.74","trdVolM":"11.67","ntP":"284.19","mVal":"2.84","wkhi":"321.00","wklo":"180.75","wkhicm_adj":"1,779.00","wklocm_adj":"943.60","xDt":"31-DEC-2999","cAct":"-","yPC":"-22.11","mPC":"0.14"</v>
      </c>
      <c r="C34" s="5" t="s">
        <v>32</v>
      </c>
      <c r="D34" s="6" t="str">
        <f t="shared" si="17"/>
        <v>243.25</v>
      </c>
      <c r="E34" s="6" t="str">
        <f t="shared" si="17"/>
        <v>246.60</v>
      </c>
      <c r="F34" s="6" t="str">
        <f t="shared" si="17"/>
        <v>238.80</v>
      </c>
      <c r="G34" s="6" t="str">
        <f t="shared" si="17"/>
        <v>244.95</v>
      </c>
      <c r="H34" s="7" t="str">
        <f t="shared" si="3"/>
        <v xml:space="preserve">   </v>
      </c>
      <c r="I34" s="8" t="str">
        <f t="shared" si="4"/>
        <v xml:space="preserve">   </v>
      </c>
      <c r="J34" s="9" t="str">
        <f t="shared" si="5"/>
        <v xml:space="preserve">   </v>
      </c>
      <c r="K34" s="10" t="str">
        <f t="shared" si="12"/>
        <v xml:space="preserve">   </v>
      </c>
      <c r="M34" s="13"/>
    </row>
    <row r="35" spans="2:13" x14ac:dyDescent="0.25">
      <c r="B35" t="str">
        <f t="shared" si="0"/>
        <v>"IDEA","open":"112.80","high":"117.35","low":"112.00","ltP":"113.05","ptsC":"0.05","per":"0.04","trdVol":"40.51","trdVolM":"4.05","ntP":"46.51","mVal":"0.47","wkhi":"186.50","wklo":"97.20","wkhicm_adj":"183.70","wklocm_adj":"125.10","xDt":"31-DEC-2999","cAct":"-","yPC":"-33.19","mPC":"-9.56"</v>
      </c>
      <c r="C35" s="5" t="s">
        <v>33</v>
      </c>
      <c r="D35" s="6" t="str">
        <f t="shared" si="17"/>
        <v>112.80</v>
      </c>
      <c r="E35" s="6" t="str">
        <f t="shared" si="17"/>
        <v>117.35</v>
      </c>
      <c r="F35" s="6" t="str">
        <f t="shared" si="17"/>
        <v>112.00</v>
      </c>
      <c r="G35" s="6" t="str">
        <f t="shared" si="17"/>
        <v>113.05</v>
      </c>
      <c r="H35" s="7" t="str">
        <f t="shared" si="3"/>
        <v xml:space="preserve">   </v>
      </c>
      <c r="I35" s="8" t="str">
        <f t="shared" si="4"/>
        <v xml:space="preserve">   </v>
      </c>
      <c r="J35" s="9" t="str">
        <f t="shared" si="5"/>
        <v xml:space="preserve">   </v>
      </c>
      <c r="K35" s="10" t="str">
        <f t="shared" si="12"/>
        <v xml:space="preserve">   </v>
      </c>
      <c r="M35" s="13"/>
    </row>
    <row r="36" spans="2:13" x14ac:dyDescent="0.25">
      <c r="B36" t="str">
        <f t="shared" si="0"/>
        <v>"INDUSINDBK","open":"1,106.20","high":"1,113.55","low":"1,096.90","ltP":"1,101.20","ptsC":"-2.90","per":"-0.26","trdVol":"7.42","trdVolM":"0.74","ntP":"81.89","mVal":"0.82","wkhi":"1,113.55","wklo":"784.00","wkhicm_adj":"776.00","wklocm_adj":"369.50","xDt":"31-DEC-2999","cAct":"-","yPC":"28.75","mPC":"5.88"</v>
      </c>
      <c r="C36" s="5" t="s">
        <v>34</v>
      </c>
      <c r="D36" s="6" t="str">
        <f t="shared" si="17"/>
        <v>1,106.20</v>
      </c>
      <c r="E36" s="6" t="str">
        <f t="shared" si="17"/>
        <v>1,113.55</v>
      </c>
      <c r="F36" s="6" t="str">
        <f t="shared" si="17"/>
        <v>1,096.90</v>
      </c>
      <c r="G36" s="6" t="str">
        <f t="shared" si="17"/>
        <v>1,101.20</v>
      </c>
      <c r="H36" s="7" t="str">
        <f t="shared" si="3"/>
        <v xml:space="preserve">   </v>
      </c>
      <c r="I36" s="8" t="str">
        <f t="shared" si="4"/>
        <v xml:space="preserve">   </v>
      </c>
      <c r="J36" s="9" t="str">
        <f t="shared" si="5"/>
        <v xml:space="preserve">   </v>
      </c>
      <c r="K36" s="10" t="str">
        <f t="shared" si="12"/>
        <v xml:space="preserve">   </v>
      </c>
      <c r="M36" s="13"/>
    </row>
    <row r="37" spans="2:13" x14ac:dyDescent="0.25">
      <c r="B37" t="str">
        <f t="shared" ref="B37" si="18">MID($E$1,FIND(C37,$E$1)-1,FIND("}",$E$1,FIND(C37,$E$1))-FIND(C37,$E$1)+1)</f>
        <v>"INFRATEL","open":"387.80","high":"392.00","low":"385.95","ltP":"387.80","ptsC":"0.95","per":"0.25","trdVol":"6.60","trdVolM":"0.66","ntP":"25.69","mVal":"0.26","wkhi":"499.65","wklo":"341.35","wkhicm_adj":"322.00","wklocm_adj":"156.00","xDt":"31-DEC-2999","cAct":"-","yPC":"-12.01","mPC":"3.22"</v>
      </c>
      <c r="C37" s="5" t="s">
        <v>64</v>
      </c>
      <c r="D37" s="6" t="str">
        <f t="shared" si="17"/>
        <v>387.80</v>
      </c>
      <c r="E37" s="6" t="str">
        <f t="shared" si="17"/>
        <v>392.00</v>
      </c>
      <c r="F37" s="6" t="str">
        <f t="shared" si="17"/>
        <v>385.95</v>
      </c>
      <c r="G37" s="6" t="str">
        <f t="shared" si="17"/>
        <v>387.80</v>
      </c>
      <c r="H37" s="7" t="str">
        <f t="shared" si="3"/>
        <v xml:space="preserve">   </v>
      </c>
      <c r="I37" s="8" t="str">
        <f t="shared" ref="I37" si="19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20">IF(AND(E37=0, F37=0, D37=0),"  ",IF(E37= D37,D37+0.005*D37,IF(F37= D37,D37-0.005*D37,IF(E37&lt;&gt; F37&lt;&gt; D37,"   "))))</f>
        <v xml:space="preserve">   </v>
      </c>
      <c r="K37" s="10" t="str">
        <f t="shared" ref="K37" si="21">IF(AND(E37=0, F37=0, D37=0),"  ",IF(E37= D37,(I37-G37)/I37,IF(F37= D37,(G37-I37)/I37,IF(E37&lt;&gt; F37&lt;&gt; D37,"   "))))</f>
        <v xml:space="preserve">   </v>
      </c>
      <c r="M37" s="13"/>
    </row>
    <row r="38" spans="2:13" x14ac:dyDescent="0.25">
      <c r="B38" t="str">
        <f t="shared" si="0"/>
        <v>"INFY","open":"1,241.50","high":"1,272.00","low":"1,241.50","ltP":"1,270.05","ptsC":"22.55","per":"1.81","trdVol":"20.26","trdVolM":"2.03","ntP":"256.63","mVal":"2.57","wkhi":"1,272.00","wklo":"932.65","wkhicm_adj":"4,402.20","wklocm_adj":"2,880.00","xDt":"31-DEC-2999","cAct":"-","yPC":"25.96","mPC":"2.41"</v>
      </c>
      <c r="C38" s="5" t="s">
        <v>35</v>
      </c>
      <c r="D38" s="6" t="str">
        <f t="shared" si="17"/>
        <v>1,241.50</v>
      </c>
      <c r="E38" s="6" t="str">
        <f t="shared" si="17"/>
        <v>1,272.00</v>
      </c>
      <c r="F38" s="6" t="str">
        <f t="shared" si="17"/>
        <v>1,241.50</v>
      </c>
      <c r="G38" s="6" t="str">
        <f t="shared" si="17"/>
        <v>1,270.05</v>
      </c>
      <c r="H38" s="7" t="str">
        <f t="shared" si="3"/>
        <v xml:space="preserve">LONG </v>
      </c>
      <c r="I38" s="8">
        <f t="shared" si="4"/>
        <v>1247</v>
      </c>
      <c r="J38" s="9">
        <f t="shared" si="5"/>
        <v>1235.2925</v>
      </c>
      <c r="K38" s="10">
        <f t="shared" si="12"/>
        <v>1.8484362469927792E-2</v>
      </c>
      <c r="M38" s="13"/>
    </row>
    <row r="39" spans="2:13" x14ac:dyDescent="0.25">
      <c r="B39" t="str">
        <f t="shared" si="0"/>
        <v>"ITC","open":"353.40","high":"358.50","low":"352.80","ltP":"356.15","ptsC":"5.35","per":"1.53","trdVol":"39.59","trdVolM":"3.96","ntP":"141.08","mVal":"1.41","wkhi":"364.00","wklo":"268.00","wkhicm_adj":"387.50","wklocm_adj":"307.55","xDt":"30-MAY-2016","cAct":"DIVIDEND-RS.8.50 PER SHARE (INCLUDING SPECIAL DIVIDEND OF RS.2\/- PER SHARE).","yPC":"10.79","mPC":"6.78"</v>
      </c>
      <c r="C39" s="5" t="s">
        <v>36</v>
      </c>
      <c r="D39" s="6" t="str">
        <f t="shared" si="17"/>
        <v>353.40</v>
      </c>
      <c r="E39" s="6" t="str">
        <f t="shared" si="17"/>
        <v>358.50</v>
      </c>
      <c r="F39" s="6" t="str">
        <f t="shared" si="17"/>
        <v>352.80</v>
      </c>
      <c r="G39" s="6" t="str">
        <f t="shared" si="17"/>
        <v>356.15</v>
      </c>
      <c r="H39" s="7" t="str">
        <f t="shared" si="3"/>
        <v xml:space="preserve">   </v>
      </c>
      <c r="I39" s="8" t="str">
        <f t="shared" si="4"/>
        <v xml:space="preserve">   </v>
      </c>
      <c r="J39" s="9" t="str">
        <f t="shared" si="5"/>
        <v xml:space="preserve">   </v>
      </c>
      <c r="K39" s="10" t="str">
        <f t="shared" si="12"/>
        <v xml:space="preserve">   </v>
      </c>
      <c r="M39" s="13"/>
    </row>
    <row r="40" spans="2:13" x14ac:dyDescent="0.25">
      <c r="B40" t="str">
        <f t="shared" si="0"/>
        <v>"KOTAKBANK","open":"748.70","high":"754.50","low":"740.05","ltP":"743.35","ptsC":"0.80","per":"0.11","trdVol":"5.26","trdVolM":"0.53","ntP":"39.31","mVal":"0.39","wkhi":"754.50","wklo":"585.75","wkhicm_adj":"1,264.70","wklocm_adj":"630.50","xDt":"31-DEC-2999","cAct":"-","yPC":"8.66","mPC":"4.33"</v>
      </c>
      <c r="C40" s="5" t="s">
        <v>37</v>
      </c>
      <c r="D40" s="6" t="str">
        <f t="shared" si="17"/>
        <v>748.70</v>
      </c>
      <c r="E40" s="6" t="str">
        <f t="shared" si="17"/>
        <v>754.50</v>
      </c>
      <c r="F40" s="6" t="str">
        <f t="shared" si="17"/>
        <v>740.05</v>
      </c>
      <c r="G40" s="6" t="str">
        <f t="shared" si="17"/>
        <v>743.35</v>
      </c>
      <c r="H40" s="7" t="str">
        <f t="shared" si="3"/>
        <v xml:space="preserve">   </v>
      </c>
      <c r="I40" s="8" t="str">
        <f t="shared" si="4"/>
        <v xml:space="preserve">   </v>
      </c>
      <c r="J40" s="9" t="str">
        <f t="shared" si="5"/>
        <v xml:space="preserve">   </v>
      </c>
      <c r="K40" s="10" t="str">
        <f t="shared" si="12"/>
        <v xml:space="preserve">   </v>
      </c>
      <c r="M40" s="13"/>
    </row>
    <row r="41" spans="2:13" x14ac:dyDescent="0.25">
      <c r="B41" s="11" t="str">
        <f>MID($E$1,FIND(C41,$E$1,FIND(C41,E1,FIND(C41,E1)+1)+1)-1,FIND("}",$E$1,FIND(C41,$E$1))-FIND(C41,$E$1)+1)</f>
        <v>CLTECH","open":"761.10","high":"763.70","low":"745.20","ltP":"748.10","ptsC":"-9.50","per":"-1.25","trdVol":"13.28","trdVolM":"1.33","ntP":"99.75","mVal":"1.00","wkhi":"1,044.95","wklo":"706.40","wkhicm_adj":"1,776.25","wklocm_adj":"1,057.60","xDt":"05-MAY-2016","cAct":"INTERIM DIVIDEND - RS 6\/- PER SHARE (PURPO</v>
      </c>
      <c r="C41" s="5" t="s">
        <v>38</v>
      </c>
      <c r="D41" s="6" t="str">
        <f t="shared" si="17"/>
        <v>761.10</v>
      </c>
      <c r="E41" s="6" t="str">
        <f t="shared" si="17"/>
        <v>763.70</v>
      </c>
      <c r="F41" s="6" t="str">
        <f t="shared" si="17"/>
        <v>745.20</v>
      </c>
      <c r="G41" s="6" t="str">
        <f t="shared" si="17"/>
        <v>748.10</v>
      </c>
      <c r="H41" s="7" t="str">
        <f t="shared" si="3"/>
        <v xml:space="preserve">   </v>
      </c>
      <c r="I41" s="8" t="str">
        <f t="shared" si="4"/>
        <v xml:space="preserve">   </v>
      </c>
      <c r="J41" s="9" t="str">
        <f t="shared" si="5"/>
        <v xml:space="preserve">   </v>
      </c>
      <c r="K41" s="10" t="str">
        <f t="shared" si="12"/>
        <v xml:space="preserve">   </v>
      </c>
      <c r="M41" s="13"/>
    </row>
    <row r="42" spans="2:13" x14ac:dyDescent="0.25">
      <c r="B42" t="str">
        <f t="shared" si="0"/>
        <v>"LUPIN","open":"1,489.95","high":"1,493.70","low":"1,454.10","ltP":"1,469.75","ptsC":"-10.35","per":"-0.70","trdVol":"11.19","trdVolM":"1.12","ntP":"164.27","mVal":"1.64","wkhi":"2,129.00","wklo":"1,280.00","wkhicm_adj":"1,497.50","wklocm_adj":"851.50","xDt":"31-DEC-2999","cAct":"-","yPC":"-15.76","mPC":"-6.38"</v>
      </c>
      <c r="C42" s="5" t="s">
        <v>39</v>
      </c>
      <c r="D42" s="6" t="str">
        <f t="shared" si="17"/>
        <v>1,489.95</v>
      </c>
      <c r="E42" s="6" t="str">
        <f t="shared" si="17"/>
        <v>1,493.70</v>
      </c>
      <c r="F42" s="6" t="str">
        <f t="shared" si="17"/>
        <v>1,454.10</v>
      </c>
      <c r="G42" s="6" t="str">
        <f t="shared" si="17"/>
        <v>1,469.75</v>
      </c>
      <c r="H42" s="7" t="str">
        <f t="shared" si="3"/>
        <v xml:space="preserve">   </v>
      </c>
      <c r="I42" s="8" t="str">
        <f t="shared" si="4"/>
        <v xml:space="preserve">   </v>
      </c>
      <c r="J42" s="9" t="str">
        <f t="shared" si="5"/>
        <v xml:space="preserve">   </v>
      </c>
      <c r="K42" s="10" t="str">
        <f t="shared" si="12"/>
        <v xml:space="preserve">   </v>
      </c>
      <c r="M42" s="13"/>
    </row>
    <row r="43" spans="2:13" x14ac:dyDescent="0.25">
      <c r="B43" t="str">
        <f t="shared" si="0"/>
        <v>"M&amp;M","open":"1,334.00","high":"1,350.50","low":"1,312.80","ltP":"1,338.00","ptsC":"4.30","per":"0.32","trdVol":"14.43","trdVolM":"1.44","ntP":"192.37","mVal":"1.92","wkhi":"1,442.05","wklo":"1,091.25","wkhicm_adj":"1,433.70","wklocm_adj":"846.60","xDt":"31-DEC-2999","cAct":"-","yPC":"11.67","mPC":"-3.38"</v>
      </c>
      <c r="C43" s="5" t="s">
        <v>40</v>
      </c>
      <c r="D43" s="6" t="str">
        <f t="shared" si="17"/>
        <v>1,334.00</v>
      </c>
      <c r="E43" s="6" t="str">
        <f t="shared" si="17"/>
        <v>1,350.50</v>
      </c>
      <c r="F43" s="6" t="str">
        <f t="shared" si="17"/>
        <v>1,312.80</v>
      </c>
      <c r="G43" s="6" t="str">
        <f t="shared" si="17"/>
        <v>1,338.00</v>
      </c>
      <c r="H43" s="7" t="str">
        <f t="shared" si="3"/>
        <v xml:space="preserve">   </v>
      </c>
      <c r="I43" s="8" t="str">
        <f t="shared" si="4"/>
        <v xml:space="preserve">   </v>
      </c>
      <c r="J43" s="9" t="str">
        <f t="shared" si="5"/>
        <v xml:space="preserve">   </v>
      </c>
      <c r="K43" s="10" t="str">
        <f t="shared" si="12"/>
        <v xml:space="preserve">   </v>
      </c>
      <c r="M43" s="13"/>
    </row>
    <row r="44" spans="2:13" x14ac:dyDescent="0.25">
      <c r="B44" t="str">
        <f t="shared" si="0"/>
        <v>"MARUTI","open":"4,132.00","high":"4,155.20","low":"4,077.05","ltP":"4,094.00","ptsC":"-52.60","per":"-1.27","trdVol":"3.66","trdVolM":"0.37","ntP":"150.41","mVal":"1.50","wkhi":"4,790.00","wklo":"3,193.25","wkhicm_adj":"3,432.00","wklocm_adj":"1,540.40","xDt":"31-DEC-2999","cAct":"-","yPC":"10.38","mPC":"6.08"</v>
      </c>
      <c r="C44" s="5" t="s">
        <v>41</v>
      </c>
      <c r="D44" s="6" t="str">
        <f t="shared" si="17"/>
        <v>4,132.00</v>
      </c>
      <c r="E44" s="6" t="str">
        <f t="shared" si="17"/>
        <v>4,155.20</v>
      </c>
      <c r="F44" s="6" t="str">
        <f t="shared" si="17"/>
        <v>4,077.05</v>
      </c>
      <c r="G44" s="6" t="str">
        <f t="shared" si="17"/>
        <v>4,094.00</v>
      </c>
      <c r="H44" s="7" t="str">
        <f t="shared" si="3"/>
        <v xml:space="preserve">   </v>
      </c>
      <c r="I44" s="8" t="str">
        <f t="shared" si="4"/>
        <v xml:space="preserve">   </v>
      </c>
      <c r="J44" s="9" t="str">
        <f t="shared" si="5"/>
        <v xml:space="preserve">   </v>
      </c>
      <c r="K44" s="10" t="str">
        <f t="shared" si="12"/>
        <v xml:space="preserve">   </v>
      </c>
      <c r="M44" s="13"/>
    </row>
    <row r="45" spans="2:13" x14ac:dyDescent="0.25">
      <c r="B45" t="str">
        <f t="shared" ref="B45:B60" si="22">MID($E$1,FIND(C45,$E$1)-1,FIND("}",$E$1,FIND(C45,$E$1))-FIND(C45,$E$1)+1)</f>
        <v>"NTPC","open":"140.35","high":"141.50","low":"137.65","ltP":"138.50","ptsC":"-1.60","per":"-1.14","trdVol":"33.26","trdVolM":"3.33","ntP":"46.12","mVal":"0.46","wkhi":"148.85","wklo":"107.10","wkhicm_adj":"168.90","wklocm_adj":"110.65","xDt":"31-DEC-2999","cAct":"-","yPC":"2.86","mPC":"-1.56"</v>
      </c>
      <c r="C45" s="5" t="s">
        <v>42</v>
      </c>
      <c r="D45" s="6" t="str">
        <f t="shared" si="17"/>
        <v>140.35</v>
      </c>
      <c r="E45" s="6" t="str">
        <f t="shared" si="17"/>
        <v>141.50</v>
      </c>
      <c r="F45" s="6" t="str">
        <f t="shared" si="17"/>
        <v>137.65</v>
      </c>
      <c r="G45" s="6" t="str">
        <f t="shared" si="17"/>
        <v>138.50</v>
      </c>
      <c r="H45" s="7" t="str">
        <f t="shared" si="3"/>
        <v xml:space="preserve">   </v>
      </c>
      <c r="I45" s="8" t="str">
        <f t="shared" si="4"/>
        <v xml:space="preserve">   </v>
      </c>
      <c r="J45" s="9" t="str">
        <f t="shared" si="5"/>
        <v xml:space="preserve">   </v>
      </c>
      <c r="K45" s="10" t="str">
        <f t="shared" si="12"/>
        <v xml:space="preserve">   </v>
      </c>
      <c r="M45" s="13"/>
    </row>
    <row r="46" spans="2:13" x14ac:dyDescent="0.25">
      <c r="B46" t="str">
        <f t="shared" si="22"/>
        <v>"ONGC","open":"214.00","high":"215.70","low":"213.50","ltP":"214.00","ptsC":"1.00","per":"0.47","trdVol":"20.70","trdVolM":"2.07","ntP":"44.38","mVal":"0.44","wkhi":"337.20","wklo":"187.75","wkhicm_adj":"471.85","wklocm_adj":"264.15","xDt":"16-MAR-2016","cAct":"INTERIM DIVIDEND - RE 0.75\/- PER SHARE (PURPOSE REVISED)","yPC":"-34.74","mPC":"-3.52"</v>
      </c>
      <c r="C46" s="5" t="s">
        <v>43</v>
      </c>
      <c r="D46" s="6" t="str">
        <f t="shared" si="17"/>
        <v>214.00</v>
      </c>
      <c r="E46" s="6" t="str">
        <f t="shared" si="17"/>
        <v>215.70</v>
      </c>
      <c r="F46" s="6" t="str">
        <f t="shared" si="17"/>
        <v>213.50</v>
      </c>
      <c r="G46" s="6" t="str">
        <f t="shared" si="17"/>
        <v>214.00</v>
      </c>
      <c r="H46" s="7" t="str">
        <f t="shared" si="3"/>
        <v xml:space="preserve">   </v>
      </c>
      <c r="I46" s="8" t="str">
        <f t="shared" si="4"/>
        <v xml:space="preserve">   </v>
      </c>
      <c r="J46" s="9" t="str">
        <f t="shared" si="5"/>
        <v xml:space="preserve">   </v>
      </c>
      <c r="K46" s="10" t="str">
        <f t="shared" si="12"/>
        <v xml:space="preserve">   </v>
      </c>
      <c r="M46" s="13"/>
    </row>
    <row r="47" spans="2:13" x14ac:dyDescent="0.25">
      <c r="B47" t="str">
        <f t="shared" si="22"/>
        <v>"POWERGRID","open":"151.10","high":"152.95","low":"149.35","ltP":"151.60","ptsC":"0.75","per":"0.50","trdVol":"22.89","trdVolM":"2.29","ntP":"34.47","mVal":"0.34","wkhi":"152.95","wklo":"120.55","wkhicm_adj":"150.90","wklocm_adj":"91.65","xDt":"31-DEC-2999","cAct":"-","yPC":"5.87","mPC":"5.02"</v>
      </c>
      <c r="C47" s="5" t="s">
        <v>45</v>
      </c>
      <c r="D47" s="6" t="str">
        <f t="shared" si="17"/>
        <v>151.10</v>
      </c>
      <c r="E47" s="6" t="str">
        <f t="shared" si="17"/>
        <v>152.95</v>
      </c>
      <c r="F47" s="6" t="str">
        <f t="shared" si="17"/>
        <v>149.35</v>
      </c>
      <c r="G47" s="6" t="str">
        <f t="shared" si="17"/>
        <v>151.60</v>
      </c>
      <c r="H47" s="7" t="str">
        <f t="shared" si="3"/>
        <v xml:space="preserve">   </v>
      </c>
      <c r="I47" s="8" t="str">
        <f t="shared" si="4"/>
        <v xml:space="preserve">   </v>
      </c>
      <c r="J47" s="9" t="str">
        <f t="shared" si="5"/>
        <v xml:space="preserve">   </v>
      </c>
      <c r="K47" s="10" t="str">
        <f t="shared" si="12"/>
        <v xml:space="preserve">   </v>
      </c>
      <c r="M47" s="13"/>
    </row>
    <row r="48" spans="2:13" x14ac:dyDescent="0.25">
      <c r="B48" t="str">
        <f t="shared" si="22"/>
        <v>"RELIANCE","open":"976.40","high":"981.50","low":"968.10","ltP":"972.35","ptsC":"-2.35","per":"-0.24","trdVol":"16.23","trdVolM":"1.62","ntP":"157.86","mVal":"1.58","wkhi":"1,089.75","wklo":"818.00","wkhicm_adj":"1,145.25","wklocm_adj":"793.10","xDt":"17-MAR-2016","cAct":"INTERIM DIVIDEND - RS 10.50\/- PER SHARE (PURPOSE REVISED)","yPC":"11.02","mPC":"-4.62"</v>
      </c>
      <c r="C48" s="5" t="s">
        <v>46</v>
      </c>
      <c r="D48" s="6" t="str">
        <f t="shared" si="17"/>
        <v>976.40</v>
      </c>
      <c r="E48" s="6" t="str">
        <f t="shared" si="17"/>
        <v>981.50</v>
      </c>
      <c r="F48" s="6" t="str">
        <f t="shared" si="17"/>
        <v>968.10</v>
      </c>
      <c r="G48" s="6" t="str">
        <f t="shared" si="17"/>
        <v>972.35</v>
      </c>
      <c r="H48" s="7" t="str">
        <f t="shared" si="3"/>
        <v xml:space="preserve">   </v>
      </c>
      <c r="I48" s="8" t="str">
        <f t="shared" si="4"/>
        <v xml:space="preserve">   </v>
      </c>
      <c r="J48" s="9" t="str">
        <f t="shared" si="5"/>
        <v xml:space="preserve">   </v>
      </c>
      <c r="K48" s="10" t="str">
        <f t="shared" si="12"/>
        <v xml:space="preserve">   </v>
      </c>
      <c r="M48" s="13"/>
    </row>
    <row r="49" spans="2:13" x14ac:dyDescent="0.25">
      <c r="B49" t="str">
        <f t="shared" si="22"/>
        <v>"SBIN","open":"200.20","high":"203.90","low":"194.60","ltP":"199.95","ptsC":"4.05","per":"2.07","trdVol":"398.78","trdVolM":"39.88","ntP":"790.99","mVal":"7.91","wkhi":"291.80","wklo":"148.25","wkhicm_adj":"326.95","wklocm_adj":"145.51","xDt":"31-DEC-2999","cAct":"-","yPC":"-27.97","mPC":"1.94"</v>
      </c>
      <c r="C49" s="5" t="s">
        <v>47</v>
      </c>
      <c r="D49" s="6" t="str">
        <f t="shared" si="17"/>
        <v>200.20</v>
      </c>
      <c r="E49" s="6" t="str">
        <f t="shared" si="17"/>
        <v>203.90</v>
      </c>
      <c r="F49" s="6" t="str">
        <f t="shared" si="17"/>
        <v>194.60</v>
      </c>
      <c r="G49" s="6" t="str">
        <f t="shared" si="17"/>
        <v>199.95</v>
      </c>
      <c r="H49" s="7" t="str">
        <f t="shared" si="3"/>
        <v xml:space="preserve">   </v>
      </c>
      <c r="I49" s="8" t="str">
        <f t="shared" si="4"/>
        <v xml:space="preserve">   </v>
      </c>
      <c r="J49" s="9" t="str">
        <f t="shared" si="5"/>
        <v xml:space="preserve">   </v>
      </c>
      <c r="K49" s="10" t="str">
        <f t="shared" si="12"/>
        <v xml:space="preserve">   </v>
      </c>
      <c r="M49" s="13"/>
    </row>
    <row r="50" spans="2:13" x14ac:dyDescent="0.25">
      <c r="B50" t="str">
        <f t="shared" si="22"/>
        <v>"SUNPHARMA","open":"831.00","high":"842.00","low":"808.25","ltP":"814.50","ptsC":"-10.45","per":"-1.27","trdVol":"35.10","trdVolM":"3.51","ntP":"287.65","mVal":"2.88","wkhi":"979.00","wklo":"704.00","wkhicm_adj":"932.50","wklocm_adj":"552.55","xDt":"31-DEC-2999","cAct":"-","yPC":"-14.69","mPC":"0.07"</v>
      </c>
      <c r="C50" s="5" t="s">
        <v>48</v>
      </c>
      <c r="D50" s="6" t="str">
        <f t="shared" si="17"/>
        <v>831.00</v>
      </c>
      <c r="E50" s="6" t="str">
        <f t="shared" si="17"/>
        <v>842.00</v>
      </c>
      <c r="F50" s="6" t="str">
        <f t="shared" si="17"/>
        <v>808.25</v>
      </c>
      <c r="G50" s="6" t="str">
        <f t="shared" si="17"/>
        <v>814.50</v>
      </c>
      <c r="H50" s="7" t="str">
        <f t="shared" si="3"/>
        <v xml:space="preserve">   </v>
      </c>
      <c r="I50" s="8" t="str">
        <f t="shared" si="4"/>
        <v xml:space="preserve">   </v>
      </c>
      <c r="J50" s="9" t="str">
        <f t="shared" si="5"/>
        <v xml:space="preserve">   </v>
      </c>
      <c r="K50" s="10" t="str">
        <f t="shared" si="12"/>
        <v xml:space="preserve">   </v>
      </c>
      <c r="M50" s="13"/>
    </row>
    <row r="51" spans="2:13" x14ac:dyDescent="0.25">
      <c r="B51" t="str">
        <f t="shared" si="22"/>
        <v>"TATAMOTORS","open":"404.80","high":"420.00","low":"401.30","ltP":"417.95","ptsC":"14.05","per":"3.48","trdVol":"127.31","trdVolM":"12.73","ntP":"526.98","mVal":"5.27","wkhi":"490.25","wklo":"265.80","wkhicm_adj":"550.70","wklocm_adj":"332.10","xDt":"31-DEC-2999","cAct":"-","yPC":"-13.71","mPC":"-0.14"</v>
      </c>
      <c r="C51" s="5" t="s">
        <v>49</v>
      </c>
      <c r="D51" s="6" t="str">
        <f t="shared" si="17"/>
        <v>404.80</v>
      </c>
      <c r="E51" s="6" t="str">
        <f t="shared" si="17"/>
        <v>420.00</v>
      </c>
      <c r="F51" s="6" t="str">
        <f t="shared" si="17"/>
        <v>401.30</v>
      </c>
      <c r="G51" s="6" t="str">
        <f t="shared" si="17"/>
        <v>417.95</v>
      </c>
      <c r="H51" s="7" t="str">
        <f t="shared" si="3"/>
        <v xml:space="preserve">   </v>
      </c>
      <c r="I51" s="8" t="str">
        <f t="shared" si="4"/>
        <v xml:space="preserve">   </v>
      </c>
      <c r="J51" s="9" t="str">
        <f t="shared" si="5"/>
        <v xml:space="preserve">   </v>
      </c>
      <c r="K51" s="10" t="str">
        <f t="shared" si="12"/>
        <v xml:space="preserve">   </v>
      </c>
      <c r="M51" s="13"/>
    </row>
    <row r="52" spans="2:13" x14ac:dyDescent="0.25">
      <c r="B52" t="str">
        <f t="shared" ref="B52" si="23">MID($E$1,FIND(C52,$E$1)-1,FIND("}",$E$1,FIND(C52,$E$1))-FIND(C52,$E$1)+1)</f>
        <v>"TATAMTRDVR","open":"272.95","high":"280.75","low":"272.95","ltP":"279.80","ptsC":"8.10","per":"2.98","trdVol":"41.51","trdVolM":"4.15","ntP":"115.46","mVal":"1.15","wkhi":"311.90","wklo":"200.20","wkhicm_adj":"391.35","wklocm_adj":"168.25","xDt":"31-DEC-2999","cAct":"-","yPC":"-6.41","mPC":"-8.05"</v>
      </c>
      <c r="C52" s="5" t="s">
        <v>65</v>
      </c>
      <c r="D52" s="6" t="str">
        <f t="shared" si="17"/>
        <v>272.95</v>
      </c>
      <c r="E52" s="6" t="str">
        <f t="shared" si="17"/>
        <v>280.75</v>
      </c>
      <c r="F52" s="6" t="str">
        <f t="shared" si="17"/>
        <v>272.95</v>
      </c>
      <c r="G52" s="6" t="str">
        <f t="shared" si="17"/>
        <v>279.80</v>
      </c>
      <c r="H52" s="7" t="str">
        <f t="shared" si="3"/>
        <v xml:space="preserve">LONG </v>
      </c>
      <c r="I52" s="8">
        <f t="shared" ref="I52" si="24">IF(AND(E52=0,F52=0,D52=0),"  ",IF(D52=F52,ROUND(((SQRT(F52) +0.0833) ^2),0),IF(E52=D52,ROUND(((SQRT(E52) -0.0833) ^2),0),IF(E52&lt;&gt;F52&lt;&gt;D52,"   "))))</f>
        <v>276</v>
      </c>
      <c r="J52" s="9">
        <f t="shared" ref="J52" si="25">IF(AND(E52=0, F52=0, D52=0),"  ",IF(E52= D52,D52+0.005*D52,IF(F52= D52,D52-0.005*D52,IF(E52&lt;&gt; F52&lt;&gt; D52,"   "))))</f>
        <v>271.58524999999997</v>
      </c>
      <c r="K52" s="10">
        <f t="shared" ref="K52" si="26">IF(AND(E52=0, F52=0, D52=0),"  ",IF(E52= D52,(I52-G52)/I52,IF(F52= D52,(G52-I52)/I52,IF(E52&lt;&gt; F52&lt;&gt; D52,"   "))))</f>
        <v>1.3768115942029027E-2</v>
      </c>
      <c r="M52" s="13"/>
    </row>
    <row r="53" spans="2:13" x14ac:dyDescent="0.25">
      <c r="B53" t="str">
        <f t="shared" si="22"/>
        <v>"TATAPOWER","open":"72.90","high":"76.00","low":"72.30","ltP":"75.15","ptsC":"2.55","per":"3.51","trdVol":"30.51","trdVolM":"3.05","ntP":"22.63","mVal":"0.23","wkhi":"76.85","wklo":"55.00","wkhicm_adj":"115.60","wklocm_adj":"68.65","xDt":"31-DEC-2999","cAct":"-","yPC":"1.42","mPC":"6.22"</v>
      </c>
      <c r="C53" s="5" t="s">
        <v>50</v>
      </c>
      <c r="D53" s="6" t="str">
        <f t="shared" ref="D53:G60" si="27">MID($B53,FIND(D$9,$B53)+LEN(D$9)+3,FIND(CHAR(34),$B53,FIND(D$9,$B53)+LEN(D$9)+3)-(FIND(D$9,$B53)+LEN(D$9)+3))</f>
        <v>72.90</v>
      </c>
      <c r="E53" s="6" t="str">
        <f t="shared" si="27"/>
        <v>76.00</v>
      </c>
      <c r="F53" s="6" t="str">
        <f t="shared" si="27"/>
        <v>72.30</v>
      </c>
      <c r="G53" s="6" t="str">
        <f t="shared" si="27"/>
        <v>75.15</v>
      </c>
      <c r="H53" s="7" t="str">
        <f t="shared" si="3"/>
        <v xml:space="preserve">   </v>
      </c>
      <c r="I53" s="8" t="str">
        <f t="shared" si="4"/>
        <v xml:space="preserve">   </v>
      </c>
      <c r="J53" s="9" t="str">
        <f t="shared" si="5"/>
        <v xml:space="preserve">   </v>
      </c>
      <c r="K53" s="10" t="str">
        <f t="shared" si="12"/>
        <v xml:space="preserve">   </v>
      </c>
      <c r="M53" s="13"/>
    </row>
    <row r="54" spans="2:13" x14ac:dyDescent="0.25">
      <c r="B54" t="str">
        <f t="shared" si="22"/>
        <v>"TATASTEEL","open":"332.05","high":"334.60","low":"323.05","ltP":"324.65","ptsC":"-4.95","per":"-1.50","trdVol":"46.25","trdVolM":"4.63","ntP":"151.41","mVal":"1.51","wkhi":"364.05","wklo":"199.70","wkhicm_adj":"579.90","wklocm_adj":"332.00","xDt":"31-DEC-2999","cAct":"-","yPC":"-0.02","mPC":"-9.00"</v>
      </c>
      <c r="C54" s="5" t="s">
        <v>51</v>
      </c>
      <c r="D54" s="6" t="str">
        <f t="shared" si="27"/>
        <v>332.05</v>
      </c>
      <c r="E54" s="6" t="str">
        <f t="shared" si="27"/>
        <v>334.60</v>
      </c>
      <c r="F54" s="6" t="str">
        <f t="shared" si="27"/>
        <v>323.05</v>
      </c>
      <c r="G54" s="6" t="str">
        <f t="shared" si="27"/>
        <v>324.65</v>
      </c>
      <c r="H54" s="7" t="str">
        <f t="shared" si="3"/>
        <v xml:space="preserve">   </v>
      </c>
      <c r="I54" s="8" t="str">
        <f t="shared" si="4"/>
        <v xml:space="preserve">   </v>
      </c>
      <c r="J54" s="9" t="str">
        <f t="shared" si="5"/>
        <v xml:space="preserve">   </v>
      </c>
      <c r="K54" s="10" t="str">
        <f t="shared" si="12"/>
        <v xml:space="preserve">   </v>
      </c>
      <c r="M54" s="13"/>
    </row>
    <row r="55" spans="2:13" x14ac:dyDescent="0.25">
      <c r="B55" t="str">
        <f t="shared" si="22"/>
        <v>"TCS","open":"2,583.00","high":"2,627.00","low":"2,582.00","ltP":"2,624.00","ptsC":"51.35","per":"2.00","trdVol":"4.65","trdVolM":"0.46","ntP":"121.29","mVal":"1.21","wkhi":"2,770.00","wklo":"2,115.00","wkhicm_adj":"2,839.70","wklocm_adj":"1,970.00","xDt":"31-DEC-2999","cAct":"-","yPC":"0.56","mPC":"4.50"</v>
      </c>
      <c r="C55" s="5" t="s">
        <v>52</v>
      </c>
      <c r="D55" s="6" t="str">
        <f t="shared" si="27"/>
        <v>2,583.00</v>
      </c>
      <c r="E55" s="6" t="str">
        <f t="shared" si="27"/>
        <v>2,627.00</v>
      </c>
      <c r="F55" s="6" t="str">
        <f t="shared" si="27"/>
        <v>2,582.00</v>
      </c>
      <c r="G55" s="6" t="str">
        <f t="shared" si="27"/>
        <v>2,624.00</v>
      </c>
      <c r="H55" s="7" t="str">
        <f t="shared" si="3"/>
        <v xml:space="preserve">   </v>
      </c>
      <c r="I55" s="8" t="str">
        <f t="shared" si="4"/>
        <v xml:space="preserve">   </v>
      </c>
      <c r="J55" s="9" t="str">
        <f t="shared" si="5"/>
        <v xml:space="preserve">   </v>
      </c>
      <c r="K55" s="10" t="str">
        <f t="shared" si="12"/>
        <v xml:space="preserve">   </v>
      </c>
      <c r="M55" s="13"/>
    </row>
    <row r="56" spans="2:13" x14ac:dyDescent="0.25">
      <c r="B56" t="str">
        <f t="shared" si="22"/>
        <v>"TECHM","open":"535.80","high":"564.00","low":"535.00","ltP":"544.60","ptsC":"8.70","per":"1.62","trdVol":"24.49","trdVolM":"2.45","ntP":"135.44","mVal":"1.35","wkhi":"582.00","wklo":"407.40","wkhicm_adj":"2,734.00","wklocm_adj":"1,662.00","xDt":"31-DEC-2999","cAct":"-","yPC":"-0.09","mPC":"13.64"</v>
      </c>
      <c r="C56" s="5" t="s">
        <v>53</v>
      </c>
      <c r="D56" s="6" t="str">
        <f t="shared" si="27"/>
        <v>535.80</v>
      </c>
      <c r="E56" s="6" t="str">
        <f t="shared" si="27"/>
        <v>564.00</v>
      </c>
      <c r="F56" s="6" t="str">
        <f t="shared" si="27"/>
        <v>535.00</v>
      </c>
      <c r="G56" s="6" t="str">
        <f t="shared" si="27"/>
        <v>544.60</v>
      </c>
      <c r="H56" s="7" t="str">
        <f t="shared" si="3"/>
        <v xml:space="preserve">   </v>
      </c>
      <c r="I56" s="8" t="str">
        <f t="shared" si="4"/>
        <v xml:space="preserve">   </v>
      </c>
      <c r="J56" s="9" t="str">
        <f t="shared" si="5"/>
        <v xml:space="preserve">   </v>
      </c>
      <c r="K56" s="10" t="str">
        <f t="shared" si="12"/>
        <v xml:space="preserve">   </v>
      </c>
      <c r="M56" s="13"/>
    </row>
    <row r="57" spans="2:13" x14ac:dyDescent="0.25">
      <c r="B57" t="str">
        <f t="shared" si="22"/>
        <v>"ULTRACEMCO","open":"3,257.10","high":"3,257.10","low":"3,192.05","ltP":"3,202.55","ptsC":"-45.75","per":"-1.41","trdVol":"1.32","trdVolM":"0.13","ntP":"42.26","mVal":"0.42","wkhi":"3,454.90","wklo":"2,579.00","wkhicm_adj":"2,872.00","wklocm_adj":"1,634.00","xDt":"31-DEC-2999","cAct":"-","yPC":"9.77","mPC":"0.34"</v>
      </c>
      <c r="C57" s="5" t="s">
        <v>54</v>
      </c>
      <c r="D57" s="6" t="str">
        <f t="shared" si="27"/>
        <v>3,257.10</v>
      </c>
      <c r="E57" s="6" t="str">
        <f t="shared" si="27"/>
        <v>3,257.10</v>
      </c>
      <c r="F57" s="6" t="str">
        <f t="shared" si="27"/>
        <v>3,192.05</v>
      </c>
      <c r="G57" s="6" t="str">
        <f t="shared" si="27"/>
        <v>3,202.55</v>
      </c>
      <c r="H57" s="7" t="str">
        <f t="shared" si="3"/>
        <v xml:space="preserve">SHORT </v>
      </c>
      <c r="I57" s="8">
        <f t="shared" si="4"/>
        <v>3248</v>
      </c>
      <c r="J57" s="9">
        <f t="shared" si="5"/>
        <v>3273.3854999999999</v>
      </c>
      <c r="K57" s="10">
        <f t="shared" si="12"/>
        <v>1.3993226600985165E-2</v>
      </c>
      <c r="M57" s="13"/>
    </row>
    <row r="58" spans="2:13" x14ac:dyDescent="0.25">
      <c r="B58" t="str">
        <f t="shared" si="22"/>
        <v>"WIPRO","open":"547.20","high":"552.50","low":"544.45","ltP":"547.70","ptsC":"2.30","per":"0.42","trdVol":"8.69","trdVolM":"0.87","ntP":"47.68","mVal":"0.48","wkhi":"613.30","wklo":"507.90","wkhicm_adj":"621.90","wklocm_adj":"466.65","xDt":"05-MAY-2016","cAct":"BUYBACK OF SHARES","yPC":"-1.24","mPC":"-2.20"</v>
      </c>
      <c r="C58" s="5" t="s">
        <v>56</v>
      </c>
      <c r="D58" s="6" t="str">
        <f t="shared" si="27"/>
        <v>547.20</v>
      </c>
      <c r="E58" s="6" t="str">
        <f t="shared" si="27"/>
        <v>552.50</v>
      </c>
      <c r="F58" s="6" t="str">
        <f t="shared" si="27"/>
        <v>544.45</v>
      </c>
      <c r="G58" s="6" t="str">
        <f t="shared" si="27"/>
        <v>547.70</v>
      </c>
      <c r="H58" s="7" t="str">
        <f t="shared" si="3"/>
        <v xml:space="preserve">   </v>
      </c>
      <c r="I58" s="8" t="str">
        <f t="shared" si="4"/>
        <v xml:space="preserve">   </v>
      </c>
      <c r="J58" s="9" t="str">
        <f t="shared" si="5"/>
        <v xml:space="preserve">   </v>
      </c>
      <c r="K58" s="10" t="str">
        <f t="shared" si="12"/>
        <v xml:space="preserve">   </v>
      </c>
      <c r="M58" s="13"/>
    </row>
    <row r="59" spans="2:13" x14ac:dyDescent="0.25">
      <c r="B59" t="str">
        <f t="shared" si="22"/>
        <v>"YESBANK","open":"1,024.40","high":"1,034.85","low":"1,021.30","ltP":"1,027.85","ptsC":"12.35","per":"1.22","trdVol":"20.62","trdVolM":"2.06","ntP":"212.19","mVal":"2.12","wkhi":"1,041.80","wklo":"595.00","wkhicm_adj":"719.90","wklocm_adj":"291.40","xDt":"30-MAY-2016","cAct":"ANNUAL GENERAL MEETING\/ DIVIDEND - RS 10\/- PER SHARE","yPC":"19.65","mPC":"12.27"</v>
      </c>
      <c r="C59" s="5" t="s">
        <v>57</v>
      </c>
      <c r="D59" s="6" t="str">
        <f t="shared" si="27"/>
        <v>1,024.40</v>
      </c>
      <c r="E59" s="6" t="str">
        <f t="shared" si="27"/>
        <v>1,034.85</v>
      </c>
      <c r="F59" s="6" t="str">
        <f t="shared" si="27"/>
        <v>1,021.30</v>
      </c>
      <c r="G59" s="6" t="str">
        <f t="shared" si="27"/>
        <v>1,027.85</v>
      </c>
      <c r="H59" s="7" t="str">
        <f t="shared" si="3"/>
        <v xml:space="preserve">   </v>
      </c>
      <c r="I59" s="8" t="str">
        <f t="shared" si="4"/>
        <v xml:space="preserve">   </v>
      </c>
      <c r="J59" s="9" t="str">
        <f t="shared" si="5"/>
        <v xml:space="preserve">   </v>
      </c>
      <c r="K59" s="10" t="str">
        <f t="shared" si="12"/>
        <v xml:space="preserve">   </v>
      </c>
      <c r="M59" s="13"/>
    </row>
    <row r="60" spans="2:13" x14ac:dyDescent="0.25">
      <c r="B60" t="str">
        <f t="shared" si="22"/>
        <v>"ZEEL","open":"456.50","high":"456.50","low":"441.60","ltP":"443.90","ptsC":"-9.50","per":"-2.10","trdVol":"10.68","trdVolM":"1.07","ntP":"47.46","mVal":"0.47","wkhi":"458.95","wklo":"317.45","wkhicm_adj":"402.40","wklocm_adj":"251.80","xDt":"31-DEC-2999","cAct":"-","yPC":"39.53","mPC":"8.84"</v>
      </c>
      <c r="C60" s="5" t="s">
        <v>58</v>
      </c>
      <c r="D60" s="6" t="str">
        <f t="shared" si="27"/>
        <v>456.50</v>
      </c>
      <c r="E60" s="6" t="str">
        <f t="shared" si="27"/>
        <v>456.50</v>
      </c>
      <c r="F60" s="6" t="str">
        <f t="shared" si="27"/>
        <v>441.60</v>
      </c>
      <c r="G60" s="6" t="str">
        <f t="shared" si="27"/>
        <v>443.90</v>
      </c>
      <c r="H60" s="7" t="str">
        <f t="shared" si="3"/>
        <v xml:space="preserve">SHORT </v>
      </c>
      <c r="I60" s="8">
        <f t="shared" si="4"/>
        <v>453</v>
      </c>
      <c r="J60" s="9">
        <f t="shared" si="5"/>
        <v>458.78250000000003</v>
      </c>
      <c r="K60" s="10">
        <f t="shared" si="12"/>
        <v>2.0088300220750602E-2</v>
      </c>
      <c r="M60" s="13"/>
    </row>
    <row r="61" spans="2:13" x14ac:dyDescent="0.25">
      <c r="M61" s="13"/>
    </row>
    <row r="64" spans="2:13" x14ac:dyDescent="0.25">
      <c r="C64" s="15" t="s">
        <v>66</v>
      </c>
    </row>
    <row r="65" spans="2:11" x14ac:dyDescent="0.25">
      <c r="B65" t="s">
        <v>1</v>
      </c>
      <c r="C65" s="4" t="s">
        <v>2</v>
      </c>
      <c r="D65" s="4" t="s">
        <v>3</v>
      </c>
      <c r="E65" s="4" t="s">
        <v>4</v>
      </c>
      <c r="F65" s="4" t="s">
        <v>5</v>
      </c>
      <c r="G65" s="4" t="s">
        <v>6</v>
      </c>
      <c r="H65" s="4" t="s">
        <v>7</v>
      </c>
      <c r="I65" s="4" t="s">
        <v>8</v>
      </c>
      <c r="J65" s="4" t="s">
        <v>9</v>
      </c>
      <c r="K65" s="4" t="s">
        <v>59</v>
      </c>
    </row>
    <row r="66" spans="2:11" x14ac:dyDescent="0.25">
      <c r="B66" t="str">
        <f>MID($E$3,FIND(C66,$E$3)-1,FIND("}",$E$3,FIND(C66,$E$3))-FIND(C66,$E$3)+1)</f>
        <v>"ABB","open":"1,259.30","high":"1,259.30","low":"1,220.00","ltP":"1,221.00","ptsC":"-32.95","per":"-2.63","trdVol":"0.62","trdVolM":"0.06","ntP":"7.65","mVal":"0.08","wkhi":"1,445.00","wklo":"955.20","wkhicm_adj":"1,263.50","wklocm_adj":"566.95","xDt":"13-APR-2016","cAct":"ANNUAL GENERAL MEETING\/DIVIDEND - RS 3.70 PER SHARE","yPC":"-9.04","mPC":"-4.13"</v>
      </c>
      <c r="C66" s="14" t="s">
        <v>68</v>
      </c>
      <c r="D66" s="6" t="str">
        <f t="shared" ref="D66:G85" si="28">MID($B66,FIND(D$9,$B66)+LEN(D$9)+3,FIND(CHAR(34),$B66,FIND(D$9,$B66)+LEN(D$9)+3)-(FIND(D$9,$B66)+LEN(D$9)+3))</f>
        <v>1,259.30</v>
      </c>
      <c r="E66" s="6" t="str">
        <f t="shared" si="28"/>
        <v>1,259.30</v>
      </c>
      <c r="F66" s="6" t="str">
        <f t="shared" si="28"/>
        <v>1,220.00</v>
      </c>
      <c r="G66" s="6" t="str">
        <f t="shared" si="28"/>
        <v>1,221.00</v>
      </c>
      <c r="H66" s="7" t="str">
        <f t="shared" ref="H66" si="29">IF(AND(E66=0, F66=0, D66=0),"  ",IF(E66= D66,"SHORT ",IF(F66= D66,"LONG ",IF(E66&lt;&gt; F66&lt;&gt; D66,"   "))))</f>
        <v xml:space="preserve">SHORT </v>
      </c>
      <c r="I66" s="8">
        <f t="shared" ref="I66" si="30">IF(AND(E66=0,F66=0,D66=0),"  ",IF(D66=F66,ROUND(((SQRT(F66) +0.0833) ^2),0),IF(E66=D66,ROUND(((SQRT(E66) -0.0833) ^2),0),IF(E66&lt;&gt;F66&lt;&gt;D66,"   "))))</f>
        <v>1253</v>
      </c>
      <c r="J66" s="9">
        <f t="shared" ref="J66" si="31">IF(AND(E66=0, F66=0, D66=0),"  ",IF(E66= D66,D66+0.005*D66,IF(F66= D66,D66-0.005*D66,IF(E66&lt;&gt; F66&lt;&gt; D66,"   "))))</f>
        <v>1265.5964999999999</v>
      </c>
      <c r="K66" s="10">
        <f t="shared" ref="K66" si="32">IF(AND(E66=0, F66=0, D66=0),"  ",IF(E66= D66,(I66-G66)/I66,IF(F66= D66,(G66-I66)/I66,IF(E66&lt;&gt; F66&lt;&gt; D66,"   "))))</f>
        <v>2.5538707102952914E-2</v>
      </c>
    </row>
    <row r="67" spans="2:11" x14ac:dyDescent="0.25">
      <c r="B67" t="str">
        <f t="shared" ref="B67:B115" si="33">MID($E$3,FIND(C67,$E$3)-1,FIND("}",$E$3,FIND(C67,$E$3))-FIND(C67,$E$3)+1)</f>
        <v>"APOLLOHOSP","open":"1,348.75","high":"1,394.00","low":"1,348.20","ltP":"1,391.00","ptsC":"42.80","per":"3.17","trdVol":"2.58","trdVolM":"0.26","ntP":"35.53","mVal":"0.36","wkhi":"1,544.90","wklo":"1,150.00","wkhicm_adj":"1,246.50","wklocm_adj":"815.35","xDt":"22-MAR-2016","cAct":"INTERIM DIVIDEND - RS 6\/- PER SHARE (PURPOSE REVISED)","yPC":"13.81","mPC":"5.63"</v>
      </c>
      <c r="C67" s="14" t="s">
        <v>69</v>
      </c>
      <c r="D67" s="6" t="str">
        <f t="shared" si="28"/>
        <v>1,348.75</v>
      </c>
      <c r="E67" s="6" t="str">
        <f t="shared" si="28"/>
        <v>1,394.00</v>
      </c>
      <c r="F67" s="6" t="str">
        <f t="shared" si="28"/>
        <v>1,348.20</v>
      </c>
      <c r="G67" s="6" t="str">
        <f t="shared" si="28"/>
        <v>1,391.00</v>
      </c>
      <c r="H67" s="7" t="str">
        <f t="shared" ref="H67:H115" si="34">IF(AND(E67=0, F67=0, D67=0),"  ",IF(E67= D67,"SHORT ",IF(F67= D67,"LONG ",IF(E67&lt;&gt; F67&lt;&gt; D67,"   "))))</f>
        <v xml:space="preserve">   </v>
      </c>
      <c r="I67" s="8" t="str">
        <f t="shared" ref="I67:I115" si="35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6">IF(AND(E67=0, F67=0, D67=0),"  ",IF(E67= D67,D67+0.005*D67,IF(F67= D67,D67-0.005*D67,IF(E67&lt;&gt; F67&lt;&gt; D67,"   "))))</f>
        <v xml:space="preserve">   </v>
      </c>
      <c r="K67" s="10" t="str">
        <f t="shared" ref="K67:K115" si="37">IF(AND(E67=0, F67=0, D67=0),"  ",IF(E67= D67,(I67-G67)/I67,IF(F67= D67,(G67-I67)/I67,IF(E67&lt;&gt; F67&lt;&gt; D67,"   "))))</f>
        <v xml:space="preserve">   </v>
      </c>
    </row>
    <row r="68" spans="2:11" x14ac:dyDescent="0.25">
      <c r="B68" t="str">
        <f t="shared" si="33"/>
        <v>"ASHOKLEY","open":"107.30","high":"107.45","low":"105.10","ltP":"105.80","ptsC":"-1.00","per":"-0.94","trdVol":"63.98","trdVolM":"6.40","ntP":"67.86","mVal":"0.68","wkhi":"112.90","wklo":"64.00","wkhicm_adj":"56.20","wklocm_adj":"14.85","xDt":"31-DEC-2999","cAct":"-","yPC":"50.07","mPC":"-1.99"</v>
      </c>
      <c r="C68" s="14" t="s">
        <v>70</v>
      </c>
      <c r="D68" s="6" t="str">
        <f t="shared" si="28"/>
        <v>107.30</v>
      </c>
      <c r="E68" s="6" t="str">
        <f t="shared" si="28"/>
        <v>107.45</v>
      </c>
      <c r="F68" s="6" t="str">
        <f t="shared" si="28"/>
        <v>105.10</v>
      </c>
      <c r="G68" s="6" t="str">
        <f t="shared" si="28"/>
        <v>105.80</v>
      </c>
      <c r="H68" s="7" t="str">
        <f t="shared" si="34"/>
        <v xml:space="preserve">   </v>
      </c>
      <c r="I68" s="8" t="str">
        <f t="shared" si="35"/>
        <v xml:space="preserve">   </v>
      </c>
      <c r="J68" s="9" t="str">
        <f t="shared" si="36"/>
        <v xml:space="preserve">   </v>
      </c>
      <c r="K68" s="10" t="str">
        <f t="shared" si="37"/>
        <v xml:space="preserve">   </v>
      </c>
    </row>
    <row r="69" spans="2:11" x14ac:dyDescent="0.25">
      <c r="B69" t="str">
        <f t="shared" si="33"/>
        <v>"BAJAJFINSV","open":"1,838.00","high":"1,864.85","low":"1,828.25","ltP":"1,840.00","ptsC":"4.30","per":"0.23","trdVol":"0.40","trdVolM":"0.04","ntP":"7.35","mVal":"0.07","wkhi":"2,160.00","wklo":"1,435.15","wkhicm_adj":"1,173.95","wklocm_adj":"658.35","xDt":"16-MAR-2016","cAct":"INTERIM DIVIDEND - RS 1.75\/- PER SHARE (PURPOSE REVISED)","yPC":"20.27","mPC":"-2.11"</v>
      </c>
      <c r="C69" s="14" t="s">
        <v>71</v>
      </c>
      <c r="D69" s="6" t="str">
        <f t="shared" si="28"/>
        <v>1,838.00</v>
      </c>
      <c r="E69" s="6" t="str">
        <f t="shared" si="28"/>
        <v>1,864.85</v>
      </c>
      <c r="F69" s="6" t="str">
        <f t="shared" si="28"/>
        <v>1,828.25</v>
      </c>
      <c r="G69" s="6" t="str">
        <f t="shared" si="28"/>
        <v>1,840.00</v>
      </c>
      <c r="H69" s="7" t="str">
        <f t="shared" si="34"/>
        <v xml:space="preserve">   </v>
      </c>
      <c r="I69" s="8" t="str">
        <f t="shared" si="35"/>
        <v xml:space="preserve">   </v>
      </c>
      <c r="J69" s="9" t="str">
        <f t="shared" si="36"/>
        <v xml:space="preserve">   </v>
      </c>
      <c r="K69" s="10" t="str">
        <f t="shared" si="37"/>
        <v xml:space="preserve">   </v>
      </c>
    </row>
    <row r="70" spans="2:11" x14ac:dyDescent="0.25">
      <c r="B70" t="str">
        <f t="shared" si="33"/>
        <v>"BAJFINANCE","open":"7,700.00","high":"7,720.00","low":"7,559.40","ltP":"7,624.85","ptsC":"-43.05","per":"-0.56","trdVol":"0.51","trdVolM":"0.05","ntP":"38.45","mVal":"0.38","wkhi":"7,858.05","wklo":"4,115.70","wkhicm_adj":"3,385.00","wklocm_adj":"1,375.00","xDt":"16-MAR-2016","cAct":"INTERIM DIVIDEND - RS 18\/- PER SHARE (PURPOSE REVISED)","yPC":"72.34","mPC":"9.78"</v>
      </c>
      <c r="C70" s="14" t="s">
        <v>72</v>
      </c>
      <c r="D70" s="6" t="str">
        <f t="shared" si="28"/>
        <v>7,700.00</v>
      </c>
      <c r="E70" s="6" t="str">
        <f t="shared" si="28"/>
        <v>7,720.00</v>
      </c>
      <c r="F70" s="6" t="str">
        <f t="shared" si="28"/>
        <v>7,559.40</v>
      </c>
      <c r="G70" s="6" t="str">
        <f t="shared" si="28"/>
        <v>7,624.85</v>
      </c>
      <c r="H70" s="7" t="str">
        <f t="shared" si="34"/>
        <v xml:space="preserve">   </v>
      </c>
      <c r="I70" s="8" t="str">
        <f t="shared" si="35"/>
        <v xml:space="preserve">   </v>
      </c>
      <c r="J70" s="9" t="str">
        <f t="shared" si="36"/>
        <v xml:space="preserve">   </v>
      </c>
      <c r="K70" s="10" t="str">
        <f t="shared" si="37"/>
        <v xml:space="preserve">   </v>
      </c>
    </row>
    <row r="71" spans="2:11" x14ac:dyDescent="0.25">
      <c r="B71" t="str">
        <f t="shared" si="33"/>
        <v>"BEL","open":"1,195.00","high":"1,199.00","low":"1,170.00","ltP":"1,175.00","ptsC":"-8.05","per":"-0.68","trdVol":"2.39","trdVolM":"0.24","ntP":"28.25","mVal":"0.28","wkhi":"1,416.85","wklo":"984.00","wkhicm_adj":"2,375.00","wklocm_adj":"893.00","xDt":"31-DEC-2999","cAct":"-","yPC":"5.65","mPC":"-3.10"</v>
      </c>
      <c r="C71" s="14" t="s">
        <v>73</v>
      </c>
      <c r="D71" s="6" t="str">
        <f t="shared" si="28"/>
        <v>1,195.00</v>
      </c>
      <c r="E71" s="6" t="str">
        <f t="shared" si="28"/>
        <v>1,199.00</v>
      </c>
      <c r="F71" s="6" t="str">
        <f t="shared" si="28"/>
        <v>1,170.00</v>
      </c>
      <c r="G71" s="6" t="str">
        <f t="shared" si="28"/>
        <v>1,175.00</v>
      </c>
      <c r="H71" s="7" t="str">
        <f t="shared" si="34"/>
        <v xml:space="preserve">   </v>
      </c>
      <c r="I71" s="8" t="str">
        <f t="shared" si="35"/>
        <v xml:space="preserve">   </v>
      </c>
      <c r="J71" s="9" t="str">
        <f t="shared" si="36"/>
        <v xml:space="preserve">   </v>
      </c>
      <c r="K71" s="10" t="str">
        <f t="shared" si="37"/>
        <v xml:space="preserve">   </v>
      </c>
    </row>
    <row r="72" spans="2:11" x14ac:dyDescent="0.25">
      <c r="B72" t="str">
        <f t="shared" si="33"/>
        <v>"BHARATFORG","open":"751.50","high":"751.85","low":"735.50","ltP":"746.10","ptsC":"1.40","per":"0.19","trdVol":"3.20","trdVolM":"0.32","ntP":"23.83","mVal":"0.24","wkhi":"1,293.00","wklo":"704.90","wkhicm_adj":"979.00","wklocm_adj":"291.10","xDt":"18-MAR-2016","cAct":"INTERIM DIVIDEND - RS 4\/- PER SHARE (PURPOSE REVISED)","yPC":"-38.31","mPC":"-7.09"</v>
      </c>
      <c r="C72" s="14" t="s">
        <v>74</v>
      </c>
      <c r="D72" s="6" t="str">
        <f t="shared" si="28"/>
        <v>751.50</v>
      </c>
      <c r="E72" s="6" t="str">
        <f t="shared" si="28"/>
        <v>751.85</v>
      </c>
      <c r="F72" s="6" t="str">
        <f t="shared" si="28"/>
        <v>735.50</v>
      </c>
      <c r="G72" s="6" t="str">
        <f t="shared" si="28"/>
        <v>746.10</v>
      </c>
      <c r="H72" s="7" t="str">
        <f t="shared" si="34"/>
        <v xml:space="preserve">   </v>
      </c>
      <c r="I72" s="8" t="str">
        <f t="shared" si="35"/>
        <v xml:space="preserve">   </v>
      </c>
      <c r="J72" s="9" t="str">
        <f t="shared" si="36"/>
        <v xml:space="preserve">   </v>
      </c>
      <c r="K72" s="10" t="str">
        <f t="shared" si="37"/>
        <v xml:space="preserve">   </v>
      </c>
    </row>
    <row r="73" spans="2:11" x14ac:dyDescent="0.25">
      <c r="B73" t="str">
        <f t="shared" si="33"/>
        <v>"BRITANNIA","open":"2,720.00","high":"2,758.00","low":"2,720.00","ltP":"2,752.80","ptsC":"33.50","per":"1.23","trdVol":"0.84","trdVolM":"0.08","ntP":"23.11","mVal":"0.23","wkhi":"3,434.20","wklo":"2,424.00","wkhicm_adj":"1,729.80","wklocm_adj":"809.10","xDt":"31-DEC-2999","cAct":"-","yPC":"3.60","mPC":"-3.80"</v>
      </c>
      <c r="C73" s="14" t="s">
        <v>75</v>
      </c>
      <c r="D73" s="6" t="str">
        <f t="shared" si="28"/>
        <v>2,720.00</v>
      </c>
      <c r="E73" s="6" t="str">
        <f t="shared" si="28"/>
        <v>2,758.00</v>
      </c>
      <c r="F73" s="6" t="str">
        <f t="shared" si="28"/>
        <v>2,720.00</v>
      </c>
      <c r="G73" s="6" t="str">
        <f t="shared" si="28"/>
        <v>2,752.80</v>
      </c>
      <c r="H73" s="7" t="str">
        <f t="shared" si="34"/>
        <v xml:space="preserve">LONG </v>
      </c>
      <c r="I73" s="8">
        <f t="shared" si="35"/>
        <v>2729</v>
      </c>
      <c r="J73" s="9">
        <f t="shared" si="36"/>
        <v>2706.4</v>
      </c>
      <c r="K73" s="10">
        <f t="shared" si="37"/>
        <v>8.7211432759253145E-3</v>
      </c>
    </row>
    <row r="74" spans="2:11" x14ac:dyDescent="0.25">
      <c r="B74" t="str">
        <f t="shared" si="33"/>
        <v>"CADILAHC","open":"329.25","high":"335.00","low":"326.10","ltP":"334.60","ptsC":"7.40","per":"2.26","trdVol":"3.24","trdVolM":"0.32","ntP":"10.77","mVal":"0.11","wkhi":"453.30","wklo":"295.00","wkhicm_adj":"1,760.15","wklocm_adj":"723.20","xDt":"17-MAR-2016","cAct":"INTERIM DIVIDEND - RS 3.20\/- PER SHARE","yPC":"-10.36","mPC":"2.37"</v>
      </c>
      <c r="C74" s="14" t="s">
        <v>76</v>
      </c>
      <c r="D74" s="6" t="str">
        <f t="shared" si="28"/>
        <v>329.25</v>
      </c>
      <c r="E74" s="6" t="str">
        <f t="shared" si="28"/>
        <v>335.00</v>
      </c>
      <c r="F74" s="6" t="str">
        <f t="shared" si="28"/>
        <v>326.10</v>
      </c>
      <c r="G74" s="6" t="str">
        <f t="shared" si="28"/>
        <v>334.60</v>
      </c>
      <c r="H74" s="7" t="str">
        <f t="shared" si="34"/>
        <v xml:space="preserve">   </v>
      </c>
      <c r="I74" s="8" t="str">
        <f t="shared" si="35"/>
        <v xml:space="preserve">   </v>
      </c>
      <c r="J74" s="9" t="str">
        <f t="shared" si="36"/>
        <v xml:space="preserve">   </v>
      </c>
      <c r="K74" s="10" t="str">
        <f t="shared" si="37"/>
        <v xml:space="preserve">   </v>
      </c>
    </row>
    <row r="75" spans="2:11" x14ac:dyDescent="0.25">
      <c r="B75" t="str">
        <f t="shared" si="33"/>
        <v>"CAIRN","open":"139.20","high":"142.90","low":"139.20","ltP":"142.20","ptsC":"4.15","per":"3.01","trdVol":"12.63","trdVolM":"1.26","ntP":"17.84","mVal":"0.18","wkhi":"197.90","wklo":"106.50","wkhicm_adj":"386.00","wklocm_adj":"255.00","xDt":"31-DEC-2999","cAct":"-","yPC":"-25.53","mPC":"-3.36"</v>
      </c>
      <c r="C75" s="14" t="s">
        <v>20</v>
      </c>
      <c r="D75" s="6" t="str">
        <f t="shared" si="28"/>
        <v>139.20</v>
      </c>
      <c r="E75" s="6" t="str">
        <f t="shared" si="28"/>
        <v>142.90</v>
      </c>
      <c r="F75" s="6" t="str">
        <f t="shared" si="28"/>
        <v>139.20</v>
      </c>
      <c r="G75" s="6" t="str">
        <f t="shared" si="28"/>
        <v>142.20</v>
      </c>
      <c r="H75" s="7" t="str">
        <f t="shared" si="34"/>
        <v xml:space="preserve">LONG </v>
      </c>
      <c r="I75" s="8">
        <f t="shared" si="35"/>
        <v>141</v>
      </c>
      <c r="J75" s="9">
        <f t="shared" si="36"/>
        <v>138.50399999999999</v>
      </c>
      <c r="K75" s="10">
        <f t="shared" si="37"/>
        <v>8.510638297872259E-3</v>
      </c>
    </row>
    <row r="76" spans="2:11" x14ac:dyDescent="0.25">
      <c r="B76" t="str">
        <f t="shared" si="33"/>
        <v>"CASTROLIND","open":"376.05","high":"379.45","low":"372.80","ltP":"375.20","ptsC":"-1.55","per":"-0.41","trdVol":"6.18","trdVolM":"0.62","ntP":"23.20","mVal":"0.23","wkhi":"513.80","wklo":"360.85","wkhicm_adj":"523.50","wklocm_adj":"283.10","xDt":"27-APR-2016","cAct":"ANNUAL GENERAL MEETING\/ DIVIDEND - RS 5\/- PER SHARE","yPC":"-20.42","mPC":"-3.70"</v>
      </c>
      <c r="C76" s="14" t="s">
        <v>77</v>
      </c>
      <c r="D76" s="6" t="str">
        <f t="shared" si="28"/>
        <v>376.05</v>
      </c>
      <c r="E76" s="6" t="str">
        <f t="shared" si="28"/>
        <v>379.45</v>
      </c>
      <c r="F76" s="6" t="str">
        <f t="shared" si="28"/>
        <v>372.80</v>
      </c>
      <c r="G76" s="6" t="str">
        <f t="shared" si="28"/>
        <v>375.20</v>
      </c>
      <c r="H76" s="7" t="str">
        <f t="shared" si="34"/>
        <v xml:space="preserve">   </v>
      </c>
      <c r="I76" s="8" t="str">
        <f t="shared" si="35"/>
        <v xml:space="preserve">   </v>
      </c>
      <c r="J76" s="9" t="str">
        <f t="shared" si="36"/>
        <v xml:space="preserve">   </v>
      </c>
      <c r="K76" s="10" t="str">
        <f t="shared" si="37"/>
        <v xml:space="preserve">   </v>
      </c>
    </row>
    <row r="77" spans="2:11" x14ac:dyDescent="0.25">
      <c r="B77" t="str">
        <f t="shared" si="33"/>
        <v>"COLPAL","open":"838.00","high":"851.90","low":"835.80","ltP":"846.65","ptsC":"7.35","per":"0.88","trdVol":"1.19","trdVolM":"0.12","ntP":"10.04","mVal":"0.10","wkhi":"1,050.00","wklo":"787.20","wkhicm_adj":"2,049.00","wklocm_adj":"1,235.20","xDt":"06-APR-2016","cAct":"INTERIM DIVIDEND - RS 3\/- PER SHARE (PURPOSE REVISED)","yPC":"-15.09","mPC":"-1.04"</v>
      </c>
      <c r="C77" s="14" t="s">
        <v>78</v>
      </c>
      <c r="D77" s="6" t="str">
        <f t="shared" si="28"/>
        <v>838.00</v>
      </c>
      <c r="E77" s="6" t="str">
        <f t="shared" si="28"/>
        <v>851.90</v>
      </c>
      <c r="F77" s="6" t="str">
        <f t="shared" si="28"/>
        <v>835.80</v>
      </c>
      <c r="G77" s="6" t="str">
        <f t="shared" si="28"/>
        <v>846.65</v>
      </c>
      <c r="H77" s="7" t="str">
        <f t="shared" si="34"/>
        <v xml:space="preserve">   </v>
      </c>
      <c r="I77" s="8" t="str">
        <f t="shared" si="35"/>
        <v xml:space="preserve">   </v>
      </c>
      <c r="J77" s="9" t="str">
        <f t="shared" si="36"/>
        <v xml:space="preserve">   </v>
      </c>
      <c r="K77" s="10" t="str">
        <f t="shared" si="37"/>
        <v xml:space="preserve">   </v>
      </c>
    </row>
    <row r="78" spans="2:11" x14ac:dyDescent="0.25">
      <c r="B78" t="str">
        <f t="shared" si="33"/>
        <v>"CONCOR","open":"1,385.05","high":"1,448.00","low":"1,385.05","ltP":"1,438.90","ptsC":"58.65","per":"4.25","trdVol":"2.36","trdVolM":"0.24","ntP":"33.86","mVal":"0.34","wkhi":"1,947.70","wklo":"1,051.00","wkhicm_adj":"1,504.70","wklocm_adj":"697.55","xDt":"31-DEC-2999","cAct":"-","yPC":"-14.76","mPC":"6.85"</v>
      </c>
      <c r="C78" s="14" t="s">
        <v>79</v>
      </c>
      <c r="D78" s="6" t="str">
        <f t="shared" si="28"/>
        <v>1,385.05</v>
      </c>
      <c r="E78" s="6" t="str">
        <f t="shared" si="28"/>
        <v>1,448.00</v>
      </c>
      <c r="F78" s="6" t="str">
        <f t="shared" si="28"/>
        <v>1,385.05</v>
      </c>
      <c r="G78" s="6" t="str">
        <f t="shared" si="28"/>
        <v>1,438.90</v>
      </c>
      <c r="H78" s="7" t="str">
        <f t="shared" si="34"/>
        <v xml:space="preserve">LONG </v>
      </c>
      <c r="I78" s="8">
        <f t="shared" si="35"/>
        <v>1391</v>
      </c>
      <c r="J78" s="9">
        <f t="shared" si="36"/>
        <v>1378.1247499999999</v>
      </c>
      <c r="K78" s="10">
        <f t="shared" si="37"/>
        <v>3.4435657800143848E-2</v>
      </c>
    </row>
    <row r="79" spans="2:11" x14ac:dyDescent="0.25">
      <c r="B79" t="str">
        <f t="shared" si="33"/>
        <v>"CUMMINSIND","open":"778.00","high":"793.90","low":"778.00","ltP":"786.35","ptsC":"2.45","per":"0.31","trdVol":"1.73","trdVolM":"0.17","ntP":"13.57","mVal":"0.14","wkhi":"1,247.65","wklo":"746.15","wkhicm_adj":"955.60","wklocm_adj":"417.70","xDt":"31-DEC-2999","cAct":"-","yPC":"-7.52","mPC":"-11.50"</v>
      </c>
      <c r="C79" s="14" t="s">
        <v>80</v>
      </c>
      <c r="D79" s="6" t="str">
        <f t="shared" si="28"/>
        <v>778.00</v>
      </c>
      <c r="E79" s="6" t="str">
        <f t="shared" si="28"/>
        <v>793.90</v>
      </c>
      <c r="F79" s="6" t="str">
        <f t="shared" si="28"/>
        <v>778.00</v>
      </c>
      <c r="G79" s="6" t="str">
        <f t="shared" si="28"/>
        <v>786.35</v>
      </c>
      <c r="H79" s="7" t="str">
        <f t="shared" si="34"/>
        <v xml:space="preserve">LONG </v>
      </c>
      <c r="I79" s="8">
        <f t="shared" si="35"/>
        <v>783</v>
      </c>
      <c r="J79" s="9">
        <f t="shared" si="36"/>
        <v>774.11</v>
      </c>
      <c r="K79" s="10">
        <f t="shared" si="37"/>
        <v>4.2784163473818934E-3</v>
      </c>
    </row>
    <row r="80" spans="2:11" x14ac:dyDescent="0.25">
      <c r="B80" t="str">
        <f t="shared" si="33"/>
        <v>"DABUR","open":"295.55","high":"299.90","low":"292.00","ltP":"298.40","ptsC":"2.60","per":"0.88","trdVol":"5.85","trdVolM":"0.58","ntP":"17.36","mVal":"0.17","wkhi":"316.40","wklo":"231.50","wkhicm_adj":"249.15","wklocm_adj":"159.50","xDt":"31-DEC-2999","cAct":"-","yPC":"9.83","mPC":"9.50"</v>
      </c>
      <c r="C80" s="14" t="s">
        <v>81</v>
      </c>
      <c r="D80" s="6" t="str">
        <f t="shared" si="28"/>
        <v>295.55</v>
      </c>
      <c r="E80" s="6" t="str">
        <f t="shared" si="28"/>
        <v>299.90</v>
      </c>
      <c r="F80" s="6" t="str">
        <f t="shared" si="28"/>
        <v>292.00</v>
      </c>
      <c r="G80" s="6" t="str">
        <f t="shared" si="28"/>
        <v>298.40</v>
      </c>
      <c r="H80" s="7" t="str">
        <f t="shared" si="34"/>
        <v xml:space="preserve">   </v>
      </c>
      <c r="I80" s="8" t="str">
        <f t="shared" si="35"/>
        <v xml:space="preserve">   </v>
      </c>
      <c r="J80" s="9" t="str">
        <f t="shared" si="36"/>
        <v xml:space="preserve">   </v>
      </c>
      <c r="K80" s="10" t="str">
        <f t="shared" si="37"/>
        <v xml:space="preserve">   </v>
      </c>
    </row>
    <row r="81" spans="2:11" x14ac:dyDescent="0.25">
      <c r="B81" t="str">
        <f t="shared" si="33"/>
        <v>"DIVISLAB","open":"1,120.65","high":"1,120.80","low":"1,081.00","ltP":"1,100.00","ptsC":"15.35","per":"1.42","trdVol":"5.31","trdVolM":"0.53","ntP":"58.18","mVal":"0.58","wkhi":"1,242.35","wklo":"863.90","wkhicm_adj":"1,888.05","wklocm_adj":"1,097.00","xDt":"17-MAR-2016","cAct":"INTERIM DIVIDEND - RS 10\/- PER SHARE (PURPOSE REVISED)","yPC":"-39.15","mPC":"5.54"</v>
      </c>
      <c r="C81" s="14" t="s">
        <v>82</v>
      </c>
      <c r="D81" s="6" t="str">
        <f t="shared" si="28"/>
        <v>1,120.65</v>
      </c>
      <c r="E81" s="6" t="str">
        <f t="shared" si="28"/>
        <v>1,120.80</v>
      </c>
      <c r="F81" s="6" t="str">
        <f t="shared" si="28"/>
        <v>1,081.00</v>
      </c>
      <c r="G81" s="6" t="str">
        <f t="shared" si="28"/>
        <v>1,100.00</v>
      </c>
      <c r="H81" s="7" t="str">
        <f t="shared" si="34"/>
        <v xml:space="preserve">   </v>
      </c>
      <c r="I81" s="8" t="str">
        <f t="shared" si="35"/>
        <v xml:space="preserve">   </v>
      </c>
      <c r="J81" s="9" t="str">
        <f t="shared" si="36"/>
        <v xml:space="preserve">   </v>
      </c>
      <c r="K81" s="10" t="str">
        <f t="shared" si="37"/>
        <v xml:space="preserve">   </v>
      </c>
    </row>
    <row r="82" spans="2:11" x14ac:dyDescent="0.25">
      <c r="B82" t="str">
        <f t="shared" si="33"/>
        <v>"DLF","open":"129.00","high":"133.90","low":"126.05","ltP":"126.35","ptsC":"-2.60","per":"-2.02","trdVol":"97.25","trdVolM":"9.72","ntP":"125.94","mVal":"1.26","wkhi":"142.90","wklo":"72.35","wkhicm_adj":"242.95","wklocm_adj":"100.10","xDt":"28-MAR-2016","cAct":"INTERIM DIVIDEND - RS 2\/- PER SHARE (PURPOSE REVISED)","yPC":"5.82","mPC":"2.47"</v>
      </c>
      <c r="C82" s="14" t="s">
        <v>83</v>
      </c>
      <c r="D82" s="6" t="str">
        <f t="shared" si="28"/>
        <v>129.00</v>
      </c>
      <c r="E82" s="6" t="str">
        <f t="shared" si="28"/>
        <v>133.90</v>
      </c>
      <c r="F82" s="6" t="str">
        <f t="shared" si="28"/>
        <v>126.05</v>
      </c>
      <c r="G82" s="6" t="str">
        <f t="shared" si="28"/>
        <v>126.35</v>
      </c>
      <c r="H82" s="7" t="str">
        <f t="shared" si="34"/>
        <v xml:space="preserve">   </v>
      </c>
      <c r="I82" s="8" t="str">
        <f t="shared" si="35"/>
        <v xml:space="preserve">   </v>
      </c>
      <c r="J82" s="9" t="str">
        <f t="shared" si="36"/>
        <v xml:space="preserve">   </v>
      </c>
      <c r="K82" s="10" t="str">
        <f t="shared" si="37"/>
        <v xml:space="preserve">   </v>
      </c>
    </row>
    <row r="83" spans="2:11" x14ac:dyDescent="0.25">
      <c r="B83" t="str">
        <f t="shared" si="33"/>
        <v>"EMAMILTD","open":"1,016.20","high":"1,032.00","low":"1,007.50","ltP":"1,026.45","ptsC":"11.55","per":"1.14","trdVol":"0.79","trdVolM":"0.08","ntP":"8.13","mVal":"0.08","wkhi":"1,365.00","wklo":"901.00","wkhicm_adj":"824.70","wklocm_adj":"420.00","xDt":"31-DEC-2999","cAct":"-","yPC":"-7.01","mPC":"1.89"</v>
      </c>
      <c r="C83" s="14" t="s">
        <v>84</v>
      </c>
      <c r="D83" s="6" t="str">
        <f t="shared" si="28"/>
        <v>1,016.20</v>
      </c>
      <c r="E83" s="6" t="str">
        <f t="shared" si="28"/>
        <v>1,032.00</v>
      </c>
      <c r="F83" s="6" t="str">
        <f t="shared" si="28"/>
        <v>1,007.50</v>
      </c>
      <c r="G83" s="6" t="str">
        <f t="shared" si="28"/>
        <v>1,026.45</v>
      </c>
      <c r="H83" s="7" t="str">
        <f t="shared" si="34"/>
        <v xml:space="preserve">   </v>
      </c>
      <c r="I83" s="8" t="str">
        <f t="shared" si="35"/>
        <v xml:space="preserve">   </v>
      </c>
      <c r="J83" s="9" t="str">
        <f t="shared" si="36"/>
        <v xml:space="preserve">   </v>
      </c>
      <c r="K83" s="10" t="str">
        <f t="shared" si="37"/>
        <v xml:space="preserve">   </v>
      </c>
    </row>
    <row r="84" spans="2:11" x14ac:dyDescent="0.25">
      <c r="B84" t="str">
        <f t="shared" si="33"/>
        <v>"GLAXO","open":"3,482.00","high":"3,557.95","low":"3,482.00","ltP":"3,526.50","ptsC":"-1.85","per":"-0.05","trdVol":"0.02","trdVolM":"0.00","ntP":"0.59","mVal":"0.01","wkhi":"3,872.00","wklo":"3,032.05","wkhicm_adj":"3,054.50","wklocm_adj":"2,365.00","xDt":"31-DEC-2999","cAct":"-","yPC":"10.17","mPC":"-6.43"</v>
      </c>
      <c r="C84" s="14" t="s">
        <v>85</v>
      </c>
      <c r="D84" s="6" t="str">
        <f t="shared" si="28"/>
        <v>3,482.00</v>
      </c>
      <c r="E84" s="6" t="str">
        <f t="shared" si="28"/>
        <v>3,557.95</v>
      </c>
      <c r="F84" s="6" t="str">
        <f t="shared" si="28"/>
        <v>3,482.00</v>
      </c>
      <c r="G84" s="6" t="str">
        <f t="shared" si="28"/>
        <v>3,526.50</v>
      </c>
      <c r="H84" s="7" t="str">
        <f t="shared" si="34"/>
        <v xml:space="preserve">LONG </v>
      </c>
      <c r="I84" s="8">
        <f t="shared" si="35"/>
        <v>3492</v>
      </c>
      <c r="J84" s="9">
        <f t="shared" si="36"/>
        <v>3464.59</v>
      </c>
      <c r="K84" s="10">
        <f t="shared" si="37"/>
        <v>9.8797250859106525E-3</v>
      </c>
    </row>
    <row r="85" spans="2:11" x14ac:dyDescent="0.25">
      <c r="B85" t="str">
        <f t="shared" si="33"/>
        <v>"GLENMARK","open":"876.50","high":"887.35","low":"875.25","ltP":"878.30","ptsC":"2.80","per":"0.32","trdVol":"1.84","trdVolM":"0.18","ntP":"16.18","mVal":"0.16","wkhi":"1,262.90","wklo":"671.10","wkhicm_adj":"841.00","wklocm_adj":"493.00","xDt":"31-DEC-2999","cAct":"-","yPC":"2.43","mPC":"6.25"</v>
      </c>
      <c r="C85" s="14" t="s">
        <v>86</v>
      </c>
      <c r="D85" s="6" t="str">
        <f t="shared" si="28"/>
        <v>876.50</v>
      </c>
      <c r="E85" s="6" t="str">
        <f t="shared" si="28"/>
        <v>887.35</v>
      </c>
      <c r="F85" s="6" t="str">
        <f t="shared" si="28"/>
        <v>875.25</v>
      </c>
      <c r="G85" s="6" t="str">
        <f t="shared" si="28"/>
        <v>878.30</v>
      </c>
      <c r="H85" s="7" t="str">
        <f t="shared" si="34"/>
        <v xml:space="preserve">   </v>
      </c>
      <c r="I85" s="8" t="str">
        <f t="shared" si="35"/>
        <v xml:space="preserve">   </v>
      </c>
      <c r="J85" s="9" t="str">
        <f t="shared" si="36"/>
        <v xml:space="preserve">   </v>
      </c>
      <c r="K85" s="10" t="str">
        <f t="shared" si="37"/>
        <v xml:space="preserve">   </v>
      </c>
    </row>
    <row r="86" spans="2:11" x14ac:dyDescent="0.25">
      <c r="B86" t="str">
        <f t="shared" si="33"/>
        <v>"GODREJCP","open":"1,527.10","high":"1,536.85","low":"1,512.00","ltP":"1,527.00","ptsC":"0.55","per":"0.04","trdVol":"1.32","trdVolM":"0.13","ntP":"20.08","mVal":"0.20","wkhi":"1,536.85","wklo":"1,037.00","wkhicm_adj":"1,119.00","wklocm_adj":"667.00","xDt":"10-MAY-2016","cAct":"INTERIM DIVIDEND - RS 2.75\/- PER SHARE (PURPOSE REVISED)","yPC":"39.29","mPC":"11.57"</v>
      </c>
      <c r="C86" s="14" t="s">
        <v>87</v>
      </c>
      <c r="D86" s="6" t="str">
        <f t="shared" ref="D86:G105" si="38">MID($B86,FIND(D$9,$B86)+LEN(D$9)+3,FIND(CHAR(34),$B86,FIND(D$9,$B86)+LEN(D$9)+3)-(FIND(D$9,$B86)+LEN(D$9)+3))</f>
        <v>1,527.10</v>
      </c>
      <c r="E86" s="6" t="str">
        <f t="shared" si="38"/>
        <v>1,536.85</v>
      </c>
      <c r="F86" s="6" t="str">
        <f t="shared" si="38"/>
        <v>1,512.00</v>
      </c>
      <c r="G86" s="6" t="str">
        <f t="shared" si="38"/>
        <v>1,527.00</v>
      </c>
      <c r="H86" s="7" t="str">
        <f t="shared" si="34"/>
        <v xml:space="preserve">   </v>
      </c>
      <c r="I86" s="8" t="str">
        <f t="shared" si="35"/>
        <v xml:space="preserve">   </v>
      </c>
      <c r="J86" s="9" t="str">
        <f t="shared" si="36"/>
        <v xml:space="preserve">   </v>
      </c>
      <c r="K86" s="10" t="str">
        <f t="shared" si="37"/>
        <v xml:space="preserve">   </v>
      </c>
    </row>
    <row r="87" spans="2:11" x14ac:dyDescent="0.25">
      <c r="B87" t="str">
        <f t="shared" si="33"/>
        <v>"GSKCONS","open":"5,919.00","high":"6,036.00","low":"5,880.00","ltP":"5,999.95","ptsC":"87.15","per":"1.47","trdVol":"0.05","trdVolM":"0.01","ntP":"3.18","mVal":"0.03","wkhi":"6,800.00","wklo":"5,405.00","wkhicm_adj":"5,999.00","wklocm_adj":"4,011.00","xDt":"31-DEC-2999","cAct":"-","yPC":"-5.91","mPC":"-0.27"</v>
      </c>
      <c r="C87" s="14" t="s">
        <v>88</v>
      </c>
      <c r="D87" s="6" t="str">
        <f t="shared" si="38"/>
        <v>5,919.00</v>
      </c>
      <c r="E87" s="6" t="str">
        <f t="shared" si="38"/>
        <v>6,036.00</v>
      </c>
      <c r="F87" s="6" t="str">
        <f t="shared" si="38"/>
        <v>5,880.00</v>
      </c>
      <c r="G87" s="6" t="str">
        <f t="shared" si="38"/>
        <v>5,999.95</v>
      </c>
      <c r="H87" s="7" t="str">
        <f t="shared" si="34"/>
        <v xml:space="preserve">   </v>
      </c>
      <c r="I87" s="8" t="str">
        <f t="shared" si="35"/>
        <v xml:space="preserve">   </v>
      </c>
      <c r="J87" s="9" t="str">
        <f t="shared" si="36"/>
        <v xml:space="preserve">   </v>
      </c>
      <c r="K87" s="10" t="str">
        <f t="shared" si="37"/>
        <v xml:space="preserve">   </v>
      </c>
    </row>
    <row r="88" spans="2:11" x14ac:dyDescent="0.25">
      <c r="B88" t="str">
        <f t="shared" si="33"/>
        <v>"HINDPETRO","open":"938.00","high":"945.10","low":"910.05","ltP":"915.70","ptsC":"-15.95","per":"-1.71","trdVol":"17.11","trdVolM":"1.71","ntP":"157.33","mVal":"1.57","wkhi":"990.95","wklo":"625.70","wkhicm_adj":"627.80","wklocm_adj":"205.05","xDt":"17-MAR-2016","cAct":"INTERIM DIVIDEND - RS 7\/- PER SHARE (PURPOSE REVISED)","yPC":"44.01","mPC":"6.72"</v>
      </c>
      <c r="C88" s="14" t="s">
        <v>67</v>
      </c>
      <c r="D88" s="6" t="str">
        <f t="shared" si="38"/>
        <v>938.00</v>
      </c>
      <c r="E88" s="6" t="str">
        <f t="shared" si="38"/>
        <v>945.10</v>
      </c>
      <c r="F88" s="6" t="str">
        <f t="shared" si="38"/>
        <v>910.05</v>
      </c>
      <c r="G88" s="6" t="str">
        <f t="shared" si="38"/>
        <v>915.70</v>
      </c>
      <c r="H88" s="7" t="str">
        <f t="shared" si="34"/>
        <v xml:space="preserve">   </v>
      </c>
      <c r="I88" s="8" t="str">
        <f t="shared" si="35"/>
        <v xml:space="preserve">   </v>
      </c>
      <c r="J88" s="9" t="str">
        <f t="shared" si="36"/>
        <v xml:space="preserve">   </v>
      </c>
      <c r="K88" s="10" t="str">
        <f t="shared" si="37"/>
        <v xml:space="preserve">   </v>
      </c>
    </row>
    <row r="89" spans="2:11" x14ac:dyDescent="0.25">
      <c r="B89" t="str">
        <f t="shared" si="33"/>
        <v>"HINDZINC","open":"169.95","high":"170.35","low":"167.15","ltP":"169.10","ptsC":"0.60","per":"0.36","trdVol":"5.35","trdVolM":"0.54","ntP":"9.04","mVal":"0.09","wkhi":"196.80","wklo":"117.05","wkhicm_adj":"184.00","wklocm_adj":"114.80","xDt":"31-DEC-2999","cAct":"-","yPC":"-1.28","mPC":"-2.20"</v>
      </c>
      <c r="C89" s="14" t="s">
        <v>89</v>
      </c>
      <c r="D89" s="6" t="str">
        <f t="shared" si="38"/>
        <v>169.95</v>
      </c>
      <c r="E89" s="6" t="str">
        <f t="shared" si="38"/>
        <v>170.35</v>
      </c>
      <c r="F89" s="6" t="str">
        <f t="shared" si="38"/>
        <v>167.15</v>
      </c>
      <c r="G89" s="6" t="str">
        <f t="shared" si="38"/>
        <v>169.10</v>
      </c>
      <c r="H89" s="7" t="str">
        <f t="shared" si="34"/>
        <v xml:space="preserve">   </v>
      </c>
      <c r="I89" s="8" t="str">
        <f t="shared" si="35"/>
        <v xml:space="preserve">   </v>
      </c>
      <c r="J89" s="9" t="str">
        <f t="shared" si="36"/>
        <v xml:space="preserve">   </v>
      </c>
      <c r="K89" s="10" t="str">
        <f t="shared" si="37"/>
        <v xml:space="preserve">   </v>
      </c>
    </row>
    <row r="90" spans="2:11" x14ac:dyDescent="0.25">
      <c r="B90" t="str">
        <f t="shared" si="33"/>
        <v>"IBULHSGFIN","open":"750.00","high":"754.25","low":"731.50","ltP":"732.10","ptsC":"-11.65","per":"-1.57","trdVol":"5.54","trdVolM":"0.55","ntP":"41.29","mVal":"0.41","wkhi":"820.85","wklo":"541.50","wkhicm_adj":"484.95","wklocm_adj":"187.05","xDt":"18-MAR-2016","cAct":"INTERIM DIVIDEND - RS 9\/- PER SHARE","yPC":"23.45","mPC":"4.16"</v>
      </c>
      <c r="C90" s="14" t="s">
        <v>90</v>
      </c>
      <c r="D90" s="6" t="str">
        <f t="shared" si="38"/>
        <v>750.00</v>
      </c>
      <c r="E90" s="6" t="str">
        <f t="shared" si="38"/>
        <v>754.25</v>
      </c>
      <c r="F90" s="6" t="str">
        <f t="shared" si="38"/>
        <v>731.50</v>
      </c>
      <c r="G90" s="6" t="str">
        <f t="shared" si="38"/>
        <v>732.10</v>
      </c>
      <c r="H90" s="7" t="str">
        <f t="shared" si="34"/>
        <v xml:space="preserve">   </v>
      </c>
      <c r="I90" s="8" t="str">
        <f t="shared" si="35"/>
        <v xml:space="preserve">   </v>
      </c>
      <c r="J90" s="9" t="str">
        <f t="shared" si="36"/>
        <v xml:space="preserve">   </v>
      </c>
      <c r="K90" s="10" t="str">
        <f t="shared" si="37"/>
        <v xml:space="preserve">   </v>
      </c>
    </row>
    <row r="91" spans="2:11" x14ac:dyDescent="0.25">
      <c r="B91" t="str">
        <f t="shared" si="33"/>
        <v>"IOC","open":"412.00","high":"412.80","low":"402.30","ltP":"402.75","ptsC":"-10.20","per":"-2.47","trdVol":"14.78","trdVolM":"1.48","ntP":"60.06","mVal":"0.60","wkhi":"465.90","wklo":"336.20","wkhicm_adj":"411.20","wklocm_adj":"193.75","xDt":"31-DEC-2999","cAct":"-","yPC":"11.67","mPC":"-7.87"</v>
      </c>
      <c r="C91" s="14" t="s">
        <v>91</v>
      </c>
      <c r="D91" s="6" t="str">
        <f t="shared" si="38"/>
        <v>412.00</v>
      </c>
      <c r="E91" s="6" t="str">
        <f t="shared" si="38"/>
        <v>412.80</v>
      </c>
      <c r="F91" s="6" t="str">
        <f t="shared" si="38"/>
        <v>402.30</v>
      </c>
      <c r="G91" s="6" t="str">
        <f t="shared" si="38"/>
        <v>402.75</v>
      </c>
      <c r="H91" s="7" t="str">
        <f t="shared" si="34"/>
        <v xml:space="preserve">   </v>
      </c>
      <c r="I91" s="8" t="str">
        <f t="shared" si="35"/>
        <v xml:space="preserve">   </v>
      </c>
      <c r="J91" s="9" t="str">
        <f t="shared" si="36"/>
        <v xml:space="preserve">   </v>
      </c>
      <c r="K91" s="10" t="str">
        <f t="shared" si="37"/>
        <v xml:space="preserve">   </v>
      </c>
    </row>
    <row r="92" spans="2:11" x14ac:dyDescent="0.25">
      <c r="B92" t="str">
        <f t="shared" si="33"/>
        <v>"JSWSTEEL","open":"1,378.00","high":"1,393.00","low":"1,357.80","ltP":"1,372.05","ptsC":"-3.60","per":"-0.26","trdVol":"4.22","trdVolM":"0.42","ntP":"58.03","mVal":"0.58","wkhi":"1,393.00","wklo":"800.00","wkhicm_adj":"1,366.50","wklocm_adj":"804.00","xDt":"31-DEC-2999","cAct":"-","yPC":"49.77","mPC":"0.69"</v>
      </c>
      <c r="C92" s="14" t="s">
        <v>92</v>
      </c>
      <c r="D92" s="6" t="str">
        <f t="shared" si="38"/>
        <v>1,378.00</v>
      </c>
      <c r="E92" s="6" t="str">
        <f t="shared" si="38"/>
        <v>1,393.00</v>
      </c>
      <c r="F92" s="6" t="str">
        <f t="shared" si="38"/>
        <v>1,357.80</v>
      </c>
      <c r="G92" s="6" t="str">
        <f t="shared" si="38"/>
        <v>1,372.05</v>
      </c>
      <c r="H92" s="7" t="str">
        <f t="shared" si="34"/>
        <v xml:space="preserve">   </v>
      </c>
      <c r="I92" s="8" t="str">
        <f t="shared" si="35"/>
        <v xml:space="preserve">   </v>
      </c>
      <c r="J92" s="9" t="str">
        <f t="shared" si="36"/>
        <v xml:space="preserve">   </v>
      </c>
      <c r="K92" s="10" t="str">
        <f t="shared" si="37"/>
        <v xml:space="preserve">   </v>
      </c>
    </row>
    <row r="93" spans="2:11" x14ac:dyDescent="0.25">
      <c r="B93" t="str">
        <f t="shared" si="33"/>
        <v>"LICHSGFIN","open":"463.90","high":"468.00","low":"460.55","ltP":"466.50","ptsC":"4.55","per":"0.98","trdVol":"10.36","trdVolM":"1.04","ntP":"48.19","mVal":"0.48","wkhi":"523.95","wklo":"388.65","wkhicm_adj":"429.50","wklocm_adj":"187.05","xDt":"31-DEC-2999","cAct":"-","yPC":"13.45","mPC":"0.85"</v>
      </c>
      <c r="C93" s="14" t="s">
        <v>93</v>
      </c>
      <c r="D93" s="6" t="str">
        <f t="shared" si="38"/>
        <v>463.90</v>
      </c>
      <c r="E93" s="6" t="str">
        <f t="shared" si="38"/>
        <v>468.00</v>
      </c>
      <c r="F93" s="6" t="str">
        <f t="shared" si="38"/>
        <v>460.55</v>
      </c>
      <c r="G93" s="6" t="str">
        <f t="shared" si="38"/>
        <v>466.50</v>
      </c>
      <c r="H93" s="7" t="str">
        <f t="shared" si="34"/>
        <v xml:space="preserve">   </v>
      </c>
      <c r="I93" s="8" t="str">
        <f t="shared" si="35"/>
        <v xml:space="preserve">   </v>
      </c>
      <c r="J93" s="9" t="str">
        <f t="shared" si="36"/>
        <v xml:space="preserve">   </v>
      </c>
      <c r="K93" s="10" t="str">
        <f t="shared" si="37"/>
        <v xml:space="preserve">   </v>
      </c>
    </row>
    <row r="94" spans="2:11" x14ac:dyDescent="0.25">
      <c r="B94" t="str">
        <f t="shared" si="33"/>
        <v>"MARICO","open":"257.00","high":"260.45","low":"252.80","ltP":"253.05","ptsC":"-4.25","per":"-1.65","trdVol":"4.48","trdVolM":"0.45","ntP":"11.47","mVal":"0.11","wkhi":"269.25","wklo":"189.30","wkhicm_adj":"350.20","wklocm_adj":"200.05","xDt":"17-MAR-2016","cAct":"INTERIM DIVIDEND - RE 1\/- PER SHARE (PURPOSE REVISED)","yPC":"-38.25","mPC":"1.22"</v>
      </c>
      <c r="C94" s="14" t="s">
        <v>94</v>
      </c>
      <c r="D94" s="6" t="str">
        <f t="shared" si="38"/>
        <v>257.00</v>
      </c>
      <c r="E94" s="6" t="str">
        <f t="shared" si="38"/>
        <v>260.45</v>
      </c>
      <c r="F94" s="6" t="str">
        <f t="shared" si="38"/>
        <v>252.80</v>
      </c>
      <c r="G94" s="6" t="str">
        <f t="shared" si="38"/>
        <v>253.05</v>
      </c>
      <c r="H94" s="7" t="str">
        <f t="shared" si="34"/>
        <v xml:space="preserve">   </v>
      </c>
      <c r="I94" s="8" t="str">
        <f t="shared" si="35"/>
        <v xml:space="preserve">   </v>
      </c>
      <c r="J94" s="9" t="str">
        <f t="shared" si="36"/>
        <v xml:space="preserve">   </v>
      </c>
      <c r="K94" s="10" t="str">
        <f t="shared" si="37"/>
        <v xml:space="preserve">   </v>
      </c>
    </row>
    <row r="95" spans="2:11" x14ac:dyDescent="0.25">
      <c r="B95" t="str">
        <f t="shared" si="33"/>
        <v>"MCDOWELL-N","open":"2,505.00","high":"2,507.00","low":"2,464.10","ltP":"2,492.00","ptsC":"10.85","per":"0.44","trdVol":"1.18","trdVolM":"0.12","ntP":"29.29","mVal":"0.29","wkhi":"3,837.90","wklo":"2,225.45","wkhicm_adj":"2,940.80","wklocm_adj":"2,225.00","xDt":"31-DEC-2999","cAct":"-","yPC":"-27.28","mPC":"5.44"</v>
      </c>
      <c r="C95" s="14" t="s">
        <v>95</v>
      </c>
      <c r="D95" s="6" t="str">
        <f t="shared" si="38"/>
        <v>2,505.00</v>
      </c>
      <c r="E95" s="6" t="str">
        <f t="shared" si="38"/>
        <v>2,507.00</v>
      </c>
      <c r="F95" s="6" t="str">
        <f t="shared" si="38"/>
        <v>2,464.10</v>
      </c>
      <c r="G95" s="6" t="str">
        <f t="shared" si="38"/>
        <v>2,492.00</v>
      </c>
      <c r="H95" s="7" t="str">
        <f t="shared" si="34"/>
        <v xml:space="preserve">   </v>
      </c>
      <c r="I95" s="8" t="str">
        <f t="shared" si="35"/>
        <v xml:space="preserve">   </v>
      </c>
      <c r="J95" s="9" t="str">
        <f t="shared" si="36"/>
        <v xml:space="preserve">   </v>
      </c>
      <c r="K95" s="10" t="str">
        <f t="shared" si="37"/>
        <v xml:space="preserve">   </v>
      </c>
    </row>
    <row r="96" spans="2:11" x14ac:dyDescent="0.25">
      <c r="B96" t="str">
        <f t="shared" si="33"/>
        <v>"MOTHERSUMI","open":"278.10","high":"286.75","low":"276.00","ltP":"284.95","ptsC":"5.70","per":"2.04","trdVol":"21.55","trdVolM":"2.15","ntP":"60.92","mVal":"0.61","wkhi":"396.00","wklo":"205.90","wkhicm_adj":"450.70","wklocm_adj":"178.25","xDt":"22-MAR-2016","cAct":"INTERIM DIVIDEND - RS 2.50\/- PER SHARE (PURPOSE REVISED)","yPC":"-39.85","mPC":"8.35"</v>
      </c>
      <c r="C96" s="14" t="s">
        <v>96</v>
      </c>
      <c r="D96" s="6" t="str">
        <f t="shared" si="38"/>
        <v>278.10</v>
      </c>
      <c r="E96" s="6" t="str">
        <f t="shared" si="38"/>
        <v>286.75</v>
      </c>
      <c r="F96" s="6" t="str">
        <f t="shared" si="38"/>
        <v>276.00</v>
      </c>
      <c r="G96" s="6" t="str">
        <f t="shared" si="38"/>
        <v>284.95</v>
      </c>
      <c r="H96" s="7" t="str">
        <f t="shared" si="34"/>
        <v xml:space="preserve">   </v>
      </c>
      <c r="I96" s="8" t="str">
        <f t="shared" si="35"/>
        <v xml:space="preserve">   </v>
      </c>
      <c r="J96" s="9" t="str">
        <f t="shared" si="36"/>
        <v xml:space="preserve">   </v>
      </c>
      <c r="K96" s="10" t="str">
        <f t="shared" si="37"/>
        <v xml:space="preserve">   </v>
      </c>
    </row>
    <row r="97" spans="2:11" x14ac:dyDescent="0.25">
      <c r="B97" t="str">
        <f t="shared" si="33"/>
        <v>"NHPC","open":"22.80","high":"23.95","low":"22.05","ltP":"22.75","ptsC":"-0.35","per":"-1.52","trdVol":"110.42","trdVolM":"11.04","ntP":"25.29","mVal":"0.25","wkhi":"24.45","wklo":"15.55","wkhicm_adj":"29.60","wklocm_adj":"17.35","xDt":"31-DEC-2999","cAct":"-","yPC":"12.62","mPC":"5.57"</v>
      </c>
      <c r="C97" s="14" t="s">
        <v>97</v>
      </c>
      <c r="D97" s="6" t="str">
        <f t="shared" si="38"/>
        <v>22.80</v>
      </c>
      <c r="E97" s="6" t="str">
        <f t="shared" si="38"/>
        <v>23.95</v>
      </c>
      <c r="F97" s="6" t="str">
        <f t="shared" si="38"/>
        <v>22.05</v>
      </c>
      <c r="G97" s="6" t="str">
        <f t="shared" si="38"/>
        <v>22.75</v>
      </c>
      <c r="H97" s="7" t="str">
        <f t="shared" si="34"/>
        <v xml:space="preserve">   </v>
      </c>
      <c r="I97" s="8" t="str">
        <f t="shared" si="35"/>
        <v xml:space="preserve">   </v>
      </c>
      <c r="J97" s="9" t="str">
        <f t="shared" si="36"/>
        <v xml:space="preserve">   </v>
      </c>
      <c r="K97" s="10" t="str">
        <f t="shared" si="37"/>
        <v xml:space="preserve">   </v>
      </c>
    </row>
    <row r="98" spans="2:11" x14ac:dyDescent="0.25">
      <c r="B98" t="str">
        <f t="shared" si="33"/>
        <v>"NMDC","open":"93.05","high":"93.25","low":"87.95","ltP":"89.75","ptsC":"-2.95","per":"-3.18","trdVol":"24.47","trdVolM":"2.45","ntP":"22.14","mVal":"0.22","wkhi":"133.50","wklo":"75.15","wkhicm_adj":"196.00","wklocm_adj":"123.10","xDt":"30-MAR-2016","cAct":"INTERIM DIVIDEND - RS 1.50\/- PER SHARE (PURPOSE REVISED)","yPC":"-31.67","mPC":"-9.11"</v>
      </c>
      <c r="C98" s="14" t="s">
        <v>60</v>
      </c>
      <c r="D98" s="6" t="str">
        <f t="shared" si="38"/>
        <v>93.05</v>
      </c>
      <c r="E98" s="6" t="str">
        <f t="shared" si="38"/>
        <v>93.25</v>
      </c>
      <c r="F98" s="6" t="str">
        <f t="shared" si="38"/>
        <v>87.95</v>
      </c>
      <c r="G98" s="6" t="str">
        <f t="shared" si="38"/>
        <v>89.75</v>
      </c>
      <c r="H98" s="7" t="str">
        <f t="shared" si="34"/>
        <v xml:space="preserve">   </v>
      </c>
      <c r="I98" s="8" t="str">
        <f t="shared" si="35"/>
        <v xml:space="preserve">   </v>
      </c>
      <c r="J98" s="9" t="str">
        <f t="shared" si="36"/>
        <v xml:space="preserve">   </v>
      </c>
      <c r="K98" s="10" t="str">
        <f t="shared" si="37"/>
        <v xml:space="preserve">   </v>
      </c>
    </row>
    <row r="99" spans="2:11" x14ac:dyDescent="0.25">
      <c r="B99" t="str">
        <f t="shared" si="33"/>
        <v>"OFSS","open":"3,524.00","high":"3,524.00","low":"3,462.70","ltP":"3,498.25","ptsC":"11.50","per":"0.33","trdVol":"0.16","trdVolM":"0.02","ntP":"5.59","mVal":"0.06","wkhi":"4,444.00","wklo":"3,100.00","wkhicm_adj":"4,180.00","wklocm_adj":"2,770.00","xDt":"31-DEC-2999","cAct":"-","yPC":"-3.62","mPC":"-1.52"</v>
      </c>
      <c r="C99" s="14" t="s">
        <v>98</v>
      </c>
      <c r="D99" s="6" t="str">
        <f t="shared" si="38"/>
        <v>3,524.00</v>
      </c>
      <c r="E99" s="6" t="str">
        <f t="shared" si="38"/>
        <v>3,524.00</v>
      </c>
      <c r="F99" s="6" t="str">
        <f t="shared" si="38"/>
        <v>3,462.70</v>
      </c>
      <c r="G99" s="6" t="str">
        <f t="shared" si="38"/>
        <v>3,498.25</v>
      </c>
      <c r="H99" s="7" t="str">
        <f t="shared" si="34"/>
        <v xml:space="preserve">SHORT </v>
      </c>
      <c r="I99" s="8">
        <f t="shared" si="35"/>
        <v>3514</v>
      </c>
      <c r="J99" s="9">
        <f t="shared" si="36"/>
        <v>3541.62</v>
      </c>
      <c r="K99" s="10">
        <f t="shared" si="37"/>
        <v>4.4820717131474107E-3</v>
      </c>
    </row>
    <row r="100" spans="2:11" x14ac:dyDescent="0.25">
      <c r="B100" t="str">
        <f t="shared" si="33"/>
        <v>"OIL","open":"351.90","high":"354.95","low":"343.10","ltP":"348.05","ptsC":"-0.65","per":"-0.19","trdVol":"2.29","trdVolM":"0.23","ntP":"8.00","mVal":"0.08","wkhi":"487.55","wklo":"300.35","wkhicm_adj":"669.95","wklocm_adj":"438.00","xDt":"31-DEC-2999","cAct":"-","yPC":"-26.89","mPC":"6.15"</v>
      </c>
      <c r="C100" s="14" t="s">
        <v>99</v>
      </c>
      <c r="D100" s="6" t="str">
        <f t="shared" si="38"/>
        <v>351.90</v>
      </c>
      <c r="E100" s="6" t="str">
        <f t="shared" si="38"/>
        <v>354.95</v>
      </c>
      <c r="F100" s="6" t="str">
        <f t="shared" si="38"/>
        <v>343.10</v>
      </c>
      <c r="G100" s="6" t="str">
        <f t="shared" si="38"/>
        <v>348.05</v>
      </c>
      <c r="H100" s="7" t="str">
        <f t="shared" si="34"/>
        <v xml:space="preserve">   </v>
      </c>
      <c r="I100" s="8" t="str">
        <f t="shared" si="35"/>
        <v xml:space="preserve">   </v>
      </c>
      <c r="J100" s="9" t="str">
        <f t="shared" si="36"/>
        <v xml:space="preserve">   </v>
      </c>
      <c r="K100" s="10" t="str">
        <f t="shared" si="37"/>
        <v xml:space="preserve">   </v>
      </c>
    </row>
    <row r="101" spans="2:11" x14ac:dyDescent="0.25">
      <c r="B101" t="str">
        <f t="shared" si="33"/>
        <v>"PFC","open":"166.55","high":"170.90","low":"165.80","ltP":"167.40","ptsC":"1.10","per":"0.66","trdVol":"13.22","trdVolM":"1.32","ntP":"22.18","mVal":"0.22","wkhi":"283.40","wklo":"140.25","wkhicm_adj":"344.75","wklocm_adj":"128.75","xDt":"31-DEC-2999","cAct":"-","yPC":"-40.30","mPC":"-6.64"</v>
      </c>
      <c r="C101" s="14" t="s">
        <v>100</v>
      </c>
      <c r="D101" s="6" t="str">
        <f t="shared" si="38"/>
        <v>166.55</v>
      </c>
      <c r="E101" s="6" t="str">
        <f t="shared" si="38"/>
        <v>170.90</v>
      </c>
      <c r="F101" s="6" t="str">
        <f t="shared" si="38"/>
        <v>165.80</v>
      </c>
      <c r="G101" s="6" t="str">
        <f t="shared" si="38"/>
        <v>167.40</v>
      </c>
      <c r="H101" s="7" t="str">
        <f t="shared" si="34"/>
        <v xml:space="preserve">   </v>
      </c>
      <c r="I101" s="8" t="str">
        <f t="shared" si="35"/>
        <v xml:space="preserve">   </v>
      </c>
      <c r="J101" s="9" t="str">
        <f t="shared" si="36"/>
        <v xml:space="preserve">   </v>
      </c>
      <c r="K101" s="10" t="str">
        <f t="shared" si="37"/>
        <v xml:space="preserve">   </v>
      </c>
    </row>
    <row r="102" spans="2:11" x14ac:dyDescent="0.25">
      <c r="B102" t="str">
        <f t="shared" si="33"/>
        <v>"PGHH","open":"6,289.00","high":"6,294.70","low":"6,177.10","ltP":"6,199.20","ptsC":"-90.35","per":"-1.44","trdVol":"0.02","trdVolM":"0.00","ntP":"1.22","mVal":"0.01","wkhi":"6,995.00","wklo":"5,178.65","wkhicm_adj":"5,949.00","wklocm_adj":"2,752.00","xDt":"31-DEC-2999","cAct":"-","yPC":"-3.49","mPC":"-3.49"</v>
      </c>
      <c r="C102" s="14" t="s">
        <v>101</v>
      </c>
      <c r="D102" s="6" t="str">
        <f t="shared" si="38"/>
        <v>6,289.00</v>
      </c>
      <c r="E102" s="6" t="str">
        <f t="shared" si="38"/>
        <v>6,294.70</v>
      </c>
      <c r="F102" s="6" t="str">
        <f t="shared" si="38"/>
        <v>6,177.10</v>
      </c>
      <c r="G102" s="6" t="str">
        <f t="shared" si="38"/>
        <v>6,199.20</v>
      </c>
      <c r="H102" s="7" t="str">
        <f t="shared" si="34"/>
        <v xml:space="preserve">   </v>
      </c>
      <c r="I102" s="8" t="str">
        <f t="shared" si="35"/>
        <v xml:space="preserve">   </v>
      </c>
      <c r="J102" s="9" t="str">
        <f t="shared" si="36"/>
        <v xml:space="preserve">   </v>
      </c>
      <c r="K102" s="10" t="str">
        <f t="shared" si="37"/>
        <v xml:space="preserve">   </v>
      </c>
    </row>
    <row r="103" spans="2:11" x14ac:dyDescent="0.25">
      <c r="B103" t="str">
        <f t="shared" si="33"/>
        <v>"PIDILITIND","open":"698.50","high":"708.65","low":"691.35","ltP":"700.05","ptsC":"5.40","per":"0.78","trdVol":"2.55","trdVolM":"0.26","ntP":"17.89","mVal":"0.18","wkhi":"709.00","wklo":"507.30","wkhicm_adj":"505.90","wklocm_adj":"269.60","xDt":"18-MAR-2016","cAct":"INTERIM DIVIDEND - RS 3.65\/- PER SHARE (PURPOSE REVISED)","yPC":"26.95","mPC":"15.44"</v>
      </c>
      <c r="C103" s="14" t="s">
        <v>102</v>
      </c>
      <c r="D103" s="6" t="str">
        <f t="shared" si="38"/>
        <v>698.50</v>
      </c>
      <c r="E103" s="6" t="str">
        <f t="shared" si="38"/>
        <v>708.65</v>
      </c>
      <c r="F103" s="6" t="str">
        <f t="shared" si="38"/>
        <v>691.35</v>
      </c>
      <c r="G103" s="6" t="str">
        <f t="shared" si="38"/>
        <v>700.05</v>
      </c>
      <c r="H103" s="7" t="str">
        <f t="shared" si="34"/>
        <v xml:space="preserve">   </v>
      </c>
      <c r="I103" s="8" t="str">
        <f t="shared" si="35"/>
        <v xml:space="preserve">   </v>
      </c>
      <c r="J103" s="9" t="str">
        <f t="shared" si="36"/>
        <v xml:space="preserve">   </v>
      </c>
      <c r="K103" s="10" t="str">
        <f t="shared" si="37"/>
        <v xml:space="preserve">   </v>
      </c>
    </row>
    <row r="104" spans="2:11" x14ac:dyDescent="0.25">
      <c r="B104" t="str">
        <f t="shared" si="33"/>
        <v>"PNB","open":"78.00","high":"78.90","low":"76.40","ltP":"77.20","ptsC":"0.60","per":"0.78","trdVol":"73.96","trdVolM":"7.40","ntP":"57.46","mVal":"0.57","wkhi":"180.55","wklo":"69.25","wkhicm_adj":"1,096.50","wklocm_adj":"509.15","xDt":"31-DEC-2999","cAct":"-","yPC":"-50.59","mPC":"-14.32"</v>
      </c>
      <c r="C104" s="14" t="s">
        <v>44</v>
      </c>
      <c r="D104" s="6" t="str">
        <f t="shared" si="38"/>
        <v>78.00</v>
      </c>
      <c r="E104" s="6" t="str">
        <f t="shared" si="38"/>
        <v>78.90</v>
      </c>
      <c r="F104" s="6" t="str">
        <f t="shared" si="38"/>
        <v>76.40</v>
      </c>
      <c r="G104" s="6" t="str">
        <f t="shared" si="38"/>
        <v>77.20</v>
      </c>
      <c r="H104" s="7" t="str">
        <f t="shared" si="34"/>
        <v xml:space="preserve">   </v>
      </c>
      <c r="I104" s="8" t="str">
        <f t="shared" si="35"/>
        <v xml:space="preserve">   </v>
      </c>
      <c r="J104" s="9" t="str">
        <f t="shared" si="36"/>
        <v xml:space="preserve">   </v>
      </c>
      <c r="K104" s="10" t="str">
        <f t="shared" si="37"/>
        <v xml:space="preserve">   </v>
      </c>
    </row>
    <row r="105" spans="2:11" x14ac:dyDescent="0.25">
      <c r="B105" t="str">
        <f t="shared" si="33"/>
        <v>"RCOM","open":"49.30","high":"50.65","low":"48.90","ltP":"49.10","ptsC":"0.15","per":"0.31","trdVol":"164.47","trdVolM":"16.45","ntP":"81.79","mVal":"0.82","wkhi":"91.75","wklo":"45.50","wkhicm_adj":"157.25","wklocm_adj":"93.05","xDt":"31-DEC-2999","cAct":"-","yPC":"-23.93","mPC":"-17.34"</v>
      </c>
      <c r="C105" s="14" t="s">
        <v>103</v>
      </c>
      <c r="D105" s="6" t="str">
        <f t="shared" si="38"/>
        <v>49.30</v>
      </c>
      <c r="E105" s="6" t="str">
        <f t="shared" si="38"/>
        <v>50.65</v>
      </c>
      <c r="F105" s="6" t="str">
        <f t="shared" si="38"/>
        <v>48.90</v>
      </c>
      <c r="G105" s="6" t="str">
        <f t="shared" si="38"/>
        <v>49.10</v>
      </c>
      <c r="H105" s="7" t="str">
        <f t="shared" si="34"/>
        <v xml:space="preserve">   </v>
      </c>
      <c r="I105" s="8" t="str">
        <f t="shared" si="35"/>
        <v xml:space="preserve">   </v>
      </c>
      <c r="J105" s="9" t="str">
        <f t="shared" si="36"/>
        <v xml:space="preserve">   </v>
      </c>
      <c r="K105" s="10" t="str">
        <f t="shared" si="37"/>
        <v xml:space="preserve">   </v>
      </c>
    </row>
    <row r="106" spans="2:11" x14ac:dyDescent="0.25">
      <c r="B106" t="str">
        <f t="shared" si="33"/>
        <v>"RECLTD","open":"159.50","high":"163.50","low":"159.50","ltP":"160.75","ptsC":"5.35","per":"3.44","trdVol":"49.52","trdVolM":"4.95","ntP":"80.01","mVal":"0.80","wkhi":"304.90","wklo":"152.25","wkhicm_adj":"383.40","wklocm_adj":"166.50","xDt":"31-DEC-2999","cAct":"-","yPC":"-46.72","mPC":"-11.82"</v>
      </c>
      <c r="C106" s="14" t="s">
        <v>104</v>
      </c>
      <c r="D106" s="6" t="str">
        <f t="shared" ref="D106:G115" si="39">MID($B106,FIND(D$9,$B106)+LEN(D$9)+3,FIND(CHAR(34),$B106,FIND(D$9,$B106)+LEN(D$9)+3)-(FIND(D$9,$B106)+LEN(D$9)+3))</f>
        <v>159.50</v>
      </c>
      <c r="E106" s="6" t="str">
        <f t="shared" si="39"/>
        <v>163.50</v>
      </c>
      <c r="F106" s="6" t="str">
        <f t="shared" si="39"/>
        <v>159.50</v>
      </c>
      <c r="G106" s="6" t="str">
        <f t="shared" si="39"/>
        <v>160.75</v>
      </c>
      <c r="H106" s="7" t="str">
        <f t="shared" si="34"/>
        <v xml:space="preserve">LONG </v>
      </c>
      <c r="I106" s="8">
        <f t="shared" si="35"/>
        <v>162</v>
      </c>
      <c r="J106" s="9">
        <f t="shared" si="36"/>
        <v>158.70249999999999</v>
      </c>
      <c r="K106" s="10">
        <f t="shared" si="37"/>
        <v>-7.716049382716049E-3</v>
      </c>
    </row>
    <row r="107" spans="2:11" x14ac:dyDescent="0.25">
      <c r="B107" t="str">
        <f t="shared" si="33"/>
        <v>"SAIL","open":"43.00","high":"43.65","low":"42.35","ltP":"42.70","ptsC":"0.00","per":"0.00","trdVol":"52.78","trdVolM":"5.28","ntP":"22.71","mVal":"0.23","wkhi":"67.30","wklo":"33.50","wkhicm_adj":"112.95","wklocm_adj":"54.05","xDt":"31-DEC-2999","cAct":"-","yPC":"-35.11","mPC":"-7.07"</v>
      </c>
      <c r="C107" s="14" t="s">
        <v>105</v>
      </c>
      <c r="D107" s="6" t="str">
        <f t="shared" si="39"/>
        <v>43.00</v>
      </c>
      <c r="E107" s="6" t="str">
        <f t="shared" si="39"/>
        <v>43.65</v>
      </c>
      <c r="F107" s="6" t="str">
        <f t="shared" si="39"/>
        <v>42.35</v>
      </c>
      <c r="G107" s="6" t="str">
        <f t="shared" si="39"/>
        <v>42.70</v>
      </c>
      <c r="H107" s="7" t="str">
        <f t="shared" si="34"/>
        <v xml:space="preserve">   </v>
      </c>
      <c r="I107" s="8" t="str">
        <f t="shared" si="35"/>
        <v xml:space="preserve">   </v>
      </c>
      <c r="J107" s="9" t="str">
        <f t="shared" si="36"/>
        <v xml:space="preserve">   </v>
      </c>
      <c r="K107" s="10" t="str">
        <f t="shared" si="37"/>
        <v xml:space="preserve">   </v>
      </c>
    </row>
    <row r="108" spans="2:11" x14ac:dyDescent="0.25">
      <c r="B108" t="str">
        <f t="shared" si="33"/>
        <v>"SHREECEM","open":"13,142.00","high":"13,450.00","low":"13,140.00","ltP":"13,384.05","ptsC":"244.00","per":"1.86","trdVol":"0.05","trdVolM":"0.01","ntP":"7.17","mVal":"0.07","wkhi":"13,888.00","wklo":"9,399.95","wkhicm_adj":"9,297.70","wklocm_adj":"4,100.10","xDt":"17-MAR-2016","cAct":"INTERIM DIVIDEND - RS 12\/- PER SHARE (PUPOSE REVISED)","yPC":"22.75","mPC":"5.17"</v>
      </c>
      <c r="C108" s="14" t="s">
        <v>106</v>
      </c>
      <c r="D108" s="6" t="str">
        <f t="shared" si="39"/>
        <v>13,142.00</v>
      </c>
      <c r="E108" s="6" t="str">
        <f t="shared" si="39"/>
        <v>13,450.00</v>
      </c>
      <c r="F108" s="6" t="str">
        <f t="shared" si="39"/>
        <v>13,140.00</v>
      </c>
      <c r="G108" s="6" t="str">
        <f t="shared" si="39"/>
        <v>13,384.05</v>
      </c>
      <c r="H108" s="7" t="str">
        <f t="shared" si="34"/>
        <v xml:space="preserve">   </v>
      </c>
      <c r="I108" s="8" t="str">
        <f t="shared" si="35"/>
        <v xml:space="preserve">   </v>
      </c>
      <c r="J108" s="9" t="str">
        <f t="shared" si="36"/>
        <v xml:space="preserve">   </v>
      </c>
      <c r="K108" s="10" t="str">
        <f t="shared" si="37"/>
        <v xml:space="preserve">   </v>
      </c>
    </row>
    <row r="109" spans="2:11" x14ac:dyDescent="0.25">
      <c r="B109" t="str">
        <f t="shared" si="33"/>
        <v>"SIEMENS","open":"1,202.80","high":"1,231.00","low":"1,198.10","ltP":"1,223.30","ptsC":"20.55","per":"1.71","trdVol":"2.55","trdVolM":"0.25","ntP":"31.07","mVal":"0.31","wkhi":"1,559.70","wklo":"968.60","wkhicm_adj":"1,010.00","wklocm_adj":"513.00","xDt":"31-DEC-2999","cAct":"-","yPC":"-11.81","mPC":"3.46"</v>
      </c>
      <c r="C109" s="14" t="s">
        <v>107</v>
      </c>
      <c r="D109" s="6" t="str">
        <f t="shared" si="39"/>
        <v>1,202.80</v>
      </c>
      <c r="E109" s="6" t="str">
        <f t="shared" si="39"/>
        <v>1,231.00</v>
      </c>
      <c r="F109" s="6" t="str">
        <f t="shared" si="39"/>
        <v>1,198.10</v>
      </c>
      <c r="G109" s="6" t="str">
        <f t="shared" si="39"/>
        <v>1,223.30</v>
      </c>
      <c r="H109" s="7" t="str">
        <f t="shared" si="34"/>
        <v xml:space="preserve">   </v>
      </c>
      <c r="I109" s="8" t="str">
        <f t="shared" si="35"/>
        <v xml:space="preserve">   </v>
      </c>
      <c r="J109" s="9" t="str">
        <f t="shared" si="36"/>
        <v xml:space="preserve">   </v>
      </c>
      <c r="K109" s="10" t="str">
        <f t="shared" si="37"/>
        <v xml:space="preserve">   </v>
      </c>
    </row>
    <row r="110" spans="2:11" x14ac:dyDescent="0.25">
      <c r="B110" t="str">
        <f t="shared" si="33"/>
        <v>"SRTRANSFIN","open":"1,190.15","high":"1,219.80","low":"1,175.65","ltP":"1,200.00","ptsC":"5.95","per":"0.50","trdVol":"4.38","trdVolM":"0.44","ntP":"52.48","mVal":"0.52","wkhi":"1,219.80","wklo":"736.95","wkhicm_adj":"1,139.00","wklocm_adj":"548.70","xDt":"31-DEC-2999","cAct":"-","yPC":"44.07","mPC":"20.68"</v>
      </c>
      <c r="C110" s="14" t="s">
        <v>108</v>
      </c>
      <c r="D110" s="6" t="str">
        <f t="shared" si="39"/>
        <v>1,190.15</v>
      </c>
      <c r="E110" s="6" t="str">
        <f t="shared" si="39"/>
        <v>1,219.80</v>
      </c>
      <c r="F110" s="6" t="str">
        <f t="shared" si="39"/>
        <v>1,175.65</v>
      </c>
      <c r="G110" s="6" t="str">
        <f t="shared" si="39"/>
        <v>1,200.00</v>
      </c>
      <c r="H110" s="7" t="str">
        <f t="shared" si="34"/>
        <v xml:space="preserve">   </v>
      </c>
      <c r="I110" s="8" t="str">
        <f t="shared" si="35"/>
        <v xml:space="preserve">   </v>
      </c>
      <c r="J110" s="9" t="str">
        <f t="shared" si="36"/>
        <v xml:space="preserve">   </v>
      </c>
      <c r="K110" s="10" t="str">
        <f t="shared" si="37"/>
        <v xml:space="preserve">   </v>
      </c>
    </row>
    <row r="111" spans="2:11" x14ac:dyDescent="0.25">
      <c r="B111" t="str">
        <f t="shared" si="33"/>
        <v>"TITAN","open":"361.10","high":"363.20","low":"354.25","ltP":"356.75","ptsC":"-3.70","per":"-1.03","trdVol":"14.59","trdVolM":"1.46","ntP":"52.11","mVal":"0.52","wkhi":"392.40","wklo":"301.70","wkhicm_adj":"425.00","wklocm_adj":"202.45","xDt":"22-MAR-2016","cAct":"INTERIM DIVIDEND - RS 2.20\/- PER SHARE (PURPOSE REVISED)","yPC":"-6.18","mPC":"-3.97"</v>
      </c>
      <c r="C111" s="14" t="s">
        <v>109</v>
      </c>
      <c r="D111" s="6" t="str">
        <f t="shared" si="39"/>
        <v>361.10</v>
      </c>
      <c r="E111" s="6" t="str">
        <f t="shared" si="39"/>
        <v>363.20</v>
      </c>
      <c r="F111" s="6" t="str">
        <f t="shared" si="39"/>
        <v>354.25</v>
      </c>
      <c r="G111" s="6" t="str">
        <f t="shared" si="39"/>
        <v>356.75</v>
      </c>
      <c r="H111" s="7" t="str">
        <f t="shared" si="34"/>
        <v xml:space="preserve">   </v>
      </c>
      <c r="I111" s="8" t="str">
        <f t="shared" si="35"/>
        <v xml:space="preserve">   </v>
      </c>
      <c r="J111" s="9" t="str">
        <f t="shared" si="36"/>
        <v xml:space="preserve">   </v>
      </c>
      <c r="K111" s="10" t="str">
        <f t="shared" si="37"/>
        <v xml:space="preserve">   </v>
      </c>
    </row>
    <row r="112" spans="2:11" x14ac:dyDescent="0.25">
      <c r="B112" t="str">
        <f t="shared" si="33"/>
        <v>"TORNTPHARM","open":"1,379.00","high":"1,384.80","low":"1,353.25","ltP":"1,368.00","ptsC":"-10.50","per":"-0.76","trdVol":"0.37","trdVolM":"0.04","ntP":"5.08","mVal":"0.05","wkhi":"1,718.40","wklo":"1,169.05","wkhicm_adj":"1,135.00","wklocm_adj":"458.00","xDt":"16-MAR-2016","cAct":"INTERIM DIVIDEND - RS 15\/- PER SHARE (PURPOSE REVISED)","yPC":"10.42","mPC":"-5.19"</v>
      </c>
      <c r="C112" s="14" t="s">
        <v>110</v>
      </c>
      <c r="D112" s="6" t="str">
        <f t="shared" si="39"/>
        <v>1,379.00</v>
      </c>
      <c r="E112" s="6" t="str">
        <f t="shared" si="39"/>
        <v>1,384.80</v>
      </c>
      <c r="F112" s="6" t="str">
        <f t="shared" si="39"/>
        <v>1,353.25</v>
      </c>
      <c r="G112" s="6" t="str">
        <f t="shared" si="39"/>
        <v>1,368.00</v>
      </c>
      <c r="H112" s="7" t="str">
        <f t="shared" si="34"/>
        <v xml:space="preserve">   </v>
      </c>
      <c r="I112" s="8" t="str">
        <f t="shared" si="35"/>
        <v xml:space="preserve">   </v>
      </c>
      <c r="J112" s="9" t="str">
        <f t="shared" si="36"/>
        <v xml:space="preserve">   </v>
      </c>
      <c r="K112" s="10" t="str">
        <f t="shared" si="37"/>
        <v xml:space="preserve">   </v>
      </c>
    </row>
    <row r="113" spans="2:11" x14ac:dyDescent="0.25">
      <c r="B113" t="str">
        <f t="shared" si="33"/>
        <v>"UBL","open":"726.80","high":"727.90","low":"709.00","ltP":"709.40","ptsC":"-12.90","per":"-1.79","trdVol":"2.00","trdVolM":"0.20","ntP":"14.36","mVal":"0.14","wkhi":"1,074.95","wklo":"690.00","wkhicm_adj":"859.00","wklocm_adj":"615.65","xDt":"31-DEC-2999","cAct":"-","yPC":"-25.50","mPC":"-6.40"</v>
      </c>
      <c r="C113" s="14" t="s">
        <v>111</v>
      </c>
      <c r="D113" s="6" t="str">
        <f t="shared" si="39"/>
        <v>726.80</v>
      </c>
      <c r="E113" s="6" t="str">
        <f t="shared" si="39"/>
        <v>727.90</v>
      </c>
      <c r="F113" s="6" t="str">
        <f t="shared" si="39"/>
        <v>709.00</v>
      </c>
      <c r="G113" s="6" t="str">
        <f t="shared" si="39"/>
        <v>709.40</v>
      </c>
      <c r="H113" s="7" t="str">
        <f t="shared" si="34"/>
        <v xml:space="preserve">   </v>
      </c>
      <c r="I113" s="8" t="str">
        <f t="shared" si="35"/>
        <v xml:space="preserve">   </v>
      </c>
      <c r="J113" s="9" t="str">
        <f t="shared" si="36"/>
        <v xml:space="preserve">   </v>
      </c>
      <c r="K113" s="10" t="str">
        <f t="shared" si="37"/>
        <v xml:space="preserve">   </v>
      </c>
    </row>
    <row r="114" spans="2:11" x14ac:dyDescent="0.25">
      <c r="B114" t="str">
        <f t="shared" si="33"/>
        <v>"UPL","open":"597.90","high":"602.60","low":"586.40","ltP":"589.65","ptsC":"-5.75","per":"-0.97","trdVol":"9.14","trdVolM":"0.91","ntP":"54.22","mVal":"0.54","wkhi":"612.95","wklo":"367.25","wkhicm_adj":"388.70","wklocm_adj":"161.10","xDt":"31-DEC-2999","cAct":"-","yPC":"13.63","mPC":"14.51"</v>
      </c>
      <c r="C114" s="14" t="s">
        <v>112</v>
      </c>
      <c r="D114" s="6" t="str">
        <f t="shared" si="39"/>
        <v>597.90</v>
      </c>
      <c r="E114" s="6" t="str">
        <f t="shared" si="39"/>
        <v>602.60</v>
      </c>
      <c r="F114" s="6" t="str">
        <f t="shared" si="39"/>
        <v>586.40</v>
      </c>
      <c r="G114" s="6" t="str">
        <f t="shared" si="39"/>
        <v>589.65</v>
      </c>
      <c r="H114" s="7" t="str">
        <f t="shared" si="34"/>
        <v xml:space="preserve">   </v>
      </c>
      <c r="I114" s="8" t="str">
        <f t="shared" si="35"/>
        <v xml:space="preserve">   </v>
      </c>
      <c r="J114" s="9" t="str">
        <f t="shared" si="36"/>
        <v xml:space="preserve">   </v>
      </c>
      <c r="K114" s="10" t="str">
        <f t="shared" si="37"/>
        <v xml:space="preserve">   </v>
      </c>
    </row>
    <row r="115" spans="2:11" x14ac:dyDescent="0.25">
      <c r="B115" t="str">
        <f t="shared" si="33"/>
        <v>"VEDL","open":"104.50","high":"107.45","low":"104.15","ltP":"105.90","ptsC":"3.10","per":"3.02","trdVol":"107.58","trdVolM":"10.76","ntP":"113.88","mVal":"1.14","wkhi":"204.00","wklo":"58.15","wkhicm_adj":"318.30","wklocm_adj":"168.85","xDt":"31-DEC-2999","cAct":"-","yPC":"-46.18","mPC":"1.00"</v>
      </c>
      <c r="C115" s="14" t="s">
        <v>55</v>
      </c>
      <c r="D115" s="6" t="str">
        <f t="shared" si="39"/>
        <v>104.50</v>
      </c>
      <c r="E115" s="6" t="str">
        <f t="shared" si="39"/>
        <v>107.45</v>
      </c>
      <c r="F115" s="6" t="str">
        <f t="shared" si="39"/>
        <v>104.15</v>
      </c>
      <c r="G115" s="6" t="str">
        <f t="shared" si="39"/>
        <v>105.90</v>
      </c>
      <c r="H115" s="7" t="str">
        <f t="shared" si="34"/>
        <v xml:space="preserve">   </v>
      </c>
      <c r="I115" s="8" t="str">
        <f t="shared" si="35"/>
        <v xml:space="preserve">   </v>
      </c>
      <c r="J115" s="9" t="str">
        <f t="shared" si="36"/>
        <v xml:space="preserve">   </v>
      </c>
      <c r="K115" s="10" t="str">
        <f t="shared" si="37"/>
        <v xml:space="preserve">   </v>
      </c>
    </row>
    <row r="119" spans="2:11" x14ac:dyDescent="0.25">
      <c r="C119" s="15" t="s">
        <v>113</v>
      </c>
    </row>
    <row r="120" spans="2:11" x14ac:dyDescent="0.25">
      <c r="B120" t="s">
        <v>1</v>
      </c>
      <c r="C120" s="4" t="s">
        <v>2</v>
      </c>
      <c r="D120" s="4" t="s">
        <v>3</v>
      </c>
      <c r="E120" s="4" t="s">
        <v>4</v>
      </c>
      <c r="F120" s="4" t="s">
        <v>5</v>
      </c>
      <c r="G120" s="4" t="s">
        <v>6</v>
      </c>
      <c r="H120" s="4" t="s">
        <v>7</v>
      </c>
      <c r="I120" s="4" t="s">
        <v>8</v>
      </c>
      <c r="J120" s="4" t="s">
        <v>9</v>
      </c>
      <c r="K120" s="4" t="s">
        <v>59</v>
      </c>
    </row>
    <row r="121" spans="2:11" x14ac:dyDescent="0.25">
      <c r="B121" t="str">
        <f>MID($E$6,FIND(C121,$E$6)-1,FIND("}",$E$6,FIND(C121,$E$6))-FIND(C121,$E$6)+1)</f>
        <v>"ADANIENT","open":"73.90","high":"74.65","low":"72.75","ltP":"73.55","ptsC":"0.20","per":"0.27","trdVol":"8.33","trdVolM":"0.83","ntP":"6.14","mVal":"0.06","wkhi":"791.00","wklo":"58.20","wkhicm_adj":"585.00","wklocm_adj":"210.10","xDt":"22-MAR-2016","cAct":"INTERIM DIVIDEND - RE 0.40\/- PER SHARE (PURPOSE REVISED)","yPC":"-89.99","mPC":"-14.23"</v>
      </c>
      <c r="C121" s="14" t="s">
        <v>114</v>
      </c>
      <c r="D121" s="6" t="str">
        <f>MID($B121,FIND(D$9,$B121)+LEN(D$9)+3,FIND(CHAR(34),$B121,FIND(D$9,$B121)+LEN(D$9)+3)-(FIND(D$9,$B121)+LEN(D$9)+3))</f>
        <v>73.90</v>
      </c>
      <c r="E121" s="6" t="str">
        <f>MID($B121,FIND(E$9,$B121)+LEN(E$9)+3,FIND(CHAR(34),$B121,FIND(E$9,$B121)+LEN(E$9)+3)-(FIND(E$9,$B121)+LEN(E$9)+3))</f>
        <v>74.65</v>
      </c>
      <c r="F121" s="6" t="str">
        <f>MID($B121,FIND(F$9,$B121)+LEN(F$9)+3,FIND(CHAR(34),$B121,FIND(F$9,$B121)+LEN(F$9)+3)-(FIND(F$9,$B121)+LEN(F$9)+3))</f>
        <v>72.75</v>
      </c>
      <c r="G121" s="6" t="str">
        <f>MID($B121,FIND(G$9,$B121)+LEN(G$9)+3,FIND(CHAR(34),$B121,FIND(G$9,$B121)+LEN(G$9)+3)-(FIND(G$9,$B121)+LEN(G$9)+3))</f>
        <v>73.55</v>
      </c>
      <c r="H121" s="7" t="str">
        <f t="shared" ref="H121" si="40">IF(AND(E121=0, F121=0, D121=0),"  ",IF(E121= D121,"SHORT ",IF(F121= D121,"LONG ",IF(E121&lt;&gt; F121&lt;&gt; D121,"   "))))</f>
        <v xml:space="preserve">   </v>
      </c>
      <c r="I121" s="8" t="str">
        <f t="shared" ref="I121" si="41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42">IF(AND(E121=0, F121=0, D121=0),"  ",IF(E121= D121,D121+0.005*D121,IF(F121= D121,D121-0.005*D121,IF(E121&lt;&gt; F121&lt;&gt; D121,"   "))))</f>
        <v xml:space="preserve">   </v>
      </c>
      <c r="K121" s="10" t="str">
        <f t="shared" ref="K121" si="43">IF(AND(E121=0, F121=0, D121=0),"  ",IF(E121= D121,(I121-G121)/I121,IF(F121= D121,(G121-I121)/I121,IF(E121&lt;&gt; F121&lt;&gt; D121,"   "))))</f>
        <v xml:space="preserve">   </v>
      </c>
    </row>
    <row r="122" spans="2:11" x14ac:dyDescent="0.25">
      <c r="B122" t="str">
        <f t="shared" ref="B122:B170" si="44">MID($E$6,FIND(C122,$E$6)-1,FIND("}",$E$6,FIND(C122,$E$6))-FIND(C122,$E$6)+1)</f>
        <v>"ADANIPOWER","open":"30.25","high":"30.50","low":"29.75","ltP":"30.20","ptsC":"0.15","per":"0.50","trdVol":"29.92","trdVolM":"2.99","ntP":"9.01","mVal":"0.09","wkhi":"40.15","wklo":"19.60","wkhicm_adj":"68.35","wklocm_adj":"31.80","xDt":"31-DEC-2999","cAct":"-","yPC":"-21.66","mPC":"-6.50"</v>
      </c>
      <c r="C122" s="14" t="s">
        <v>115</v>
      </c>
      <c r="D122" s="6" t="str">
        <f t="shared" ref="D122:G158" si="45">MID($B122,FIND(D$9,$B122)+LEN(D$9)+3,FIND(CHAR(34),$B122,FIND(D$9,$B122)+LEN(D$9)+3)-(FIND(D$9,$B122)+LEN(D$9)+3))</f>
        <v>30.25</v>
      </c>
      <c r="E122" s="6" t="str">
        <f t="shared" si="45"/>
        <v>30.50</v>
      </c>
      <c r="F122" s="6" t="str">
        <f t="shared" si="45"/>
        <v>29.75</v>
      </c>
      <c r="G122" s="6" t="str">
        <f t="shared" si="45"/>
        <v>30.20</v>
      </c>
      <c r="H122" s="7" t="str">
        <f t="shared" ref="H122:H157" si="46">IF(AND(E122=0, F122=0, D122=0),"  ",IF(E122= D122,"SHORT ",IF(F122= D122,"LONG ",IF(E122&lt;&gt; F122&lt;&gt; D122,"   "))))</f>
        <v xml:space="preserve">   </v>
      </c>
      <c r="I122" s="8" t="str">
        <f t="shared" ref="I122:I157" si="47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8">IF(AND(E122=0, F122=0, D122=0),"  ",IF(E122= D122,D122+0.005*D122,IF(F122= D122,D122-0.005*D122,IF(E122&lt;&gt; F122&lt;&gt; D122,"   "))))</f>
        <v xml:space="preserve">   </v>
      </c>
      <c r="K122" s="10" t="str">
        <f t="shared" ref="K122:K157" si="49">IF(AND(E122=0, F122=0, D122=0),"  ",IF(E122= D122,(I122-G122)/I122,IF(F122= D122,(G122-I122)/I122,IF(E122&lt;&gt; F122&lt;&gt; D122,"   "))))</f>
        <v xml:space="preserve">   </v>
      </c>
    </row>
    <row r="123" spans="2:11" x14ac:dyDescent="0.25">
      <c r="B123" t="str">
        <f t="shared" si="44"/>
        <v>"AJANTPHARM","open":"1,524.05","high":"1,555.00","low":"1,524.05","ltP":"1,539.15","ptsC":"8.95","per":"0.58","trdVol":"0.53","trdVolM":"0.05","ntP":"8.23","mVal":"0.08","wkhi":"1,720.00","wklo":"1,101.05","wkhicm_adj":"2,526.95","wklocm_adj":"776.65","xDt":"31-DEC-2999","cAct":"-","yPC":"6.05","mPC":"0.44"</v>
      </c>
      <c r="C123" s="14" t="s">
        <v>116</v>
      </c>
      <c r="D123" s="6" t="str">
        <f t="shared" si="45"/>
        <v>1,524.05</v>
      </c>
      <c r="E123" s="6" t="str">
        <f t="shared" si="45"/>
        <v>1,555.00</v>
      </c>
      <c r="F123" s="6" t="str">
        <f t="shared" si="45"/>
        <v>1,524.05</v>
      </c>
      <c r="G123" s="6" t="str">
        <f t="shared" si="45"/>
        <v>1,539.15</v>
      </c>
      <c r="H123" s="7" t="str">
        <f t="shared" si="46"/>
        <v xml:space="preserve">LONG </v>
      </c>
      <c r="I123" s="8">
        <f t="shared" si="47"/>
        <v>1531</v>
      </c>
      <c r="J123" s="9">
        <f t="shared" si="48"/>
        <v>1516.42975</v>
      </c>
      <c r="K123" s="10">
        <f t="shared" si="49"/>
        <v>5.3233180927498959E-3</v>
      </c>
    </row>
    <row r="124" spans="2:11" x14ac:dyDescent="0.25">
      <c r="B124" t="str">
        <f t="shared" si="44"/>
        <v>"ALBK","open":"53.60","high":"54.00","low":"52.20","ltP":"52.70","ptsC":"0.00","per":"0.00","trdVol":"14.66","trdVolM":"1.47","ntP":"7.76","mVal":"0.08","wkhi":"108.25","wklo":"39.40","wkhicm_adj":"150.00","wklocm_adj":"72.20","xDt":"31-DEC-2999","cAct":"-","yPC":"-50.02","mPC":"-11.58"</v>
      </c>
      <c r="C124" s="14" t="s">
        <v>117</v>
      </c>
      <c r="D124" s="6" t="str">
        <f t="shared" si="45"/>
        <v>53.60</v>
      </c>
      <c r="E124" s="6" t="str">
        <f t="shared" si="45"/>
        <v>54.00</v>
      </c>
      <c r="F124" s="6" t="str">
        <f t="shared" si="45"/>
        <v>52.20</v>
      </c>
      <c r="G124" s="6" t="str">
        <f t="shared" si="45"/>
        <v>52.70</v>
      </c>
      <c r="H124" s="7" t="str">
        <f t="shared" si="46"/>
        <v xml:space="preserve">   </v>
      </c>
      <c r="I124" s="8" t="str">
        <f t="shared" si="47"/>
        <v xml:space="preserve">   </v>
      </c>
      <c r="J124" s="9" t="str">
        <f t="shared" si="48"/>
        <v xml:space="preserve">   </v>
      </c>
      <c r="K124" s="10" t="str">
        <f t="shared" si="49"/>
        <v xml:space="preserve">   </v>
      </c>
    </row>
    <row r="125" spans="2:11" x14ac:dyDescent="0.25">
      <c r="B125" t="str">
        <f t="shared" si="44"/>
        <v>"AMARAJABAT","open":"865.35","high":"866.90","low":"846.00","ltP":"849.10","ptsC":"-12.10","per":"-1.41","trdVol":"1.35","trdVolM":"0.13","ntP":"11.50","mVal":"0.12","wkhi":"1,128.00","wklo":"774.15","wkhicm_adj":"794.00","wklocm_adj":"315.05","xDt":"22-MAR-2016","cAct":"INTERIM DIVIDEND - RS 4.25\/- PER SHARE (PURPOSE REVISED)","yPC":"-1.72","mPC":"-9.78"</v>
      </c>
      <c r="C125" s="14" t="s">
        <v>118</v>
      </c>
      <c r="D125" s="6" t="str">
        <f t="shared" si="45"/>
        <v>865.35</v>
      </c>
      <c r="E125" s="6" t="str">
        <f t="shared" si="45"/>
        <v>866.90</v>
      </c>
      <c r="F125" s="6" t="str">
        <f t="shared" si="45"/>
        <v>846.00</v>
      </c>
      <c r="G125" s="6" t="str">
        <f t="shared" si="45"/>
        <v>849.10</v>
      </c>
      <c r="H125" s="7" t="str">
        <f t="shared" si="46"/>
        <v xml:space="preserve">   </v>
      </c>
      <c r="I125" s="8" t="str">
        <f t="shared" si="47"/>
        <v xml:space="preserve">   </v>
      </c>
      <c r="J125" s="9" t="str">
        <f t="shared" si="48"/>
        <v xml:space="preserve">   </v>
      </c>
      <c r="K125" s="10" t="str">
        <f t="shared" si="49"/>
        <v xml:space="preserve">   </v>
      </c>
    </row>
    <row r="126" spans="2:11" x14ac:dyDescent="0.25">
      <c r="B126" t="str">
        <f t="shared" si="44"/>
        <v>"APOLLOTYRE","open":"157.90","high":"159.10","low":"154.30","ltP":"156.85","ptsC":"0.00","per":"0.00","trdVol":"5.54","trdVolM":"0.55","ntP":"8.68","mVal":"0.09","wkhi":"223.40","wklo":"127.05","wkhicm_adj":"242.95","wklocm_adj":"77.50","xDt":"31-DEC-2999","cAct":"-","yPC":"-13.87","mPC":"-5.77"</v>
      </c>
      <c r="C126" s="14" t="s">
        <v>119</v>
      </c>
      <c r="D126" s="6" t="str">
        <f t="shared" si="45"/>
        <v>157.90</v>
      </c>
      <c r="E126" s="6" t="str">
        <f t="shared" si="45"/>
        <v>159.10</v>
      </c>
      <c r="F126" s="6" t="str">
        <f t="shared" si="45"/>
        <v>154.30</v>
      </c>
      <c r="G126" s="6" t="str">
        <f t="shared" si="45"/>
        <v>156.85</v>
      </c>
      <c r="H126" s="7" t="str">
        <f t="shared" si="46"/>
        <v xml:space="preserve">   </v>
      </c>
      <c r="I126" s="8" t="str">
        <f t="shared" si="47"/>
        <v xml:space="preserve">   </v>
      </c>
      <c r="J126" s="9" t="str">
        <f t="shared" si="48"/>
        <v xml:space="preserve">   </v>
      </c>
      <c r="K126" s="10" t="str">
        <f t="shared" si="49"/>
        <v xml:space="preserve">   </v>
      </c>
    </row>
    <row r="127" spans="2:11" x14ac:dyDescent="0.25">
      <c r="B127" t="str">
        <f t="shared" si="44"/>
        <v>"ARVIND","open":"315.50","high":"318.00","low":"313.35","ltP":"314.70","ptsC":"-0.65","per":"-0.21","trdVol":"5.87","trdVolM":"0.59","ntP":"18.52","mVal":"0.19","wkhi":"365.70","wklo":"216.30","wkhicm_adj":"341.50","wklocm_adj":"119.00","xDt":"31-DEC-2999","cAct":"-","yPC":"32.12","mPC":"8.05"</v>
      </c>
      <c r="C127" s="14" t="s">
        <v>120</v>
      </c>
      <c r="D127" s="6" t="str">
        <f t="shared" si="45"/>
        <v>315.50</v>
      </c>
      <c r="E127" s="6" t="str">
        <f t="shared" si="45"/>
        <v>318.00</v>
      </c>
      <c r="F127" s="6" t="str">
        <f t="shared" si="45"/>
        <v>313.35</v>
      </c>
      <c r="G127" s="6" t="str">
        <f t="shared" si="45"/>
        <v>314.70</v>
      </c>
      <c r="H127" s="7" t="str">
        <f t="shared" si="46"/>
        <v xml:space="preserve">   </v>
      </c>
      <c r="I127" s="8" t="str">
        <f t="shared" si="47"/>
        <v xml:space="preserve">   </v>
      </c>
      <c r="J127" s="9" t="str">
        <f t="shared" si="48"/>
        <v xml:space="preserve">   </v>
      </c>
      <c r="K127" s="10" t="str">
        <f t="shared" si="49"/>
        <v xml:space="preserve">   </v>
      </c>
    </row>
    <row r="128" spans="2:11" x14ac:dyDescent="0.25">
      <c r="B128" t="str">
        <f t="shared" si="44"/>
        <v>"BANKINDIA","open":"87.55","high":"88.45","low":"85.50","ltP":"86.30","ptsC":"-0.65","per":"-0.75","trdVol":"22.83","trdVolM":"2.28","ntP":"19.76","mVal":"0.20","wkhi":"205.00","wklo":"78.40","wkhicm_adj":"357.00","wklocm_adj":"165.55","xDt":"31-DEC-2999","cAct":"-","yPC":"-55.02","mPC":"-10.85"</v>
      </c>
      <c r="C128" s="14" t="s">
        <v>121</v>
      </c>
      <c r="D128" s="6" t="str">
        <f t="shared" si="45"/>
        <v>87.55</v>
      </c>
      <c r="E128" s="6" t="str">
        <f t="shared" si="45"/>
        <v>88.45</v>
      </c>
      <c r="F128" s="6" t="str">
        <f t="shared" si="45"/>
        <v>85.50</v>
      </c>
      <c r="G128" s="6" t="str">
        <f t="shared" si="45"/>
        <v>86.30</v>
      </c>
      <c r="H128" s="7" t="str">
        <f t="shared" si="46"/>
        <v xml:space="preserve">   </v>
      </c>
      <c r="I128" s="8" t="str">
        <f t="shared" si="47"/>
        <v xml:space="preserve">   </v>
      </c>
      <c r="J128" s="9" t="str">
        <f t="shared" si="48"/>
        <v xml:space="preserve">   </v>
      </c>
      <c r="K128" s="10" t="str">
        <f t="shared" si="49"/>
        <v xml:space="preserve">   </v>
      </c>
    </row>
    <row r="129" spans="2:11" x14ac:dyDescent="0.25">
      <c r="B129" t="str">
        <f t="shared" si="44"/>
        <v>"BATAINDIA","open":"558.65","high":"571.30","low":"557.50","ltP":"568.95","ptsC":"11.65","per":"2.09","trdVol":"5.58","trdVolM":"0.56","ntP":"31.63","mVal":"0.32","wkhi":"622.00","wklo":"438.00","wkhicm_adj":"1,413.40","wklocm_adj":"894.55","xDt":"31-DEC-2999","cAct":"-","yPC":"-45.99","mPC":"0.81"</v>
      </c>
      <c r="C129" s="14" t="s">
        <v>122</v>
      </c>
      <c r="D129" s="6" t="str">
        <f t="shared" si="45"/>
        <v>558.65</v>
      </c>
      <c r="E129" s="6" t="str">
        <f t="shared" si="45"/>
        <v>571.30</v>
      </c>
      <c r="F129" s="6" t="str">
        <f t="shared" si="45"/>
        <v>557.50</v>
      </c>
      <c r="G129" s="6" t="str">
        <f t="shared" si="45"/>
        <v>568.95</v>
      </c>
      <c r="H129" s="7" t="str">
        <f t="shared" si="46"/>
        <v xml:space="preserve">   </v>
      </c>
      <c r="I129" s="8" t="str">
        <f t="shared" si="47"/>
        <v xml:space="preserve">   </v>
      </c>
      <c r="J129" s="9" t="str">
        <f t="shared" si="48"/>
        <v xml:space="preserve">   </v>
      </c>
      <c r="K129" s="10" t="str">
        <f t="shared" si="49"/>
        <v xml:space="preserve">   </v>
      </c>
    </row>
    <row r="130" spans="2:11" x14ac:dyDescent="0.25">
      <c r="B130" t="str">
        <f t="shared" si="44"/>
        <v>"BIOCON","open":"703.90","high":"707.50","low":"686.05","ltP":"689.05","ptsC":"-10.40","per":"-1.49","trdVol":"4.66","trdVolM":"0.47","ntP":"32.30","mVal":"0.32","wkhi":"717.00","wklo":"395.30","wkhicm_adj":"553.60","wklocm_adj":"378.65","xDt":"17-MAR-2016","cAct":"INTERIM DIVIDEND - RS 5\/- PER SHARE (PURPOSE REVISED)","yPC":"55.79","mPC":"20.48"</v>
      </c>
      <c r="C130" s="14" t="s">
        <v>123</v>
      </c>
      <c r="D130" s="6" t="str">
        <f t="shared" si="45"/>
        <v>703.90</v>
      </c>
      <c r="E130" s="6" t="str">
        <f t="shared" si="45"/>
        <v>707.50</v>
      </c>
      <c r="F130" s="6" t="str">
        <f t="shared" si="45"/>
        <v>686.05</v>
      </c>
      <c r="G130" s="6" t="str">
        <f t="shared" si="45"/>
        <v>689.05</v>
      </c>
      <c r="H130" s="7" t="str">
        <f t="shared" si="46"/>
        <v xml:space="preserve">   </v>
      </c>
      <c r="I130" s="8" t="str">
        <f t="shared" si="47"/>
        <v xml:space="preserve">   </v>
      </c>
      <c r="J130" s="9" t="str">
        <f t="shared" si="48"/>
        <v xml:space="preserve">   </v>
      </c>
      <c r="K130" s="10" t="str">
        <f t="shared" si="49"/>
        <v xml:space="preserve">   </v>
      </c>
    </row>
    <row r="131" spans="2:11" x14ac:dyDescent="0.25">
      <c r="B131" t="str">
        <f t="shared" si="44"/>
        <v>"CANBK","open":"194.05","high":"195.70","low":"188.70","ltP":"193.90","ptsC":"1.25","per":"0.65","trdVol":"33.08","trdVolM":"3.31","ntP":"63.70","mVal":"0.64","wkhi":"360.45","wklo":"156.00","wkhicm_adj":"498.00","wklocm_adj":"209.00","xDt":"31-DEC-2999","cAct":"-","yPC":"-43.22","mPC":"-8.49"</v>
      </c>
      <c r="C131" s="14" t="s">
        <v>124</v>
      </c>
      <c r="D131" s="6" t="str">
        <f t="shared" si="45"/>
        <v>194.05</v>
      </c>
      <c r="E131" s="6" t="str">
        <f t="shared" si="45"/>
        <v>195.70</v>
      </c>
      <c r="F131" s="6" t="str">
        <f t="shared" si="45"/>
        <v>188.70</v>
      </c>
      <c r="G131" s="6" t="str">
        <f t="shared" si="45"/>
        <v>193.90</v>
      </c>
      <c r="H131" s="7" t="str">
        <f t="shared" si="46"/>
        <v xml:space="preserve">   </v>
      </c>
      <c r="I131" s="8" t="str">
        <f t="shared" si="47"/>
        <v xml:space="preserve">   </v>
      </c>
      <c r="J131" s="9" t="str">
        <f t="shared" si="48"/>
        <v xml:space="preserve">   </v>
      </c>
      <c r="K131" s="10" t="str">
        <f t="shared" si="49"/>
        <v xml:space="preserve">   </v>
      </c>
    </row>
    <row r="132" spans="2:11" x14ac:dyDescent="0.25">
      <c r="B132" t="str">
        <f t="shared" si="44"/>
        <v>"CENTURYTEX","open":"627.40","high":"628.90","low":"616.85","ltP":"619.15","ptsC":"-4.05","per":"-0.65","trdVol":"3.02","trdVolM":"0.30","ntP":"18.78","mVal":"0.19","wkhi":"748.60","wklo":"403.00","wkhicm_adj":"664.40","wklocm_adj":"248.25","xDt":"31-DEC-2999","cAct":"-","yPC":"-6.68","mPC":"-1.62"</v>
      </c>
      <c r="C132" s="14" t="s">
        <v>125</v>
      </c>
      <c r="D132" s="6" t="str">
        <f t="shared" si="45"/>
        <v>627.40</v>
      </c>
      <c r="E132" s="6" t="str">
        <f t="shared" si="45"/>
        <v>628.90</v>
      </c>
      <c r="F132" s="6" t="str">
        <f t="shared" si="45"/>
        <v>616.85</v>
      </c>
      <c r="G132" s="6" t="str">
        <f t="shared" si="45"/>
        <v>619.15</v>
      </c>
      <c r="H132" s="7" t="str">
        <f t="shared" si="46"/>
        <v xml:space="preserve">   </v>
      </c>
      <c r="I132" s="8" t="str">
        <f t="shared" si="47"/>
        <v xml:space="preserve">   </v>
      </c>
      <c r="J132" s="9" t="str">
        <f t="shared" si="48"/>
        <v xml:space="preserve">   </v>
      </c>
      <c r="K132" s="10" t="str">
        <f t="shared" si="49"/>
        <v xml:space="preserve">   </v>
      </c>
    </row>
    <row r="133" spans="2:11" x14ac:dyDescent="0.25">
      <c r="B133" t="str">
        <f t="shared" si="44"/>
        <v>"CESC","open":"563.70","high":"563.70","low":"552.35","ltP":"556.90","ptsC":"-5.45","per":"-0.97","trdVol":"1.46","trdVolM":"0.15","ntP":"8.11","mVal":"0.08","wkhi":"624.30","wklo":"404.55","wkhicm_adj":"827.45","wklocm_adj":"374.40","xDt":"17-MAR-2016","cAct":"INTERIM DIVIDEND - RS 10\/- PER SHARE (PURPOSE REVISED)","yPC":"1.70","mPC":"0.65"</v>
      </c>
      <c r="C133" s="14" t="s">
        <v>126</v>
      </c>
      <c r="D133" s="6" t="str">
        <f t="shared" si="45"/>
        <v>563.70</v>
      </c>
      <c r="E133" s="6" t="str">
        <f t="shared" si="45"/>
        <v>563.70</v>
      </c>
      <c r="F133" s="6" t="str">
        <f t="shared" si="45"/>
        <v>552.35</v>
      </c>
      <c r="G133" s="6" t="str">
        <f t="shared" si="45"/>
        <v>556.90</v>
      </c>
      <c r="H133" s="7" t="str">
        <f t="shared" si="46"/>
        <v xml:space="preserve">SHORT </v>
      </c>
      <c r="I133" s="8">
        <f t="shared" si="47"/>
        <v>560</v>
      </c>
      <c r="J133" s="9">
        <f t="shared" si="48"/>
        <v>566.51850000000002</v>
      </c>
      <c r="K133" s="10">
        <f t="shared" si="49"/>
        <v>5.5357142857143261E-3</v>
      </c>
    </row>
    <row r="134" spans="2:11" x14ac:dyDescent="0.25">
      <c r="B134" t="str">
        <f t="shared" si="44"/>
        <v>"DISHTV","open":"87.00","high":"88.00","low":"85.40","ltP":"87.45","ptsC":"0.75","per":"0.87","trdVol":"28.48","trdVolM":"2.85","ntP":"24.75","mVal":"0.25","wkhi":"121.65","wklo":"65.20","wkhicm_adj":"65.90","wklocm_adj":"43.15","xDt":"31-DEC-2999","cAct":"-","yPC":"-9.89","mPC":"-3.80"</v>
      </c>
      <c r="C134" s="14" t="s">
        <v>127</v>
      </c>
      <c r="D134" s="6" t="str">
        <f t="shared" si="45"/>
        <v>87.00</v>
      </c>
      <c r="E134" s="6" t="str">
        <f t="shared" si="45"/>
        <v>88.00</v>
      </c>
      <c r="F134" s="6" t="str">
        <f t="shared" si="45"/>
        <v>85.40</v>
      </c>
      <c r="G134" s="6" t="str">
        <f t="shared" si="45"/>
        <v>87.45</v>
      </c>
      <c r="H134" s="7" t="str">
        <f t="shared" si="46"/>
        <v xml:space="preserve">   </v>
      </c>
      <c r="I134" s="8" t="str">
        <f t="shared" si="47"/>
        <v xml:space="preserve">   </v>
      </c>
      <c r="J134" s="9" t="str">
        <f t="shared" si="48"/>
        <v xml:space="preserve">   </v>
      </c>
      <c r="K134" s="10" t="str">
        <f t="shared" si="49"/>
        <v xml:space="preserve">   </v>
      </c>
    </row>
    <row r="135" spans="2:11" x14ac:dyDescent="0.25">
      <c r="B135" t="str">
        <f t="shared" si="44"/>
        <v>"ENGINERSIN","open":"180.30","high":"184.90","low":"178.40","ltP":"182.00","ptsC":"1.55","per":"0.86","trdVol":"4.95","trdVolM":"0.49","ntP":"8.99","mVal":"0.09","wkhi":"252.20","wklo":"143.10","wkhicm_adj":"331.70","wklocm_adj":"142.50","xDt":"08-MAR-2016","cAct":"INTERIM DIVIDEND - RS 2\/- PER SHARE (PURPOSE REVISED)","yPC":"-8.95","mPC":"-1.46"</v>
      </c>
      <c r="C135" s="14" t="s">
        <v>128</v>
      </c>
      <c r="D135" s="6" t="str">
        <f t="shared" si="45"/>
        <v>180.30</v>
      </c>
      <c r="E135" s="6" t="str">
        <f t="shared" si="45"/>
        <v>184.90</v>
      </c>
      <c r="F135" s="6" t="str">
        <f t="shared" si="45"/>
        <v>178.40</v>
      </c>
      <c r="G135" s="6" t="str">
        <f t="shared" si="45"/>
        <v>182.00</v>
      </c>
      <c r="H135" s="7" t="str">
        <f t="shared" si="46"/>
        <v xml:space="preserve">   </v>
      </c>
      <c r="I135" s="8" t="str">
        <f t="shared" si="47"/>
        <v xml:space="preserve">   </v>
      </c>
      <c r="J135" s="9" t="str">
        <f t="shared" si="48"/>
        <v xml:space="preserve">   </v>
      </c>
      <c r="K135" s="10" t="str">
        <f t="shared" si="49"/>
        <v xml:space="preserve">   </v>
      </c>
    </row>
    <row r="136" spans="2:11" x14ac:dyDescent="0.25">
      <c r="B136" t="str">
        <f t="shared" si="44"/>
        <v>"EXIDEIND","open":"158.00","high":"160.00","low":"156.80","ltP":"158.20","ptsC":"0.65","per":"0.41","trdVol":"3.74","trdVolM":"0.37","ntP":"5.93","mVal":"0.06","wkhi":"168.60","wklo":"116.00","wkhicm_adj":"183.40","wklocm_adj":"99.00","xDt":"31-DEC-2999","cAct":"-","yPC":"2.73","mPC":"5.82"</v>
      </c>
      <c r="C136" s="14" t="s">
        <v>129</v>
      </c>
      <c r="D136" s="6" t="str">
        <f t="shared" si="45"/>
        <v>158.00</v>
      </c>
      <c r="E136" s="6" t="str">
        <f t="shared" si="45"/>
        <v>160.00</v>
      </c>
      <c r="F136" s="6" t="str">
        <f t="shared" si="45"/>
        <v>156.80</v>
      </c>
      <c r="G136" s="6" t="str">
        <f t="shared" si="45"/>
        <v>158.20</v>
      </c>
      <c r="H136" s="7" t="str">
        <f t="shared" si="46"/>
        <v xml:space="preserve">   </v>
      </c>
      <c r="I136" s="8" t="str">
        <f t="shared" si="47"/>
        <v xml:space="preserve">   </v>
      </c>
      <c r="J136" s="9" t="str">
        <f t="shared" si="48"/>
        <v xml:space="preserve">   </v>
      </c>
      <c r="K136" s="10" t="str">
        <f t="shared" si="49"/>
        <v xml:space="preserve">   </v>
      </c>
    </row>
    <row r="137" spans="2:11" x14ac:dyDescent="0.25">
      <c r="B137" t="str">
        <f t="shared" si="44"/>
        <v>"FEDERALBNK","open":"53.00","high":"53.30","low":"52.30","ltP":"52.70","ptsC":"0.15","per":"0.29","trdVol":"25.21","trdVolM":"2.52","ntP":"13.30","mVal":"0.13","wkhi":"79.80","wklo":"41.35","wkhicm_adj":"152.95","wklocm_adj":"72.35","xDt":"31-DEC-2999","cAct":"-","yPC":"-26.22","mPC":"9.79"</v>
      </c>
      <c r="C137" s="14" t="s">
        <v>130</v>
      </c>
      <c r="D137" s="6" t="str">
        <f t="shared" si="45"/>
        <v>53.00</v>
      </c>
      <c r="E137" s="6" t="str">
        <f t="shared" si="45"/>
        <v>53.30</v>
      </c>
      <c r="F137" s="6" t="str">
        <f t="shared" si="45"/>
        <v>52.30</v>
      </c>
      <c r="G137" s="6" t="str">
        <f t="shared" si="45"/>
        <v>52.70</v>
      </c>
      <c r="H137" s="7" t="str">
        <f t="shared" si="46"/>
        <v xml:space="preserve">   </v>
      </c>
      <c r="I137" s="8" t="str">
        <f t="shared" si="47"/>
        <v xml:space="preserve">   </v>
      </c>
      <c r="J137" s="9" t="str">
        <f t="shared" si="48"/>
        <v xml:space="preserve">   </v>
      </c>
      <c r="K137" s="10" t="str">
        <f t="shared" si="49"/>
        <v xml:space="preserve">   </v>
      </c>
    </row>
    <row r="138" spans="2:11" x14ac:dyDescent="0.25">
      <c r="B138" t="str">
        <f t="shared" si="44"/>
        <v>"GMRINFRA","open":"11.60","high":"11.65","low":"11.35","ltP":"11.60","ptsC":"0.15","per":"1.31","trdVol":"40.39","trdVolM":"4.04","ntP":"4.66","mVal":"0.05","wkhi":"18.55","wklo":"9.75","wkhicm_adj":"38.25","wklocm_adj":"17.15","xDt":"31-DEC-2999","cAct":"-","yPC":"-19.72","mPC":"-6.83"</v>
      </c>
      <c r="C138" s="14" t="s">
        <v>131</v>
      </c>
      <c r="D138" s="6" t="str">
        <f t="shared" si="45"/>
        <v>11.60</v>
      </c>
      <c r="E138" s="6" t="str">
        <f t="shared" si="45"/>
        <v>11.65</v>
      </c>
      <c r="F138" s="6" t="str">
        <f t="shared" si="45"/>
        <v>11.35</v>
      </c>
      <c r="G138" s="6" t="str">
        <f t="shared" si="45"/>
        <v>11.60</v>
      </c>
      <c r="H138" s="7" t="str">
        <f t="shared" si="46"/>
        <v xml:space="preserve">   </v>
      </c>
      <c r="I138" s="8" t="str">
        <f t="shared" si="47"/>
        <v xml:space="preserve">   </v>
      </c>
      <c r="J138" s="9" t="str">
        <f t="shared" si="48"/>
        <v xml:space="preserve">   </v>
      </c>
      <c r="K138" s="10" t="str">
        <f t="shared" si="49"/>
        <v xml:space="preserve">   </v>
      </c>
    </row>
    <row r="139" spans="2:11" x14ac:dyDescent="0.25">
      <c r="B139" t="str">
        <f t="shared" si="44"/>
        <v>"GODREJIND","open":"348.00","high":"356.95","low":"346.15","ltP":"351.15","ptsC":"3.30","per":"0.95","trdVol":"2.55","trdVolM":"0.25","ntP":"8.98","mVal":"0.09","wkhi":"412.00","wklo":"290.00","wkhicm_adj":"372.80","wklocm_adj":"248.50","xDt":"15-MAR-2016","cAct":"INTERIM DIVIDEND - RE 1.75 PER SHARE (PURPOSE REVISED)","yPC":"-6.98","mPC":"-1.27"</v>
      </c>
      <c r="C139" s="14" t="s">
        <v>132</v>
      </c>
      <c r="D139" s="6" t="str">
        <f t="shared" si="45"/>
        <v>348.00</v>
      </c>
      <c r="E139" s="6" t="str">
        <f t="shared" si="45"/>
        <v>356.95</v>
      </c>
      <c r="F139" s="6" t="str">
        <f t="shared" si="45"/>
        <v>346.15</v>
      </c>
      <c r="G139" s="6" t="str">
        <f t="shared" si="45"/>
        <v>351.15</v>
      </c>
      <c r="H139" s="7" t="str">
        <f t="shared" si="46"/>
        <v xml:space="preserve">   </v>
      </c>
      <c r="I139" s="8" t="str">
        <f t="shared" si="47"/>
        <v xml:space="preserve">   </v>
      </c>
      <c r="J139" s="9" t="str">
        <f t="shared" si="48"/>
        <v xml:space="preserve">   </v>
      </c>
      <c r="K139" s="10" t="str">
        <f t="shared" si="49"/>
        <v xml:space="preserve">   </v>
      </c>
    </row>
    <row r="140" spans="2:11" x14ac:dyDescent="0.25">
      <c r="B140" t="str">
        <f t="shared" si="44"/>
        <v>"HAVELLS","open":"374.50","high":"377.80","low":"370.35","ltP":"371.20","ptsC":"-3.70","per":"-0.99","trdVol":"10.27","trdVolM":"1.03","ntP":"38.26","mVal":"0.38","wkhi":"378.40","wklo":"235.30","wkhicm_adj":"326.50","wklocm_adj":"143.57","xDt":"31-DEC-2999","cAct":"-","yPC":"36.80","mPC":"7.84"</v>
      </c>
      <c r="C140" s="14" t="s">
        <v>133</v>
      </c>
      <c r="D140" s="6" t="str">
        <f t="shared" si="45"/>
        <v>374.50</v>
      </c>
      <c r="E140" s="6" t="str">
        <f t="shared" si="45"/>
        <v>377.80</v>
      </c>
      <c r="F140" s="6" t="str">
        <f t="shared" si="45"/>
        <v>370.35</v>
      </c>
      <c r="G140" s="6" t="str">
        <f t="shared" si="45"/>
        <v>371.20</v>
      </c>
      <c r="H140" s="7" t="str">
        <f t="shared" si="46"/>
        <v xml:space="preserve">   </v>
      </c>
      <c r="I140" s="8" t="str">
        <f t="shared" si="47"/>
        <v xml:space="preserve">   </v>
      </c>
      <c r="J140" s="9" t="str">
        <f t="shared" si="48"/>
        <v xml:space="preserve">   </v>
      </c>
      <c r="K140" s="10" t="str">
        <f t="shared" si="49"/>
        <v xml:space="preserve">   </v>
      </c>
    </row>
    <row r="141" spans="2:11" x14ac:dyDescent="0.25">
      <c r="B141" t="str">
        <f t="shared" si="44"/>
        <v>"HEXAWARE","open":"216.90","high":"218.75","low":"215.20","ltP":"217.35","ptsC":"1.65","per":"0.76","trdVol":"6.06","trdVolM":"0.61","ntP":"13.17","mVal":"0.13","wkhi":"298.50","wklo":"201.50","wkhicm_adj":"226.25","wklocm_adj":"111.90","xDt":"13-MAY-2016","cAct":"INTERIM DIVIDEND - RS 2.50\/- PER SHARE","yPC":"-23.24","mPC":"-10.96"</v>
      </c>
      <c r="C141" s="14" t="s">
        <v>134</v>
      </c>
      <c r="D141" s="6" t="str">
        <f t="shared" si="45"/>
        <v>216.90</v>
      </c>
      <c r="E141" s="6" t="str">
        <f t="shared" si="45"/>
        <v>218.75</v>
      </c>
      <c r="F141" s="6" t="str">
        <f t="shared" si="45"/>
        <v>215.20</v>
      </c>
      <c r="G141" s="6" t="str">
        <f t="shared" si="45"/>
        <v>217.35</v>
      </c>
      <c r="H141" s="7" t="str">
        <f t="shared" si="46"/>
        <v xml:space="preserve">   </v>
      </c>
      <c r="I141" s="8" t="str">
        <f t="shared" si="47"/>
        <v xml:space="preserve">   </v>
      </c>
      <c r="J141" s="9" t="str">
        <f t="shared" si="48"/>
        <v xml:space="preserve">   </v>
      </c>
      <c r="K141" s="10" t="str">
        <f t="shared" si="49"/>
        <v xml:space="preserve">   </v>
      </c>
    </row>
    <row r="142" spans="2:11" x14ac:dyDescent="0.25">
      <c r="B142" t="str">
        <f t="shared" si="44"/>
        <v>"IDBI","open":"68.20","high":"68.70","low":"66.60","ltP":"67.55","ptsC":"0.10","per":"0.15","trdVol":"20.14","trdVolM":"2.01","ntP":"13.61","mVal":"0.14","wkhi":"95.70","wklo":"47.25","wkhicm_adj":"116.40","wklocm_adj":"52.90","xDt":"31-DEC-2999","cAct":"-","yPC":"-4.39","mPC":"-4.72"</v>
      </c>
      <c r="C142" s="14" t="s">
        <v>135</v>
      </c>
      <c r="D142" s="6" t="str">
        <f t="shared" si="45"/>
        <v>68.20</v>
      </c>
      <c r="E142" s="6" t="str">
        <f t="shared" si="45"/>
        <v>68.70</v>
      </c>
      <c r="F142" s="6" t="str">
        <f t="shared" si="45"/>
        <v>66.60</v>
      </c>
      <c r="G142" s="6" t="str">
        <f t="shared" si="45"/>
        <v>67.55</v>
      </c>
      <c r="H142" s="7" t="str">
        <f t="shared" si="46"/>
        <v xml:space="preserve">   </v>
      </c>
      <c r="I142" s="8" t="str">
        <f t="shared" si="47"/>
        <v xml:space="preserve">   </v>
      </c>
      <c r="J142" s="9" t="str">
        <f t="shared" si="48"/>
        <v xml:space="preserve">   </v>
      </c>
      <c r="K142" s="10" t="str">
        <f t="shared" si="49"/>
        <v xml:space="preserve">   </v>
      </c>
    </row>
    <row r="143" spans="2:11" x14ac:dyDescent="0.25">
      <c r="B143" t="str">
        <f t="shared" si="44"/>
        <v>"IDFC","open":"50.35","high":"53.50","low":"49.25","ltP":"52.00","ptsC":"2.35","per":"4.73","trdVol":"69.12","trdVolM":"6.91","ntP":"35.87","mVal":"0.36","wkhi":"163.60","wklo":"34.80","wkhicm_adj":"166.65","wklocm_adj":"88.05","xDt":"31-DEC-2999","cAct":"-","yPC":"-66.02","mPC":"11.95"</v>
      </c>
      <c r="C143" s="14" t="s">
        <v>136</v>
      </c>
      <c r="D143" s="6" t="str">
        <f t="shared" si="45"/>
        <v>50.35</v>
      </c>
      <c r="E143" s="6" t="str">
        <f t="shared" si="45"/>
        <v>53.50</v>
      </c>
      <c r="F143" s="6" t="str">
        <f t="shared" si="45"/>
        <v>49.25</v>
      </c>
      <c r="G143" s="6" t="str">
        <f t="shared" si="45"/>
        <v>52.00</v>
      </c>
      <c r="H143" s="7" t="str">
        <f t="shared" si="46"/>
        <v xml:space="preserve">   </v>
      </c>
      <c r="I143" s="8" t="str">
        <f t="shared" si="47"/>
        <v xml:space="preserve">   </v>
      </c>
      <c r="J143" s="9" t="str">
        <f t="shared" si="48"/>
        <v xml:space="preserve">   </v>
      </c>
      <c r="K143" s="10" t="str">
        <f t="shared" si="49"/>
        <v xml:space="preserve">   </v>
      </c>
    </row>
    <row r="144" spans="2:11" x14ac:dyDescent="0.25">
      <c r="B144" t="str">
        <f t="shared" si="44"/>
        <v>"IGL","open":"574.00","high":"575.60","low":"565.30","ltP":"566.75","ptsC":"-7.55","per":"-1.31","trdVol":"1.65","trdVolM":"0.16","ntP":"9.35","mVal":"0.09","wkhi":"608.00","wklo":"375.35","wkhicm_adj":"458.80","wklocm_adj":"238.05","xDt":"31-DEC-2999","cAct":"-","yPC":"41.63","mPC":"-0.92"</v>
      </c>
      <c r="C144" s="14" t="s">
        <v>137</v>
      </c>
      <c r="D144" s="6" t="str">
        <f t="shared" si="45"/>
        <v>574.00</v>
      </c>
      <c r="E144" s="6" t="str">
        <f t="shared" si="45"/>
        <v>575.60</v>
      </c>
      <c r="F144" s="6" t="str">
        <f t="shared" si="45"/>
        <v>565.30</v>
      </c>
      <c r="G144" s="6" t="str">
        <f t="shared" si="45"/>
        <v>566.75</v>
      </c>
      <c r="H144" s="7" t="str">
        <f t="shared" si="46"/>
        <v xml:space="preserve">   </v>
      </c>
      <c r="I144" s="8" t="str">
        <f t="shared" si="47"/>
        <v xml:space="preserve">   </v>
      </c>
      <c r="J144" s="9" t="str">
        <f t="shared" si="48"/>
        <v xml:space="preserve">   </v>
      </c>
      <c r="K144" s="10" t="str">
        <f t="shared" si="49"/>
        <v xml:space="preserve">   </v>
      </c>
    </row>
    <row r="145" spans="2:11" x14ac:dyDescent="0.25">
      <c r="B145" t="str">
        <f t="shared" si="44"/>
        <v>"IRB","open":"219.95","high":"221.70","low":"216.70","ltP":"218.85","ptsC":"-0.05","per":"-0.02","trdVol":"6.42","trdVolM":"0.64","ntP":"14.05","mVal":"0.14","wkhi":"272.00","wklo":"197.10","wkhicm_adj":"289.65","wklocm_adj":"67.20","xDt":"16-MAR-2016","cAct":"INTERIM DIVIDEND - RS 2\/- PER SHARE (PURPOSE REVISED)","yPC":"-11.24","mPC":"1.44"</v>
      </c>
      <c r="C145" s="14" t="s">
        <v>138</v>
      </c>
      <c r="D145" s="6" t="str">
        <f t="shared" si="45"/>
        <v>219.95</v>
      </c>
      <c r="E145" s="6" t="str">
        <f t="shared" si="45"/>
        <v>221.70</v>
      </c>
      <c r="F145" s="6" t="str">
        <f t="shared" si="45"/>
        <v>216.70</v>
      </c>
      <c r="G145" s="6" t="str">
        <f t="shared" si="45"/>
        <v>218.85</v>
      </c>
      <c r="H145" s="7" t="str">
        <f t="shared" si="46"/>
        <v xml:space="preserve">   </v>
      </c>
      <c r="I145" s="8" t="str">
        <f t="shared" si="47"/>
        <v xml:space="preserve">   </v>
      </c>
      <c r="J145" s="9" t="str">
        <f t="shared" si="48"/>
        <v xml:space="preserve">   </v>
      </c>
      <c r="K145" s="10" t="str">
        <f t="shared" si="49"/>
        <v xml:space="preserve">   </v>
      </c>
    </row>
    <row r="146" spans="2:11" x14ac:dyDescent="0.25">
      <c r="B146" t="str">
        <f t="shared" si="44"/>
        <v>"JINDALSTEL","open":"62.60","high":"63.25","low":"61.40","ltP":"62.05","ptsC":"0.45","per":"0.73","trdVol":"37.47","trdVolM":"3.75","ntP":"23.33","mVal":"0.23","wkhi":"128.70","wklo":"48.10","wkhicm_adj":"351.00","wklocm_adj":"127.70","xDt":"31-DEC-2999","cAct":"-","yPC":"-47.48","mPC":"-19.21"</v>
      </c>
      <c r="C146" s="14" t="s">
        <v>139</v>
      </c>
      <c r="D146" s="6" t="str">
        <f t="shared" si="45"/>
        <v>62.60</v>
      </c>
      <c r="E146" s="6" t="str">
        <f t="shared" si="45"/>
        <v>63.25</v>
      </c>
      <c r="F146" s="6" t="str">
        <f t="shared" si="45"/>
        <v>61.40</v>
      </c>
      <c r="G146" s="6" t="str">
        <f t="shared" si="45"/>
        <v>62.05</v>
      </c>
      <c r="H146" s="7" t="str">
        <f t="shared" si="46"/>
        <v xml:space="preserve">   </v>
      </c>
      <c r="I146" s="8" t="str">
        <f t="shared" si="47"/>
        <v xml:space="preserve">   </v>
      </c>
      <c r="J146" s="9" t="str">
        <f t="shared" si="48"/>
        <v xml:space="preserve">   </v>
      </c>
      <c r="K146" s="10" t="str">
        <f t="shared" si="49"/>
        <v xml:space="preserve">   </v>
      </c>
    </row>
    <row r="147" spans="2:11" x14ac:dyDescent="0.25">
      <c r="B147" t="str">
        <f t="shared" si="44"/>
        <v>"JSWENERGY","open":"72.50","high":"74.40","low":"70.65","ltP":"71.95","ptsC":"0.25","per":"0.35","trdVol":"16.62","trdVolM":"1.66","ntP":"12.02","mVal":"0.12","wkhi":"114.30","wklo":"59.00","wkhicm_adj":"97.40","wklocm_adj":"39.85","xDt":"31-DEC-2999","cAct":"-","yPC":"-35.64","mPC":"6.04"</v>
      </c>
      <c r="C147" s="14" t="s">
        <v>140</v>
      </c>
      <c r="D147" s="6" t="str">
        <f t="shared" si="45"/>
        <v>72.50</v>
      </c>
      <c r="E147" s="6" t="str">
        <f t="shared" si="45"/>
        <v>74.40</v>
      </c>
      <c r="F147" s="6" t="str">
        <f t="shared" si="45"/>
        <v>70.65</v>
      </c>
      <c r="G147" s="6" t="str">
        <f t="shared" si="45"/>
        <v>71.95</v>
      </c>
      <c r="H147" s="7" t="str">
        <f t="shared" si="46"/>
        <v xml:space="preserve">   </v>
      </c>
      <c r="I147" s="8" t="str">
        <f t="shared" si="47"/>
        <v xml:space="preserve">   </v>
      </c>
      <c r="J147" s="9" t="str">
        <f t="shared" si="48"/>
        <v xml:space="preserve">   </v>
      </c>
      <c r="K147" s="10" t="str">
        <f t="shared" si="49"/>
        <v xml:space="preserve">   </v>
      </c>
    </row>
    <row r="148" spans="2:11" x14ac:dyDescent="0.25">
      <c r="B148" t="str">
        <f t="shared" si="44"/>
        <v>"JUBLFOOD","open":"1,094.00","high":"1,094.00","low":"1,011.10","ltP":"1,027.05","ptsC":"-84.90","per":"-7.64","trdVol":"16.62","trdVolM":"1.66","ntP":"173.97","mVal":"1.74","wkhi":"1,959.50","wklo":"887.35","wkhicm_adj":"1,497.40","wklocm_adj":"937.70","xDt":"31-DEC-2999","cAct":"-","yPC":"-41.55","mPC":"-22.91"</v>
      </c>
      <c r="C148" s="14" t="s">
        <v>141</v>
      </c>
      <c r="D148" s="6" t="str">
        <f t="shared" si="45"/>
        <v>1,094.00</v>
      </c>
      <c r="E148" s="6" t="str">
        <f t="shared" si="45"/>
        <v>1,094.00</v>
      </c>
      <c r="F148" s="6" t="str">
        <f t="shared" si="45"/>
        <v>1,011.10</v>
      </c>
      <c r="G148" s="6" t="str">
        <f t="shared" si="45"/>
        <v>1,027.05</v>
      </c>
      <c r="H148" s="7" t="str">
        <f t="shared" si="46"/>
        <v xml:space="preserve">SHORT </v>
      </c>
      <c r="I148" s="8">
        <f t="shared" si="47"/>
        <v>1088</v>
      </c>
      <c r="J148" s="9">
        <f t="shared" si="48"/>
        <v>1099.47</v>
      </c>
      <c r="K148" s="10">
        <f t="shared" si="49"/>
        <v>5.6020220588235338E-2</v>
      </c>
    </row>
    <row r="149" spans="2:11" x14ac:dyDescent="0.25">
      <c r="B149" t="str">
        <f t="shared" si="44"/>
        <v>"JUSTDIAL","open":"656.00","high":"661.95","low":"641.20","ltP":"647.00","ptsC":"-7.25","per":"-1.11","trdVol":"7.44","trdVolM":"0.74","ntP":"48.27","mVal":"0.48","wkhi":"1,290.00","wklo":"375.70","wkhicm_adj":"1,894.40","wklocm_adj":"982.60","xDt":"31-DEC-2999","cAct":"-","yPC":"-42.47","mPC":"-23.85"</v>
      </c>
      <c r="C149" s="14" t="s">
        <v>142</v>
      </c>
      <c r="D149" s="6" t="str">
        <f t="shared" si="45"/>
        <v>656.00</v>
      </c>
      <c r="E149" s="6" t="str">
        <f t="shared" si="45"/>
        <v>661.95</v>
      </c>
      <c r="F149" s="6" t="str">
        <f t="shared" si="45"/>
        <v>641.20</v>
      </c>
      <c r="G149" s="6" t="str">
        <f t="shared" si="45"/>
        <v>647.00</v>
      </c>
      <c r="H149" s="7" t="str">
        <f t="shared" si="46"/>
        <v xml:space="preserve">   </v>
      </c>
      <c r="I149" s="8" t="str">
        <f t="shared" si="47"/>
        <v xml:space="preserve">   </v>
      </c>
      <c r="J149" s="9" t="str">
        <f t="shared" si="48"/>
        <v xml:space="preserve">   </v>
      </c>
      <c r="K149" s="10" t="str">
        <f t="shared" si="49"/>
        <v xml:space="preserve">   </v>
      </c>
    </row>
    <row r="150" spans="2:11" x14ac:dyDescent="0.25">
      <c r="B150" t="str">
        <f t="shared" si="44"/>
        <v>"L&amp;TFH","open":"74.00","high":"78.45","low":"72.95","ltP":"77.65","ptsC":"3.90","per":"5.29","trdVol":"77.77","trdVolM":"7.78","ntP":"59.55","mVal":"0.60","wkhi":"78.45","wklo":"48.25","wkhicm_adj":"88.25","wklocm_adj":"62.30","xDt":"31-DEC-2999","cAct":"-","yPC":"21.90","mPC":"8.30"</v>
      </c>
      <c r="C150" s="14" t="s">
        <v>143</v>
      </c>
      <c r="D150" s="6" t="str">
        <f t="shared" si="45"/>
        <v>74.00</v>
      </c>
      <c r="E150" s="6" t="str">
        <f t="shared" si="45"/>
        <v>78.45</v>
      </c>
      <c r="F150" s="6" t="str">
        <f t="shared" si="45"/>
        <v>72.95</v>
      </c>
      <c r="G150" s="6" t="str">
        <f t="shared" si="45"/>
        <v>77.65</v>
      </c>
      <c r="H150" s="7" t="str">
        <f t="shared" si="46"/>
        <v xml:space="preserve">   </v>
      </c>
      <c r="I150" s="8" t="str">
        <f t="shared" si="47"/>
        <v xml:space="preserve">   </v>
      </c>
      <c r="J150" s="9" t="str">
        <f t="shared" si="48"/>
        <v xml:space="preserve">   </v>
      </c>
      <c r="K150" s="10" t="str">
        <f t="shared" si="49"/>
        <v xml:space="preserve">   </v>
      </c>
    </row>
    <row r="151" spans="2:11" x14ac:dyDescent="0.25">
      <c r="B151" t="str">
        <f t="shared" si="44"/>
        <v>"M&amp;MFIN","open":"324.80","high":"330.45","low":"321.95","ltP":"326.20","ptsC":"1.35","per":"0.42","trdVol":"5.82","trdVolM":"0.58","ntP":"18.98","mVal":"0.19","wkhi":"330.45","wklo":"173.10","wkhicm_adj":"356.50","wklocm_adj":"229.25","xDt":"31-DEC-2999","cAct":"-","yPC":"22.40","mPC":"6.36"</v>
      </c>
      <c r="C151" s="14" t="s">
        <v>144</v>
      </c>
      <c r="D151" s="6" t="str">
        <f t="shared" si="45"/>
        <v>324.80</v>
      </c>
      <c r="E151" s="6" t="str">
        <f t="shared" si="45"/>
        <v>330.45</v>
      </c>
      <c r="F151" s="6" t="str">
        <f t="shared" si="45"/>
        <v>321.95</v>
      </c>
      <c r="G151" s="6" t="str">
        <f t="shared" si="45"/>
        <v>326.20</v>
      </c>
      <c r="H151" s="7" t="str">
        <f t="shared" si="46"/>
        <v xml:space="preserve">   </v>
      </c>
      <c r="I151" s="8" t="str">
        <f t="shared" si="47"/>
        <v xml:space="preserve">   </v>
      </c>
      <c r="J151" s="9" t="str">
        <f t="shared" si="48"/>
        <v xml:space="preserve">   </v>
      </c>
      <c r="K151" s="10" t="str">
        <f t="shared" si="49"/>
        <v xml:space="preserve">   </v>
      </c>
    </row>
    <row r="152" spans="2:11" x14ac:dyDescent="0.25">
      <c r="B152" t="str">
        <f t="shared" si="44"/>
        <v>"MINDTREE","open":"667.60","high":"681.80","low":"667.60","ltP":"675.15","ptsC":"7.55","per":"1.13","trdVol":"2.37","trdVolM":"0.24","ntP":"16.01","mVal":"0.16","wkhi":"804.50","wklo":"594.03","wkhicm_adj":"1,268.30","wklocm_adj":"648.75","xDt":"11-APR-2016","cAct":"INTERIM DIVIDEND - RS 2\/- PER SHARE (PURPOSE REVISED)","yPC":"-6.81","mPC":"-3.51"</v>
      </c>
      <c r="C152" s="14" t="s">
        <v>145</v>
      </c>
      <c r="D152" s="6" t="str">
        <f t="shared" si="45"/>
        <v>667.60</v>
      </c>
      <c r="E152" s="6" t="str">
        <f t="shared" si="45"/>
        <v>681.80</v>
      </c>
      <c r="F152" s="6" t="str">
        <f t="shared" si="45"/>
        <v>667.60</v>
      </c>
      <c r="G152" s="6" t="str">
        <f t="shared" si="45"/>
        <v>675.15</v>
      </c>
      <c r="H152" s="7" t="str">
        <f t="shared" si="46"/>
        <v xml:space="preserve">LONG </v>
      </c>
      <c r="I152" s="8">
        <f t="shared" si="47"/>
        <v>672</v>
      </c>
      <c r="J152" s="9">
        <f t="shared" si="48"/>
        <v>664.26200000000006</v>
      </c>
      <c r="K152" s="10">
        <f t="shared" si="49"/>
        <v>4.687499999999966E-3</v>
      </c>
    </row>
    <row r="153" spans="2:11" x14ac:dyDescent="0.25">
      <c r="B153" t="str">
        <f t="shared" si="44"/>
        <v>"MRF","open":"33,719.00","high":"33,840.00","low":"33,222.10","ltP":"33,490.15","ptsC":"-52.05","per":"-0.16","trdVol":"0.02","trdVolM":"0.00","ntP":"7.27","mVal":"0.07","wkhi":"46,399.00","wklo":"31,002.00","wkhicm_adj":"33,980.00","wklocm_adj":"17,070.00","xDt":"31-DEC-2999","cAct":"-","yPC":"-5.35","mPC":"-3.73"</v>
      </c>
      <c r="C153" s="14" t="s">
        <v>146</v>
      </c>
      <c r="D153" s="6" t="str">
        <f t="shared" si="45"/>
        <v>33,719.00</v>
      </c>
      <c r="E153" s="6" t="str">
        <f t="shared" si="45"/>
        <v>33,840.00</v>
      </c>
      <c r="F153" s="6" t="str">
        <f t="shared" si="45"/>
        <v>33,222.10</v>
      </c>
      <c r="G153" s="6" t="str">
        <f t="shared" si="45"/>
        <v>33,490.15</v>
      </c>
      <c r="H153" s="7" t="str">
        <f t="shared" si="46"/>
        <v xml:space="preserve">   </v>
      </c>
      <c r="I153" s="8" t="str">
        <f t="shared" si="47"/>
        <v xml:space="preserve">   </v>
      </c>
      <c r="J153" s="9" t="str">
        <f t="shared" si="48"/>
        <v xml:space="preserve">   </v>
      </c>
      <c r="K153" s="10" t="str">
        <f t="shared" si="49"/>
        <v xml:space="preserve">   </v>
      </c>
    </row>
    <row r="154" spans="2:11" x14ac:dyDescent="0.25">
      <c r="B154" t="str">
        <f t="shared" si="44"/>
        <v>"PAGEIND","open":"13,500.00","high":"14,021.00","low":"13,500.00","ltP":"13,950.00","ptsC":"477.75","per":"3.55","trdVol":"0.14","trdVolM":"0.01","ntP":"19.31","mVal":"0.19","wkhi":"17,000.00","wklo":"9,752.35","wkhicm_adj":"10,390.00","wklocm_adj":"5,010.00","xDt":"31-DEC-2999","cAct":"-","yPC":"-8.30","mPC":"7.48"</v>
      </c>
      <c r="C154" s="14" t="s">
        <v>147</v>
      </c>
      <c r="D154" s="6" t="str">
        <f t="shared" si="45"/>
        <v>13,500.00</v>
      </c>
      <c r="E154" s="6" t="str">
        <f t="shared" si="45"/>
        <v>14,021.00</v>
      </c>
      <c r="F154" s="6" t="str">
        <f t="shared" si="45"/>
        <v>13,500.00</v>
      </c>
      <c r="G154" s="6" t="str">
        <f t="shared" si="45"/>
        <v>13,950.00</v>
      </c>
      <c r="H154" s="7" t="str">
        <f t="shared" si="46"/>
        <v xml:space="preserve">LONG </v>
      </c>
      <c r="I154" s="8">
        <f t="shared" si="47"/>
        <v>13519</v>
      </c>
      <c r="J154" s="9">
        <f t="shared" si="48"/>
        <v>13432.5</v>
      </c>
      <c r="K154" s="10">
        <f t="shared" si="49"/>
        <v>3.1881056291145793E-2</v>
      </c>
    </row>
    <row r="155" spans="2:11" x14ac:dyDescent="0.25">
      <c r="B155" t="str">
        <f t="shared" si="44"/>
        <v>"PCJEWELLER","open":"368.00","high":"370.00","low":"361.65","ltP":"363.60","ptsC":"-4.50","per":"-1.22","trdVol":"0.91","trdVolM":"0.09","ntP":"3.33","mVal":"0.03","wkhi":"493.40","wklo":"295.80","wkhicm_adj":"278.00","wklocm_adj":"72.00","xDt":"31-DEC-2999","cAct":"-","yPC":"-1.88","mPC":"-0.42"</v>
      </c>
      <c r="C155" s="14" t="s">
        <v>148</v>
      </c>
      <c r="D155" s="6" t="str">
        <f t="shared" si="45"/>
        <v>368.00</v>
      </c>
      <c r="E155" s="6" t="str">
        <f t="shared" si="45"/>
        <v>370.00</v>
      </c>
      <c r="F155" s="6" t="str">
        <f t="shared" si="45"/>
        <v>361.65</v>
      </c>
      <c r="G155" s="6" t="str">
        <f t="shared" si="45"/>
        <v>363.60</v>
      </c>
      <c r="H155" s="7" t="str">
        <f t="shared" si="46"/>
        <v xml:space="preserve">   </v>
      </c>
      <c r="I155" s="8" t="str">
        <f t="shared" si="47"/>
        <v xml:space="preserve">   </v>
      </c>
      <c r="J155" s="9" t="str">
        <f t="shared" si="48"/>
        <v xml:space="preserve">   </v>
      </c>
      <c r="K155" s="10" t="str">
        <f t="shared" si="49"/>
        <v xml:space="preserve">   </v>
      </c>
    </row>
    <row r="156" spans="2:11" x14ac:dyDescent="0.25">
      <c r="B156" t="str">
        <f t="shared" si="44"/>
        <v>"PETRONET","open":"274.80","high":"279.80","low":"270.20","ltP":"278.35","ptsC":"5.20","per":"1.90","trdVol":"4.30","trdVolM":"0.43","ntP":"11.83","mVal":"0.12","wkhi":"284.80","wklo":"163.55","wkhicm_adj":"208.80","wklocm_adj":"102.60","xDt":"31-DEC-2999","cAct":"-","yPC":"51.61","mPC":"5.62"</v>
      </c>
      <c r="C156" s="14" t="s">
        <v>149</v>
      </c>
      <c r="D156" s="6" t="str">
        <f t="shared" si="45"/>
        <v>274.80</v>
      </c>
      <c r="E156" s="6" t="str">
        <f t="shared" si="45"/>
        <v>279.80</v>
      </c>
      <c r="F156" s="6" t="str">
        <f t="shared" si="45"/>
        <v>270.20</v>
      </c>
      <c r="G156" s="6" t="str">
        <f t="shared" si="45"/>
        <v>278.35</v>
      </c>
      <c r="H156" s="7" t="str">
        <f t="shared" si="46"/>
        <v xml:space="preserve">   </v>
      </c>
      <c r="I156" s="8" t="str">
        <f t="shared" si="47"/>
        <v xml:space="preserve">   </v>
      </c>
      <c r="J156" s="9" t="str">
        <f t="shared" si="48"/>
        <v xml:space="preserve">   </v>
      </c>
      <c r="K156" s="10" t="str">
        <f t="shared" si="49"/>
        <v xml:space="preserve">   </v>
      </c>
    </row>
    <row r="157" spans="2:11" x14ac:dyDescent="0.25">
      <c r="B157" t="str">
        <f>MID($E$6,FIND(C157,$E$6)-1,FIND("}",$E$6,FIND(C157,$E$6))-FIND(C157,$E$6)+1)</f>
        <v>"RELCAPITAL","open":"417.75","high":"420.90","low":"412.10","ltP":"414.30","ptsC":"0.30","per":"0.07","trdVol":"18.46","trdVolM":"1.85","ntP":"76.88","mVal":"0.77","wkhi":"471.00","wklo":"246.35","wkhicm_adj":"669.90","wklocm_adj":"304.50","xDt":"31-DEC-2999","cAct":"-","yPC":"7.05","mPC":"2.57"</v>
      </c>
      <c r="C157" s="14" t="s">
        <v>150</v>
      </c>
      <c r="D157" s="6" t="str">
        <f>MID($B157,FIND(D$9,$B157)+LEN(D$9)+3,FIND(CHAR(34),$B157,FIND(D$9,$B157)+LEN(D$9)+3)-(FIND(D$9,$B157)+LEN(D$9)+3))</f>
        <v>417.75</v>
      </c>
      <c r="E157" s="6" t="str">
        <f>MID($B157,FIND(E$9,$B157)+LEN(E$9)+3,FIND(CHAR(34),$B157,FIND(E$9,$B157)+LEN(E$9)+3)-(FIND(E$9,$B157)+LEN(E$9)+3))</f>
        <v>420.90</v>
      </c>
      <c r="F157" s="6" t="str">
        <f>MID($B157,FIND(F$9,$B157)+LEN(F$9)+3,FIND(CHAR(34),$B157,FIND(F$9,$B157)+LEN(F$9)+3)-(FIND(F$9,$B157)+LEN(F$9)+3))</f>
        <v>412.10</v>
      </c>
      <c r="G157" s="6" t="str">
        <f>MID($B157,FIND(G$9,$B157)+LEN(G$9)+3,FIND(CHAR(34),$B157,FIND(G$9,$B157)+LEN(G$9)+3)-(FIND(G$9,$B157)+LEN(G$9)+3))</f>
        <v>414.30</v>
      </c>
      <c r="H157" s="7" t="str">
        <f t="shared" si="46"/>
        <v xml:space="preserve">   </v>
      </c>
      <c r="I157" s="8" t="str">
        <f t="shared" si="47"/>
        <v xml:space="preserve">   </v>
      </c>
      <c r="J157" s="9" t="str">
        <f t="shared" si="48"/>
        <v xml:space="preserve">   </v>
      </c>
      <c r="K157" s="10" t="str">
        <f t="shared" si="49"/>
        <v xml:space="preserve">   </v>
      </c>
    </row>
    <row r="158" spans="2:11" x14ac:dyDescent="0.25">
      <c r="B158" t="str">
        <f t="shared" si="44"/>
        <v>"RELINFRA","open":"550.00","high":"552.90","low":"541.00","ltP":"546.40","ptsC":"4.70","per":"0.87","trdVol":"22.23","trdVolM":"2.22","ntP":"121.73","mVal":"1.22","wkhi":"621.90","wklo":"281.55","wkhicm_adj":"819.90","wklocm_adj":"350.30","xDt":"31-DEC-2999","cAct":"-","yPC":"31.13","mPC":"-0.67"</v>
      </c>
      <c r="C158" s="14" t="s">
        <v>151</v>
      </c>
      <c r="D158" s="6" t="str">
        <f t="shared" si="45"/>
        <v>550.00</v>
      </c>
      <c r="E158" s="6" t="str">
        <f t="shared" si="45"/>
        <v>552.90</v>
      </c>
      <c r="F158" s="6" t="str">
        <f t="shared" si="45"/>
        <v>541.00</v>
      </c>
      <c r="G158" s="6" t="str">
        <f t="shared" si="45"/>
        <v>546.40</v>
      </c>
      <c r="H158" s="7" t="str">
        <f t="shared" ref="H158:H170" si="50">IF(AND(E158=0, F158=0, D158=0),"  ",IF(E158= D158,"SHORT ",IF(F158= D158,"LONG ",IF(E158&lt;&gt; F158&lt;&gt; D158,"   "))))</f>
        <v xml:space="preserve">   </v>
      </c>
      <c r="I158" s="8" t="str">
        <f t="shared" ref="I158:I170" si="51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52">IF(AND(E158=0, F158=0, D158=0),"  ",IF(E158= D158,D158+0.005*D158,IF(F158= D158,D158-0.005*D158,IF(E158&lt;&gt; F158&lt;&gt; D158,"   "))))</f>
        <v xml:space="preserve">   </v>
      </c>
      <c r="K158" s="10" t="str">
        <f t="shared" ref="K158:K170" si="53">IF(AND(E158=0, F158=0, D158=0),"  ",IF(E158= D158,(I158-G158)/I158,IF(F158= D158,(G158-I158)/I158,IF(E158&lt;&gt; F158&lt;&gt; D158,"   "))))</f>
        <v xml:space="preserve">   </v>
      </c>
    </row>
    <row r="159" spans="2:11" x14ac:dyDescent="0.25">
      <c r="B159" t="str">
        <f t="shared" si="44"/>
        <v>"RPOWER","open":"53.05","high":"53.50","low":"52.10","ltP":"52.30","ptsC":"0.05","per":"0.10","trdVol":"27.09","trdVolM":"2.71","ntP":"14.26","mVal":"0.14","wkhi":"61.25","wklo":"33.10","wkhicm_adj":"113.30","wklocm_adj":"60.00","xDt":"31-DEC-2999","cAct":"-","yPC":"-1.32","mPC":"-1.88"</v>
      </c>
      <c r="C159" s="14" t="s">
        <v>152</v>
      </c>
      <c r="D159" s="6" t="str">
        <f t="shared" ref="D159:G163" si="54">MID($B159,FIND(D$9,$B159)+LEN(D$9)+3,FIND(CHAR(34),$B159,FIND(D$9,$B159)+LEN(D$9)+3)-(FIND(D$9,$B159)+LEN(D$9)+3))</f>
        <v>53.05</v>
      </c>
      <c r="E159" s="6" t="str">
        <f t="shared" si="54"/>
        <v>53.50</v>
      </c>
      <c r="F159" s="6" t="str">
        <f t="shared" si="54"/>
        <v>52.10</v>
      </c>
      <c r="G159" s="6" t="str">
        <f t="shared" si="54"/>
        <v>52.30</v>
      </c>
      <c r="H159" s="7" t="str">
        <f t="shared" si="50"/>
        <v xml:space="preserve">   </v>
      </c>
      <c r="I159" s="8" t="str">
        <f t="shared" si="51"/>
        <v xml:space="preserve">   </v>
      </c>
      <c r="J159" s="9" t="str">
        <f t="shared" si="52"/>
        <v xml:space="preserve">   </v>
      </c>
      <c r="K159" s="10" t="str">
        <f t="shared" si="53"/>
        <v xml:space="preserve">   </v>
      </c>
    </row>
    <row r="160" spans="2:11" x14ac:dyDescent="0.25">
      <c r="B160" t="str">
        <f t="shared" si="44"/>
        <v>"SRF","open":"1,270.00","high":"1,295.00","low":"1,265.65","ltP":"1,292.70","ptsC":"32.15","per":"2.55","trdVol":"1.81","trdVolM":"0.18","ntP":"23.26","mVal":"0.23","wkhi":"1,498.85","wklo":"990.00","wkhicm_adj":"958.80","wklocm_adj":"170.00","xDt":"31-DEC-2999","cAct":"-","yPC":"27.94","mPC":"-4.65"</v>
      </c>
      <c r="C160" s="14" t="s">
        <v>153</v>
      </c>
      <c r="D160" s="6" t="str">
        <f t="shared" si="54"/>
        <v>1,270.00</v>
      </c>
      <c r="E160" s="6" t="str">
        <f t="shared" si="54"/>
        <v>1,295.00</v>
      </c>
      <c r="F160" s="6" t="str">
        <f t="shared" si="54"/>
        <v>1,265.65</v>
      </c>
      <c r="G160" s="6" t="str">
        <f t="shared" si="54"/>
        <v>1,292.70</v>
      </c>
      <c r="H160" s="7" t="str">
        <f t="shared" si="50"/>
        <v xml:space="preserve">   </v>
      </c>
      <c r="I160" s="8" t="str">
        <f t="shared" si="51"/>
        <v xml:space="preserve">   </v>
      </c>
      <c r="J160" s="9" t="str">
        <f t="shared" si="52"/>
        <v xml:space="preserve">   </v>
      </c>
      <c r="K160" s="10" t="str">
        <f t="shared" si="53"/>
        <v xml:space="preserve">   </v>
      </c>
    </row>
    <row r="161" spans="2:11" x14ac:dyDescent="0.25">
      <c r="B161" t="str">
        <f t="shared" si="44"/>
        <v>"STAR","open":"1,128.50","high":"1,130.00","low":"1,100.10","ltP":"1,113.60","ptsC":"-7.25","per":"-0.65","trdVol":"1.15","trdVolM":"0.11","ntP":"12.78","mVal":"0.13","wkhi":"1,414.00","wklo":"847.00","wkhicm_adj":"1,045.00","wklocm_adj":"310.15","xDt":"31-DEC-2999","cAct":"-","yPC":"-8.76","mPC":"0.88"</v>
      </c>
      <c r="C161" s="14" t="s">
        <v>154</v>
      </c>
      <c r="D161" s="6" t="str">
        <f t="shared" si="54"/>
        <v>1,128.50</v>
      </c>
      <c r="E161" s="6" t="str">
        <f t="shared" si="54"/>
        <v>1,130.00</v>
      </c>
      <c r="F161" s="6" t="str">
        <f t="shared" si="54"/>
        <v>1,100.10</v>
      </c>
      <c r="G161" s="6" t="str">
        <f t="shared" si="54"/>
        <v>1,113.60</v>
      </c>
      <c r="H161" s="7" t="str">
        <f t="shared" si="50"/>
        <v xml:space="preserve">   </v>
      </c>
      <c r="I161" s="8" t="str">
        <f t="shared" si="51"/>
        <v xml:space="preserve">   </v>
      </c>
      <c r="J161" s="9" t="str">
        <f t="shared" si="52"/>
        <v xml:space="preserve">   </v>
      </c>
      <c r="K161" s="10" t="str">
        <f t="shared" si="53"/>
        <v xml:space="preserve">   </v>
      </c>
    </row>
    <row r="162" spans="2:11" x14ac:dyDescent="0.25">
      <c r="B162" t="str">
        <f t="shared" si="44"/>
        <v>"SUNTV","open":"387.00","high":"387.00","low":"373.50","ltP":"379.50","ptsC":"-2.80","per":"-0.73","trdVol":"6.47","trdVolM":"0.65","ntP":"24.55","mVal":"0.25","wkhi":"436.80","wklo":"255.80","wkhicm_adj":"477.00","wklocm_adj":"300.00","xDt":"21-MAR-2016","cAct":"INTERIM DIVIDEND - RS 7.50\/- PER SHARE (PURPOSE REVISED)","yPC":"-1.95","mPC":"6.47"</v>
      </c>
      <c r="C162" s="14" t="s">
        <v>155</v>
      </c>
      <c r="D162" s="6" t="str">
        <f t="shared" si="54"/>
        <v>387.00</v>
      </c>
      <c r="E162" s="6" t="str">
        <f t="shared" si="54"/>
        <v>387.00</v>
      </c>
      <c r="F162" s="6" t="str">
        <f t="shared" si="54"/>
        <v>373.50</v>
      </c>
      <c r="G162" s="6" t="str">
        <f t="shared" si="54"/>
        <v>379.50</v>
      </c>
      <c r="H162" s="7" t="str">
        <f t="shared" si="50"/>
        <v xml:space="preserve">SHORT </v>
      </c>
      <c r="I162" s="8">
        <f t="shared" si="51"/>
        <v>384</v>
      </c>
      <c r="J162" s="9">
        <f t="shared" si="52"/>
        <v>388.935</v>
      </c>
      <c r="K162" s="10">
        <f t="shared" si="53"/>
        <v>1.171875E-2</v>
      </c>
    </row>
    <row r="163" spans="2:11" x14ac:dyDescent="0.25">
      <c r="B163" t="str">
        <f t="shared" si="44"/>
        <v>"SYNDIBANK","open":"65.25","high":"66.60","low":"64.40","ltP":"65.90","ptsC":"1.70","per":"2.65","trdVol":"20.63","trdVolM":"2.06","ntP":"13.51","mVal":"0.14","wkhi":"118.30","wklo":"49.40","wkhicm_adj":"180.00","wklocm_adj":"77.60","xDt":"31-DEC-2999","cAct":"-","yPC":"-43.04","mPC":"-6.06"</v>
      </c>
      <c r="C163" s="14" t="s">
        <v>156</v>
      </c>
      <c r="D163" s="6" t="str">
        <f t="shared" si="54"/>
        <v>65.25</v>
      </c>
      <c r="E163" s="6" t="str">
        <f t="shared" si="54"/>
        <v>66.60</v>
      </c>
      <c r="F163" s="6" t="str">
        <f t="shared" si="54"/>
        <v>64.40</v>
      </c>
      <c r="G163" s="6" t="str">
        <f t="shared" si="54"/>
        <v>65.90</v>
      </c>
      <c r="H163" s="7" t="str">
        <f t="shared" si="50"/>
        <v xml:space="preserve">   </v>
      </c>
      <c r="I163" s="8" t="str">
        <f t="shared" si="51"/>
        <v xml:space="preserve">   </v>
      </c>
      <c r="J163" s="9" t="str">
        <f t="shared" si="52"/>
        <v xml:space="preserve">   </v>
      </c>
      <c r="K163" s="10" t="str">
        <f t="shared" si="53"/>
        <v xml:space="preserve">   </v>
      </c>
    </row>
    <row r="164" spans="2:11" x14ac:dyDescent="0.25">
      <c r="B164" t="str">
        <f>MID($E$6,FIND(C164,$E$6)-1,FIND("}",$E$6,FIND(C164,$E$6))-FIND(C164,$E$6)+1)</f>
        <v>"TATACHEM","open":"434.95","high":"441.00","low":"423.50","ltP":"425.95","ptsC":"-6.50","per":"-1.50","trdVol":"4.40","trdVolM":"0.44","ntP":"18.79","mVal":"0.19","wkhi":"526.00","wklo":"309.60","wkhicm_adj":"442.75","wklocm_adj":"244.20","xDt":"31-DEC-2999","cAct":"-","yPC":"-2.07","mPC":"1.85"</v>
      </c>
      <c r="C164" s="14" t="s">
        <v>157</v>
      </c>
      <c r="D164" s="6" t="str">
        <f t="shared" ref="D164:G170" si="55">MID($B164,FIND(D$9,$B164)+LEN(D$9)+3,FIND(CHAR(34),$B164,FIND(D$9,$B164)+LEN(D$9)+3)-(FIND(D$9,$B164)+LEN(D$9)+3))</f>
        <v>434.95</v>
      </c>
      <c r="E164" s="6" t="str">
        <f t="shared" si="55"/>
        <v>441.00</v>
      </c>
      <c r="F164" s="6" t="str">
        <f t="shared" si="55"/>
        <v>423.50</v>
      </c>
      <c r="G164" s="6" t="str">
        <f t="shared" si="55"/>
        <v>425.95</v>
      </c>
      <c r="H164" s="7" t="str">
        <f t="shared" si="50"/>
        <v xml:space="preserve">   </v>
      </c>
      <c r="I164" s="8" t="str">
        <f t="shared" si="51"/>
        <v xml:space="preserve">   </v>
      </c>
      <c r="J164" s="9" t="str">
        <f t="shared" si="52"/>
        <v xml:space="preserve">   </v>
      </c>
      <c r="K164" s="10" t="str">
        <f t="shared" si="53"/>
        <v xml:space="preserve">   </v>
      </c>
    </row>
    <row r="165" spans="2:11" x14ac:dyDescent="0.25">
      <c r="B165" t="str">
        <f t="shared" si="44"/>
        <v>"TATACOMM","open":"454.00","high":"473.50","low":"451.80","ltP":"471.60","ptsC":"12.20","per":"2.66","trdVol":"4.07","trdVolM":"0.41","ntP":"18.92","mVal":"0.19","wkhi":"491.35","wklo":"325.00","wkhicm_adj":"462.40","wklocm_adj":"258.50","xDt":"31-DEC-2999","cAct":"-","yPC":"9.61","mPC":"12.47"</v>
      </c>
      <c r="C165" s="14" t="s">
        <v>158</v>
      </c>
      <c r="D165" s="6" t="str">
        <f t="shared" si="55"/>
        <v>454.00</v>
      </c>
      <c r="E165" s="6" t="str">
        <f t="shared" si="55"/>
        <v>473.50</v>
      </c>
      <c r="F165" s="6" t="str">
        <f t="shared" si="55"/>
        <v>451.80</v>
      </c>
      <c r="G165" s="6" t="str">
        <f t="shared" si="55"/>
        <v>471.60</v>
      </c>
      <c r="H165" s="7" t="str">
        <f t="shared" si="50"/>
        <v xml:space="preserve">   </v>
      </c>
      <c r="I165" s="8" t="str">
        <f t="shared" si="51"/>
        <v xml:space="preserve">   </v>
      </c>
      <c r="J165" s="9" t="str">
        <f t="shared" si="52"/>
        <v xml:space="preserve">   </v>
      </c>
      <c r="K165" s="10" t="str">
        <f t="shared" si="53"/>
        <v xml:space="preserve">   </v>
      </c>
    </row>
    <row r="166" spans="2:11" x14ac:dyDescent="0.25">
      <c r="B166" t="str">
        <f t="shared" si="44"/>
        <v>"TATAGLOBAL","open":"118.00","high":"119.65","low":"117.30","ltP":"118.00","ptsC":"0.70","per":"0.60","trdVol":"5.40","trdVolM":"0.54","ntP":"6.41","mVal":"0.06","wkhi":"150.30","wklo":"100.00","wkhicm_adj":"177.15","wklocm_adj":"135.25","xDt":"31-DEC-2999","cAct":"-","yPC":"-18.56","mPC":"-3.59"</v>
      </c>
      <c r="C166" s="14" t="s">
        <v>159</v>
      </c>
      <c r="D166" s="6" t="str">
        <f t="shared" si="55"/>
        <v>118.00</v>
      </c>
      <c r="E166" s="6" t="str">
        <f t="shared" si="55"/>
        <v>119.65</v>
      </c>
      <c r="F166" s="6" t="str">
        <f t="shared" si="55"/>
        <v>117.30</v>
      </c>
      <c r="G166" s="6" t="str">
        <f t="shared" si="55"/>
        <v>118.00</v>
      </c>
      <c r="H166" s="7" t="str">
        <f t="shared" si="50"/>
        <v xml:space="preserve">   </v>
      </c>
      <c r="I166" s="8" t="str">
        <f t="shared" si="51"/>
        <v xml:space="preserve">   </v>
      </c>
      <c r="J166" s="9" t="str">
        <f t="shared" si="52"/>
        <v xml:space="preserve">   </v>
      </c>
      <c r="K166" s="10" t="str">
        <f t="shared" si="53"/>
        <v xml:space="preserve">   </v>
      </c>
    </row>
    <row r="167" spans="2:11" x14ac:dyDescent="0.25">
      <c r="B167" t="str">
        <f t="shared" si="44"/>
        <v>"TVSMOTOR","open":"292.10","high":"293.95","low":"283.75","ltP":"288.00","ptsC":"-3.10","per":"-1.06","trdVol":"10.89","trdVolM":"1.09","ntP":"31.24","mVal":"0.31","wkhi":"340.85","wklo":"201.00","wkhicm_adj":"266.70","wklocm_adj":"52.50","xDt":"17-MAR-2016","cAct":"INTERIM DIVIDEND - RS 1.50 PER SHARE (PURPOSE REVISED)","yPC":"22.14","mPC":"-12.15"</v>
      </c>
      <c r="C167" s="14" t="s">
        <v>160</v>
      </c>
      <c r="D167" s="6" t="str">
        <f t="shared" si="55"/>
        <v>292.10</v>
      </c>
      <c r="E167" s="6" t="str">
        <f t="shared" si="55"/>
        <v>293.95</v>
      </c>
      <c r="F167" s="6" t="str">
        <f t="shared" si="55"/>
        <v>283.75</v>
      </c>
      <c r="G167" s="6" t="str">
        <f t="shared" si="55"/>
        <v>288.00</v>
      </c>
      <c r="H167" s="7" t="str">
        <f t="shared" si="50"/>
        <v xml:space="preserve">   </v>
      </c>
      <c r="I167" s="8" t="str">
        <f t="shared" si="51"/>
        <v xml:space="preserve">   </v>
      </c>
      <c r="J167" s="9" t="str">
        <f t="shared" si="52"/>
        <v xml:space="preserve">   </v>
      </c>
      <c r="K167" s="10" t="str">
        <f t="shared" si="53"/>
        <v xml:space="preserve">   </v>
      </c>
    </row>
    <row r="168" spans="2:11" x14ac:dyDescent="0.25">
      <c r="B168" t="str">
        <f t="shared" si="44"/>
        <v>"UNIONBANK","open":"117.90","high":"117.90","low":"114.50","ltP":"116.50","ptsC":"1.35","per":"1.17","trdVol":"19.46","trdVolM":"1.95","ntP":"22.60","mVal":"0.23","wkhi":"222.70","wklo":"104.00","wkhicm_adj":"259.65","wklocm_adj":"100.50","xDt":"31-DEC-2999","cAct":"-","yPC":"-32.07","mPC":"-11.64"</v>
      </c>
      <c r="C168" s="14" t="s">
        <v>161</v>
      </c>
      <c r="D168" s="6" t="str">
        <f t="shared" si="55"/>
        <v>117.90</v>
      </c>
      <c r="E168" s="6" t="str">
        <f t="shared" si="55"/>
        <v>117.90</v>
      </c>
      <c r="F168" s="6" t="str">
        <f t="shared" si="55"/>
        <v>114.50</v>
      </c>
      <c r="G168" s="6" t="str">
        <f t="shared" si="55"/>
        <v>116.50</v>
      </c>
      <c r="H168" s="7" t="str">
        <f t="shared" si="50"/>
        <v xml:space="preserve">SHORT </v>
      </c>
      <c r="I168" s="8">
        <f t="shared" si="51"/>
        <v>116</v>
      </c>
      <c r="J168" s="9">
        <f t="shared" si="52"/>
        <v>118.48950000000001</v>
      </c>
      <c r="K168" s="10">
        <f t="shared" si="53"/>
        <v>-4.3103448275862068E-3</v>
      </c>
    </row>
    <row r="169" spans="2:11" x14ac:dyDescent="0.25">
      <c r="B169" t="str">
        <f t="shared" si="44"/>
        <v>"VOLTAS","open":"337.40","high":"342.90","low":"334.40","ltP":"337.55","ptsC":"0.75","per":"0.22","trdVol":"7.71","trdVolM":"0.77","ntP":"26.14","mVal":"0.26","wkhi":"359.90","wklo":"211.00","wkhicm_adj":"286.45","wklocm_adj":"96.85","xDt":"31-DEC-2999","cAct":"-","yPC":"2.13","mPC":"11.81"</v>
      </c>
      <c r="C169" s="14" t="s">
        <v>162</v>
      </c>
      <c r="D169" s="6" t="str">
        <f t="shared" si="55"/>
        <v>337.40</v>
      </c>
      <c r="E169" s="6" t="str">
        <f t="shared" si="55"/>
        <v>342.90</v>
      </c>
      <c r="F169" s="6" t="str">
        <f t="shared" si="55"/>
        <v>334.40</v>
      </c>
      <c r="G169" s="6" t="str">
        <f t="shared" si="55"/>
        <v>337.55</v>
      </c>
      <c r="H169" s="7" t="str">
        <f t="shared" si="50"/>
        <v xml:space="preserve">   </v>
      </c>
      <c r="I169" s="8" t="str">
        <f t="shared" si="51"/>
        <v xml:space="preserve">   </v>
      </c>
      <c r="J169" s="9" t="str">
        <f t="shared" si="52"/>
        <v xml:space="preserve">   </v>
      </c>
      <c r="K169" s="10" t="str">
        <f t="shared" si="53"/>
        <v xml:space="preserve">   </v>
      </c>
    </row>
    <row r="170" spans="2:11" x14ac:dyDescent="0.25">
      <c r="B170" t="str">
        <f t="shared" si="44"/>
        <v>"WOCKPHARMA","open":"934.30","high":"945.00","low":"923.00","ltP":"931.00","ptsC":"4.35","per":"0.47","trdVol":"4.19","trdVolM":"0.42","ntP":"39.18","mVal":"0.39","wkhi":"1,745.00","wklo":"705.75","wkhicm_adj":"887.00","wklocm_adj":"336.55","xDt":"31-DEC-2999","cAct":"-","yPC":"-35.03","mPC":"-9.51"</v>
      </c>
      <c r="C170" s="14" t="s">
        <v>163</v>
      </c>
      <c r="D170" s="6" t="str">
        <f t="shared" si="55"/>
        <v>934.30</v>
      </c>
      <c r="E170" s="6" t="str">
        <f t="shared" si="55"/>
        <v>945.00</v>
      </c>
      <c r="F170" s="6" t="str">
        <f t="shared" si="55"/>
        <v>923.00</v>
      </c>
      <c r="G170" s="6" t="str">
        <f t="shared" si="55"/>
        <v>931.00</v>
      </c>
      <c r="H170" s="7" t="str">
        <f t="shared" si="50"/>
        <v xml:space="preserve">   </v>
      </c>
      <c r="I170" s="8" t="str">
        <f t="shared" si="51"/>
        <v xml:space="preserve">   </v>
      </c>
      <c r="J170" s="9" t="str">
        <f t="shared" si="52"/>
        <v xml:space="preserve">   </v>
      </c>
      <c r="K170" s="10" t="str">
        <f t="shared" si="53"/>
        <v xml:space="preserve">   </v>
      </c>
    </row>
    <row r="500" spans="14:16" x14ac:dyDescent="0.25">
      <c r="N500" t="s">
        <v>166</v>
      </c>
      <c r="O500" t="s">
        <v>169</v>
      </c>
      <c r="P500" t="s">
        <v>170</v>
      </c>
    </row>
  </sheetData>
  <sortState ref="A2:A55">
    <sortCondition ref="A1:A55"/>
  </sortState>
  <conditionalFormatting sqref="H10:H60">
    <cfRule type="containsText" dxfId="5" priority="5" stopIfTrue="1" operator="containsText" text="short">
      <formula>NOT(ISERROR(SEARCH("short",H10)))</formula>
    </cfRule>
    <cfRule type="containsText" dxfId="4" priority="6" stopIfTrue="1" operator="containsText" text="long">
      <formula>NOT(ISERROR(SEARCH("long",H10)))</formula>
    </cfRule>
  </conditionalFormatting>
  <conditionalFormatting sqref="H66:H115">
    <cfRule type="containsText" dxfId="3" priority="3" stopIfTrue="1" operator="containsText" text="short">
      <formula>NOT(ISERROR(SEARCH("short",H66)))</formula>
    </cfRule>
    <cfRule type="containsText" dxfId="2" priority="4" stopIfTrue="1" operator="containsText" text="long">
      <formula>NOT(ISERROR(SEARCH("long",H66)))</formula>
    </cfRule>
  </conditionalFormatting>
  <conditionalFormatting sqref="H121:H170">
    <cfRule type="containsText" dxfId="1" priority="1" stopIfTrue="1" operator="containsText" text="short">
      <formula>NOT(ISERROR(SEARCH("short",H121)))</formula>
    </cfRule>
    <cfRule type="containsText" dxfId="0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"/>
  <sheetViews>
    <sheetView workbookViewId="0">
      <selection activeCell="B3" sqref="B3"/>
    </sheetView>
  </sheetViews>
  <sheetFormatPr defaultRowHeight="15" x14ac:dyDescent="0.25"/>
  <cols>
    <col min="5" max="5" width="17" bestFit="1" customWidth="1"/>
  </cols>
  <sheetData>
    <row r="2" spans="2:5" x14ac:dyDescent="0.25">
      <c r="B2" s="4" t="s">
        <v>165</v>
      </c>
      <c r="C2" s="4" t="s">
        <v>2</v>
      </c>
      <c r="D2" s="4" t="s">
        <v>7</v>
      </c>
      <c r="E2" s="4" t="s">
        <v>59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Intraday_Trading_System</vt:lpstr>
      <vt:lpstr>Sheet1</vt:lpstr>
      <vt:lpstr>Sheet2</vt:lpstr>
      <vt:lpstr>Intraday_Trading_System!juniorNiftyStockWatch</vt:lpstr>
      <vt:lpstr>Intraday_Trading_System!juniorNiftyStockWatch_1</vt:lpstr>
      <vt:lpstr>Intraday_Trading_System!niftyMidcap50StockWatch</vt:lpstr>
      <vt:lpstr>Intraday_Trading_System!niftyMidcap50StockWatch_1</vt:lpstr>
      <vt:lpstr>Intraday_Trading_System!niftyStockWatch</vt:lpstr>
      <vt:lpstr>Intraday_Trading_System!niftyStockWatch_1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Kisha Popo</cp:lastModifiedBy>
  <dcterms:created xsi:type="dcterms:W3CDTF">2016-03-09T20:07:35Z</dcterms:created>
  <dcterms:modified xsi:type="dcterms:W3CDTF">2016-05-30T09:02:17Z</dcterms:modified>
</cp:coreProperties>
</file>