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730" windowHeight="9135"/>
  </bookViews>
  <sheets>
    <sheet name="Intraday_Trading_System" sheetId="1" r:id="rId1"/>
    <sheet name="Sheet1" sheetId="2" r:id="rId2"/>
    <sheet name="Sheet2" sheetId="3" r:id="rId3"/>
  </sheets>
  <definedNames>
    <definedName name="juniorNiftyStockWatch" localSheetId="0">Intraday_Trading_System!$E$3</definedName>
    <definedName name="niftyMidcap50StockWatch" localSheetId="0">Intraday_Trading_System!$E$6</definedName>
    <definedName name="niftyStockWatch" localSheetId="0">Intraday_Trading_System!$E$1:$E$2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4" i="1" l="1"/>
  <c r="E164" i="1" s="1"/>
  <c r="B165" i="1"/>
  <c r="F165" i="1" s="1"/>
  <c r="B166" i="1"/>
  <c r="E166" i="1" s="1"/>
  <c r="B167" i="1"/>
  <c r="G167" i="1" s="1"/>
  <c r="B168" i="1"/>
  <c r="E168" i="1" s="1"/>
  <c r="B169" i="1"/>
  <c r="F169" i="1" s="1"/>
  <c r="B170" i="1"/>
  <c r="E170" i="1" s="1"/>
  <c r="B157" i="1"/>
  <c r="E157" i="1" s="1"/>
  <c r="B158" i="1"/>
  <c r="F158" i="1" s="1"/>
  <c r="B159" i="1"/>
  <c r="E159" i="1" s="1"/>
  <c r="B160" i="1"/>
  <c r="G160" i="1" s="1"/>
  <c r="B161" i="1"/>
  <c r="E161" i="1" s="1"/>
  <c r="B162" i="1"/>
  <c r="F162" i="1" s="1"/>
  <c r="B163" i="1"/>
  <c r="E163" i="1" s="1"/>
  <c r="B122" i="1"/>
  <c r="G122" i="1" s="1"/>
  <c r="B123" i="1"/>
  <c r="F123" i="1" s="1"/>
  <c r="B124" i="1"/>
  <c r="E124" i="1" s="1"/>
  <c r="B125" i="1"/>
  <c r="D125" i="1" s="1"/>
  <c r="B126" i="1"/>
  <c r="F126" i="1" s="1"/>
  <c r="B127" i="1"/>
  <c r="D127" i="1" s="1"/>
  <c r="B128" i="1"/>
  <c r="E128" i="1" s="1"/>
  <c r="B129" i="1"/>
  <c r="D129" i="1" s="1"/>
  <c r="B130" i="1"/>
  <c r="D130" i="1" s="1"/>
  <c r="B131" i="1"/>
  <c r="F131" i="1" s="1"/>
  <c r="B132" i="1"/>
  <c r="E132" i="1" s="1"/>
  <c r="B133" i="1"/>
  <c r="D133" i="1" s="1"/>
  <c r="B134" i="1"/>
  <c r="F134" i="1" s="1"/>
  <c r="B135" i="1"/>
  <c r="F135" i="1" s="1"/>
  <c r="B136" i="1"/>
  <c r="E136" i="1" s="1"/>
  <c r="B137" i="1"/>
  <c r="D137" i="1" s="1"/>
  <c r="B138" i="1"/>
  <c r="D138" i="1" s="1"/>
  <c r="B139" i="1"/>
  <c r="F139" i="1" s="1"/>
  <c r="B140" i="1"/>
  <c r="E140" i="1" s="1"/>
  <c r="B141" i="1"/>
  <c r="D141" i="1" s="1"/>
  <c r="B142" i="1"/>
  <c r="F142" i="1" s="1"/>
  <c r="B143" i="1"/>
  <c r="F143" i="1" s="1"/>
  <c r="B144" i="1"/>
  <c r="E144" i="1" s="1"/>
  <c r="B145" i="1"/>
  <c r="D145" i="1" s="1"/>
  <c r="B146" i="1"/>
  <c r="D146" i="1" s="1"/>
  <c r="B147" i="1"/>
  <c r="F147" i="1" s="1"/>
  <c r="B148" i="1"/>
  <c r="E148" i="1" s="1"/>
  <c r="B149" i="1"/>
  <c r="D149" i="1" s="1"/>
  <c r="B150" i="1"/>
  <c r="D150" i="1" s="1"/>
  <c r="B151" i="1"/>
  <c r="E151" i="1" s="1"/>
  <c r="B152" i="1"/>
  <c r="E152" i="1" s="1"/>
  <c r="B153" i="1"/>
  <c r="D153" i="1" s="1"/>
  <c r="B154" i="1"/>
  <c r="D154" i="1" s="1"/>
  <c r="B155" i="1"/>
  <c r="D155" i="1" s="1"/>
  <c r="B156" i="1"/>
  <c r="E156" i="1" s="1"/>
  <c r="B121" i="1"/>
  <c r="G121" i="1" s="1"/>
  <c r="B67" i="1"/>
  <c r="E67" i="1" s="1"/>
  <c r="B68" i="1"/>
  <c r="E68" i="1" s="1"/>
  <c r="B69" i="1"/>
  <c r="E69" i="1" s="1"/>
  <c r="B70" i="1"/>
  <c r="E70" i="1" s="1"/>
  <c r="B71" i="1"/>
  <c r="E71" i="1" s="1"/>
  <c r="B72" i="1"/>
  <c r="G72" i="1" s="1"/>
  <c r="B73" i="1"/>
  <c r="F73" i="1" s="1"/>
  <c r="B74" i="1"/>
  <c r="E74" i="1" s="1"/>
  <c r="B75" i="1"/>
  <c r="E75" i="1" s="1"/>
  <c r="B76" i="1"/>
  <c r="B77" i="1"/>
  <c r="D77" i="1" s="1"/>
  <c r="B78" i="1"/>
  <c r="B79" i="1"/>
  <c r="E79" i="1" s="1"/>
  <c r="B80" i="1"/>
  <c r="E80" i="1" s="1"/>
  <c r="B81" i="1"/>
  <c r="D81" i="1" s="1"/>
  <c r="B82" i="1"/>
  <c r="E82" i="1" s="1"/>
  <c r="B83" i="1"/>
  <c r="E83" i="1" s="1"/>
  <c r="B84" i="1"/>
  <c r="E84" i="1" s="1"/>
  <c r="B85" i="1"/>
  <c r="E85" i="1" s="1"/>
  <c r="B86" i="1"/>
  <c r="E86" i="1" s="1"/>
  <c r="B87" i="1"/>
  <c r="E87" i="1" s="1"/>
  <c r="B88" i="1"/>
  <c r="E88" i="1" s="1"/>
  <c r="B89" i="1"/>
  <c r="E89" i="1" s="1"/>
  <c r="B90" i="1"/>
  <c r="E90" i="1" s="1"/>
  <c r="B91" i="1"/>
  <c r="E91" i="1" s="1"/>
  <c r="B92" i="1"/>
  <c r="B93" i="1"/>
  <c r="D93" i="1" s="1"/>
  <c r="B94" i="1"/>
  <c r="B95" i="1"/>
  <c r="E95" i="1" s="1"/>
  <c r="B96" i="1"/>
  <c r="E96" i="1" s="1"/>
  <c r="B97" i="1"/>
  <c r="D97" i="1" s="1"/>
  <c r="B98" i="1"/>
  <c r="E98" i="1" s="1"/>
  <c r="B99" i="1"/>
  <c r="E99" i="1" s="1"/>
  <c r="B100" i="1"/>
  <c r="G100" i="1" s="1"/>
  <c r="B101" i="1"/>
  <c r="D101" i="1" s="1"/>
  <c r="B102" i="1"/>
  <c r="E102" i="1" s="1"/>
  <c r="B103" i="1"/>
  <c r="E103" i="1" s="1"/>
  <c r="B104" i="1"/>
  <c r="E104" i="1" s="1"/>
  <c r="B105" i="1"/>
  <c r="E105" i="1" s="1"/>
  <c r="B106" i="1"/>
  <c r="E106" i="1" s="1"/>
  <c r="B107" i="1"/>
  <c r="E107" i="1" s="1"/>
  <c r="B108" i="1"/>
  <c r="D108" i="1" s="1"/>
  <c r="B109" i="1"/>
  <c r="F109" i="1" s="1"/>
  <c r="B110" i="1"/>
  <c r="G110" i="1" s="1"/>
  <c r="B111" i="1"/>
  <c r="D111" i="1" s="1"/>
  <c r="B112" i="1"/>
  <c r="D112" i="1" s="1"/>
  <c r="B113" i="1"/>
  <c r="E113" i="1" s="1"/>
  <c r="B114" i="1"/>
  <c r="F114" i="1" s="1"/>
  <c r="B115" i="1"/>
  <c r="G115" i="1" s="1"/>
  <c r="B66" i="1"/>
  <c r="F66" i="1" s="1"/>
  <c r="B52" i="1"/>
  <c r="E52" i="1" s="1"/>
  <c r="B37" i="1"/>
  <c r="D37" i="1" s="1"/>
  <c r="B25" i="1"/>
  <c r="G25" i="1" s="1"/>
  <c r="B14" i="1"/>
  <c r="G14" i="1" s="1"/>
  <c r="B11" i="1"/>
  <c r="E11" i="1" s="1"/>
  <c r="A6" i="1"/>
  <c r="A9" i="1"/>
  <c r="A2" i="1"/>
  <c r="F130" i="1" l="1"/>
  <c r="G123" i="1"/>
  <c r="G103" i="1"/>
  <c r="F89" i="1"/>
  <c r="F157" i="1"/>
  <c r="G102" i="1"/>
  <c r="E72" i="1"/>
  <c r="F154" i="1"/>
  <c r="G154" i="1"/>
  <c r="G144" i="1"/>
  <c r="G130" i="1"/>
  <c r="E143" i="1"/>
  <c r="G150" i="1"/>
  <c r="E139" i="1"/>
  <c r="E123" i="1"/>
  <c r="F170" i="1"/>
  <c r="D167" i="1"/>
  <c r="F150" i="1"/>
  <c r="D160" i="1"/>
  <c r="G146" i="1"/>
  <c r="F122" i="1"/>
  <c r="D139" i="1"/>
  <c r="F155" i="1"/>
  <c r="H155" i="1" s="1"/>
  <c r="G151" i="1"/>
  <c r="G138" i="1"/>
  <c r="G136" i="1"/>
  <c r="G131" i="1"/>
  <c r="D148" i="1"/>
  <c r="D131" i="1"/>
  <c r="F108" i="1"/>
  <c r="G105" i="1"/>
  <c r="G89" i="1"/>
  <c r="E155" i="1"/>
  <c r="F151" i="1"/>
  <c r="G139" i="1"/>
  <c r="F138" i="1"/>
  <c r="F136" i="1"/>
  <c r="E131" i="1"/>
  <c r="E127" i="1"/>
  <c r="G124" i="1"/>
  <c r="F159" i="1"/>
  <c r="G157" i="1"/>
  <c r="F164" i="1"/>
  <c r="D164" i="1"/>
  <c r="D144" i="1"/>
  <c r="D128" i="1"/>
  <c r="D124" i="1"/>
  <c r="F85" i="1"/>
  <c r="G74" i="1"/>
  <c r="G155" i="1"/>
  <c r="G148" i="1"/>
  <c r="F146" i="1"/>
  <c r="E135" i="1"/>
  <c r="G128" i="1"/>
  <c r="G158" i="1"/>
  <c r="F168" i="1"/>
  <c r="G165" i="1"/>
  <c r="D168" i="1"/>
  <c r="D151" i="1"/>
  <c r="D136" i="1"/>
  <c r="D123" i="1"/>
  <c r="D156" i="1"/>
  <c r="D152" i="1"/>
  <c r="D140" i="1"/>
  <c r="D132" i="1"/>
  <c r="D163" i="1"/>
  <c r="D159" i="1"/>
  <c r="D147" i="1"/>
  <c r="D143" i="1"/>
  <c r="D135" i="1"/>
  <c r="G166" i="1"/>
  <c r="I155" i="1"/>
  <c r="K155" i="1" s="1"/>
  <c r="G147" i="1"/>
  <c r="G142" i="1"/>
  <c r="G140" i="1"/>
  <c r="G134" i="1"/>
  <c r="G132" i="1"/>
  <c r="G127" i="1"/>
  <c r="G126" i="1"/>
  <c r="G163" i="1"/>
  <c r="G161" i="1"/>
  <c r="F166" i="1"/>
  <c r="D170" i="1"/>
  <c r="D166" i="1"/>
  <c r="D162" i="1"/>
  <c r="D158" i="1"/>
  <c r="D142" i="1"/>
  <c r="D134" i="1"/>
  <c r="D126" i="1"/>
  <c r="D122" i="1"/>
  <c r="E147" i="1"/>
  <c r="G143" i="1"/>
  <c r="F140" i="1"/>
  <c r="G135" i="1"/>
  <c r="F132" i="1"/>
  <c r="F127" i="1"/>
  <c r="I127" i="1" s="1"/>
  <c r="F163" i="1"/>
  <c r="K163" i="1" s="1"/>
  <c r="F161" i="1"/>
  <c r="G159" i="1"/>
  <c r="G170" i="1"/>
  <c r="G168" i="1"/>
  <c r="G164" i="1"/>
  <c r="D169" i="1"/>
  <c r="D165" i="1"/>
  <c r="D161" i="1"/>
  <c r="D157" i="1"/>
  <c r="D121" i="1"/>
  <c r="I164" i="1"/>
  <c r="G169" i="1"/>
  <c r="E169" i="1"/>
  <c r="E165" i="1"/>
  <c r="F167" i="1"/>
  <c r="E167" i="1"/>
  <c r="I157" i="1"/>
  <c r="G162" i="1"/>
  <c r="E162" i="1"/>
  <c r="E158" i="1"/>
  <c r="F160" i="1"/>
  <c r="E160" i="1"/>
  <c r="G145" i="1"/>
  <c r="G133" i="1"/>
  <c r="G156" i="1"/>
  <c r="E150" i="1"/>
  <c r="F149" i="1"/>
  <c r="E146" i="1"/>
  <c r="F145" i="1"/>
  <c r="E142" i="1"/>
  <c r="F141" i="1"/>
  <c r="E138" i="1"/>
  <c r="F137" i="1"/>
  <c r="E134" i="1"/>
  <c r="F133" i="1"/>
  <c r="E130" i="1"/>
  <c r="F129" i="1"/>
  <c r="E126" i="1"/>
  <c r="F125" i="1"/>
  <c r="E122" i="1"/>
  <c r="G153" i="1"/>
  <c r="G141" i="1"/>
  <c r="G129" i="1"/>
  <c r="E154" i="1"/>
  <c r="F153" i="1"/>
  <c r="G152" i="1"/>
  <c r="F156" i="1"/>
  <c r="J156" i="1" s="1"/>
  <c r="E153" i="1"/>
  <c r="F152" i="1"/>
  <c r="I152" i="1" s="1"/>
  <c r="E149" i="1"/>
  <c r="F148" i="1"/>
  <c r="E145" i="1"/>
  <c r="F144" i="1"/>
  <c r="E141" i="1"/>
  <c r="E137" i="1"/>
  <c r="E133" i="1"/>
  <c r="E129" i="1"/>
  <c r="F128" i="1"/>
  <c r="E125" i="1"/>
  <c r="F124" i="1"/>
  <c r="G149" i="1"/>
  <c r="G137" i="1"/>
  <c r="G125" i="1"/>
  <c r="F121" i="1"/>
  <c r="E121" i="1"/>
  <c r="G113" i="1"/>
  <c r="F113" i="1"/>
  <c r="D113" i="1"/>
  <c r="G85" i="1"/>
  <c r="G83" i="1"/>
  <c r="G93" i="1"/>
  <c r="G69" i="1"/>
  <c r="D105" i="1"/>
  <c r="F103" i="1"/>
  <c r="J103" i="1" s="1"/>
  <c r="D95" i="1"/>
  <c r="F93" i="1"/>
  <c r="D89" i="1"/>
  <c r="G86" i="1"/>
  <c r="F79" i="1"/>
  <c r="D71" i="1"/>
  <c r="F69" i="1"/>
  <c r="K69" i="1" s="1"/>
  <c r="G67" i="1"/>
  <c r="E112" i="1"/>
  <c r="E100" i="1"/>
  <c r="E93" i="1"/>
  <c r="G75" i="1"/>
  <c r="D69" i="1"/>
  <c r="G97" i="1"/>
  <c r="E109" i="1"/>
  <c r="F107" i="1"/>
  <c r="F105" i="1"/>
  <c r="G104" i="1"/>
  <c r="D103" i="1"/>
  <c r="E97" i="1"/>
  <c r="I97" i="1" s="1"/>
  <c r="D85" i="1"/>
  <c r="D83" i="1"/>
  <c r="D75" i="1"/>
  <c r="E73" i="1"/>
  <c r="I73" i="1" s="1"/>
  <c r="G71" i="1"/>
  <c r="D67" i="1"/>
  <c r="F97" i="1"/>
  <c r="G112" i="1"/>
  <c r="G95" i="1"/>
  <c r="F71" i="1"/>
  <c r="D109" i="1"/>
  <c r="D107" i="1"/>
  <c r="F101" i="1"/>
  <c r="G99" i="1"/>
  <c r="G91" i="1"/>
  <c r="G90" i="1"/>
  <c r="G87" i="1"/>
  <c r="F81" i="1"/>
  <c r="D79" i="1"/>
  <c r="F77" i="1"/>
  <c r="D73" i="1"/>
  <c r="F67" i="1"/>
  <c r="K67" i="1" s="1"/>
  <c r="G81" i="1"/>
  <c r="G77" i="1"/>
  <c r="F91" i="1"/>
  <c r="G88" i="1"/>
  <c r="F87" i="1"/>
  <c r="G84" i="1"/>
  <c r="E81" i="1"/>
  <c r="E77" i="1"/>
  <c r="G73" i="1"/>
  <c r="G101" i="1"/>
  <c r="G114" i="1"/>
  <c r="G109" i="1"/>
  <c r="E101" i="1"/>
  <c r="F99" i="1"/>
  <c r="G70" i="1"/>
  <c r="E114" i="1"/>
  <c r="F112" i="1"/>
  <c r="G108" i="1"/>
  <c r="G107" i="1"/>
  <c r="G106" i="1"/>
  <c r="D99" i="1"/>
  <c r="F95" i="1"/>
  <c r="D91" i="1"/>
  <c r="D87" i="1"/>
  <c r="F83" i="1"/>
  <c r="G79" i="1"/>
  <c r="F75" i="1"/>
  <c r="F110" i="1"/>
  <c r="D110" i="1"/>
  <c r="E110" i="1"/>
  <c r="D98" i="1"/>
  <c r="F98" i="1"/>
  <c r="G98" i="1"/>
  <c r="F96" i="1"/>
  <c r="D96" i="1"/>
  <c r="G96" i="1"/>
  <c r="D94" i="1"/>
  <c r="F94" i="1"/>
  <c r="E94" i="1"/>
  <c r="G94" i="1"/>
  <c r="E111" i="1"/>
  <c r="F111" i="1"/>
  <c r="G111" i="1"/>
  <c r="F76" i="1"/>
  <c r="D76" i="1"/>
  <c r="E76" i="1"/>
  <c r="G76" i="1"/>
  <c r="F92" i="1"/>
  <c r="D92" i="1"/>
  <c r="E92" i="1"/>
  <c r="G92" i="1"/>
  <c r="E115" i="1"/>
  <c r="D115" i="1"/>
  <c r="F115" i="1"/>
  <c r="D78" i="1"/>
  <c r="F78" i="1"/>
  <c r="E78" i="1"/>
  <c r="G78" i="1"/>
  <c r="F80" i="1"/>
  <c r="D80" i="1"/>
  <c r="F68" i="1"/>
  <c r="D68" i="1"/>
  <c r="D114" i="1"/>
  <c r="E108" i="1"/>
  <c r="D102" i="1"/>
  <c r="F102" i="1"/>
  <c r="F100" i="1"/>
  <c r="D100" i="1"/>
  <c r="D86" i="1"/>
  <c r="F86" i="1"/>
  <c r="F84" i="1"/>
  <c r="D84" i="1"/>
  <c r="D70" i="1"/>
  <c r="F70" i="1"/>
  <c r="D82" i="1"/>
  <c r="F82" i="1"/>
  <c r="D106" i="1"/>
  <c r="F106" i="1"/>
  <c r="F104" i="1"/>
  <c r="D104" i="1"/>
  <c r="I95" i="1"/>
  <c r="D90" i="1"/>
  <c r="F90" i="1"/>
  <c r="F88" i="1"/>
  <c r="D88" i="1"/>
  <c r="G82" i="1"/>
  <c r="G80" i="1"/>
  <c r="D74" i="1"/>
  <c r="F74" i="1"/>
  <c r="F72" i="1"/>
  <c r="D72" i="1"/>
  <c r="G68" i="1"/>
  <c r="D66" i="1"/>
  <c r="E66" i="1"/>
  <c r="G66" i="1"/>
  <c r="D52" i="1"/>
  <c r="G52" i="1"/>
  <c r="F52" i="1"/>
  <c r="G37" i="1"/>
  <c r="F37" i="1"/>
  <c r="E37" i="1"/>
  <c r="F25" i="1"/>
  <c r="E25" i="1"/>
  <c r="D25" i="1"/>
  <c r="F14" i="1"/>
  <c r="E14" i="1"/>
  <c r="D14" i="1"/>
  <c r="D11" i="1"/>
  <c r="G11" i="1"/>
  <c r="F11" i="1"/>
  <c r="H103" i="1" l="1"/>
  <c r="J147" i="1"/>
  <c r="J139" i="1"/>
  <c r="I84" i="1"/>
  <c r="I87" i="1"/>
  <c r="H89" i="1"/>
  <c r="I170" i="1"/>
  <c r="I123" i="1"/>
  <c r="K123" i="1" s="1"/>
  <c r="I159" i="1"/>
  <c r="J155" i="1"/>
  <c r="K157" i="1"/>
  <c r="J163" i="1"/>
  <c r="K144" i="1"/>
  <c r="I163" i="1"/>
  <c r="H168" i="1"/>
  <c r="H157" i="1"/>
  <c r="J159" i="1"/>
  <c r="H83" i="1"/>
  <c r="I99" i="1"/>
  <c r="K99" i="1" s="1"/>
  <c r="K112" i="1"/>
  <c r="I103" i="1"/>
  <c r="H75" i="1"/>
  <c r="J113" i="1"/>
  <c r="H124" i="1"/>
  <c r="K140" i="1"/>
  <c r="K85" i="1"/>
  <c r="J164" i="1"/>
  <c r="J143" i="1"/>
  <c r="H11" i="1"/>
  <c r="I71" i="1"/>
  <c r="K71" i="1" s="1"/>
  <c r="J93" i="1"/>
  <c r="H164" i="1"/>
  <c r="K161" i="1"/>
  <c r="H101" i="1"/>
  <c r="H85" i="1"/>
  <c r="I105" i="1"/>
  <c r="H148" i="1"/>
  <c r="K164" i="1"/>
  <c r="H87" i="1"/>
  <c r="H67" i="1"/>
  <c r="J89" i="1"/>
  <c r="H163" i="1"/>
  <c r="H159" i="1"/>
  <c r="I136" i="1"/>
  <c r="J124" i="1"/>
  <c r="J161" i="1"/>
  <c r="J131" i="1"/>
  <c r="I132" i="1"/>
  <c r="J136" i="1"/>
  <c r="K170" i="1"/>
  <c r="H136" i="1"/>
  <c r="K132" i="1"/>
  <c r="J168" i="1"/>
  <c r="J170" i="1"/>
  <c r="K136" i="1"/>
  <c r="I168" i="1"/>
  <c r="K168" i="1" s="1"/>
  <c r="H170" i="1"/>
  <c r="H166" i="1"/>
  <c r="K166" i="1"/>
  <c r="J151" i="1"/>
  <c r="K135" i="1"/>
  <c r="H93" i="1"/>
  <c r="K113" i="1"/>
  <c r="J105" i="1"/>
  <c r="H71" i="1"/>
  <c r="I107" i="1"/>
  <c r="K107" i="1" s="1"/>
  <c r="K95" i="1"/>
  <c r="H113" i="1"/>
  <c r="K131" i="1"/>
  <c r="H151" i="1"/>
  <c r="J123" i="1"/>
  <c r="H132" i="1"/>
  <c r="H161" i="1"/>
  <c r="I151" i="1"/>
  <c r="I140" i="1"/>
  <c r="J85" i="1"/>
  <c r="I85" i="1"/>
  <c r="H77" i="1"/>
  <c r="K93" i="1"/>
  <c r="K151" i="1"/>
  <c r="H123" i="1"/>
  <c r="J135" i="1"/>
  <c r="J71" i="1"/>
  <c r="I93" i="1"/>
  <c r="I69" i="1"/>
  <c r="K105" i="1"/>
  <c r="J157" i="1"/>
  <c r="I161" i="1"/>
  <c r="J127" i="1"/>
  <c r="K127" i="1"/>
  <c r="J140" i="1"/>
  <c r="K152" i="1"/>
  <c r="H140" i="1"/>
  <c r="J132" i="1"/>
  <c r="K159" i="1"/>
  <c r="H127" i="1"/>
  <c r="I166" i="1"/>
  <c r="J166" i="1"/>
  <c r="H167" i="1"/>
  <c r="I167" i="1"/>
  <c r="J167" i="1"/>
  <c r="K167" i="1"/>
  <c r="J165" i="1"/>
  <c r="K165" i="1"/>
  <c r="H165" i="1"/>
  <c r="I165" i="1"/>
  <c r="J169" i="1"/>
  <c r="H169" i="1"/>
  <c r="I169" i="1"/>
  <c r="K169" i="1"/>
  <c r="H160" i="1"/>
  <c r="I160" i="1"/>
  <c r="J160" i="1"/>
  <c r="K160" i="1"/>
  <c r="J158" i="1"/>
  <c r="K158" i="1"/>
  <c r="H158" i="1"/>
  <c r="I158" i="1"/>
  <c r="J162" i="1"/>
  <c r="H162" i="1"/>
  <c r="I162" i="1"/>
  <c r="K162" i="1" s="1"/>
  <c r="H145" i="1"/>
  <c r="I145" i="1"/>
  <c r="J145" i="1"/>
  <c r="K145" i="1"/>
  <c r="K122" i="1"/>
  <c r="H122" i="1"/>
  <c r="I122" i="1"/>
  <c r="J122" i="1"/>
  <c r="K126" i="1"/>
  <c r="J126" i="1"/>
  <c r="H126" i="1"/>
  <c r="I126" i="1"/>
  <c r="H144" i="1"/>
  <c r="J128" i="1"/>
  <c r="I143" i="1"/>
  <c r="K143" i="1" s="1"/>
  <c r="I156" i="1"/>
  <c r="K156" i="1" s="1"/>
  <c r="I124" i="1"/>
  <c r="H133" i="1"/>
  <c r="I133" i="1"/>
  <c r="K133" i="1" s="1"/>
  <c r="J133" i="1"/>
  <c r="H141" i="1"/>
  <c r="I141" i="1"/>
  <c r="K141" i="1"/>
  <c r="J141" i="1"/>
  <c r="K147" i="1"/>
  <c r="H131" i="1"/>
  <c r="H135" i="1"/>
  <c r="H139" i="1"/>
  <c r="H143" i="1"/>
  <c r="H147" i="1"/>
  <c r="I131" i="1"/>
  <c r="J144" i="1"/>
  <c r="J152" i="1"/>
  <c r="I135" i="1"/>
  <c r="H128" i="1"/>
  <c r="I139" i="1"/>
  <c r="K139" i="1" s="1"/>
  <c r="J148" i="1"/>
  <c r="H125" i="1"/>
  <c r="K125" i="1"/>
  <c r="I125" i="1"/>
  <c r="J125" i="1"/>
  <c r="H153" i="1"/>
  <c r="I153" i="1"/>
  <c r="J153" i="1"/>
  <c r="K153" i="1"/>
  <c r="I144" i="1"/>
  <c r="H152" i="1"/>
  <c r="I147" i="1"/>
  <c r="I128" i="1"/>
  <c r="K128" i="1" s="1"/>
  <c r="H156" i="1"/>
  <c r="K124" i="1"/>
  <c r="I148" i="1"/>
  <c r="K148" i="1" s="1"/>
  <c r="H129" i="1"/>
  <c r="I129" i="1"/>
  <c r="K129" i="1"/>
  <c r="J129" i="1"/>
  <c r="H137" i="1"/>
  <c r="K137" i="1"/>
  <c r="I137" i="1"/>
  <c r="J137" i="1"/>
  <c r="H149" i="1"/>
  <c r="K149" i="1"/>
  <c r="I149" i="1"/>
  <c r="J149" i="1"/>
  <c r="H154" i="1"/>
  <c r="I154" i="1"/>
  <c r="K154" i="1" s="1"/>
  <c r="J154" i="1"/>
  <c r="K130" i="1"/>
  <c r="H130" i="1"/>
  <c r="J130" i="1"/>
  <c r="I130" i="1"/>
  <c r="H134" i="1"/>
  <c r="I134" i="1"/>
  <c r="K134" i="1" s="1"/>
  <c r="J134" i="1"/>
  <c r="K138" i="1"/>
  <c r="J138" i="1"/>
  <c r="H138" i="1"/>
  <c r="I138" i="1"/>
  <c r="K142" i="1"/>
  <c r="H142" i="1"/>
  <c r="J142" i="1"/>
  <c r="I142" i="1"/>
  <c r="K146" i="1"/>
  <c r="H146" i="1"/>
  <c r="I146" i="1"/>
  <c r="J146" i="1"/>
  <c r="K150" i="1"/>
  <c r="J150" i="1"/>
  <c r="H150" i="1"/>
  <c r="I150" i="1"/>
  <c r="K121" i="1"/>
  <c r="I121" i="1"/>
  <c r="H121" i="1"/>
  <c r="J121" i="1"/>
  <c r="H74" i="1"/>
  <c r="J82" i="1"/>
  <c r="I75" i="1"/>
  <c r="J69" i="1"/>
  <c r="H95" i="1"/>
  <c r="J81" i="1"/>
  <c r="K89" i="1"/>
  <c r="H105" i="1"/>
  <c r="I89" i="1"/>
  <c r="I113" i="1"/>
  <c r="J96" i="1"/>
  <c r="J79" i="1"/>
  <c r="J75" i="1"/>
  <c r="H91" i="1"/>
  <c r="H69" i="1"/>
  <c r="J77" i="1"/>
  <c r="I98" i="1"/>
  <c r="H73" i="1"/>
  <c r="H97" i="1"/>
  <c r="H107" i="1"/>
  <c r="I91" i="1"/>
  <c r="J91" i="1"/>
  <c r="H81" i="1"/>
  <c r="I90" i="1"/>
  <c r="K101" i="1"/>
  <c r="H106" i="1"/>
  <c r="J67" i="1"/>
  <c r="K75" i="1"/>
  <c r="K91" i="1"/>
  <c r="J102" i="1"/>
  <c r="H114" i="1"/>
  <c r="K87" i="1"/>
  <c r="J97" i="1"/>
  <c r="J95" i="1"/>
  <c r="K103" i="1"/>
  <c r="H79" i="1"/>
  <c r="J107" i="1"/>
  <c r="H100" i="1"/>
  <c r="J73" i="1"/>
  <c r="I67" i="1"/>
  <c r="I79" i="1"/>
  <c r="K79" i="1" s="1"/>
  <c r="J104" i="1"/>
  <c r="I70" i="1"/>
  <c r="I86" i="1"/>
  <c r="K86" i="1" s="1"/>
  <c r="K97" i="1"/>
  <c r="H68" i="1"/>
  <c r="H80" i="1"/>
  <c r="J87" i="1"/>
  <c r="H112" i="1"/>
  <c r="J98" i="1"/>
  <c r="H99" i="1"/>
  <c r="H109" i="1"/>
  <c r="H84" i="1"/>
  <c r="I101" i="1"/>
  <c r="J68" i="1"/>
  <c r="K77" i="1"/>
  <c r="H86" i="1"/>
  <c r="H90" i="1"/>
  <c r="J109" i="1"/>
  <c r="I77" i="1"/>
  <c r="I100" i="1"/>
  <c r="J112" i="1"/>
  <c r="K73" i="1"/>
  <c r="K100" i="1"/>
  <c r="I88" i="1"/>
  <c r="K88" i="1"/>
  <c r="K84" i="1"/>
  <c r="K109" i="1"/>
  <c r="H70" i="1"/>
  <c r="J83" i="1"/>
  <c r="J99" i="1"/>
  <c r="I109" i="1"/>
  <c r="I81" i="1"/>
  <c r="K81" i="1" s="1"/>
  <c r="J86" i="1"/>
  <c r="J101" i="1"/>
  <c r="I72" i="1"/>
  <c r="H104" i="1"/>
  <c r="K82" i="1"/>
  <c r="H88" i="1"/>
  <c r="I80" i="1"/>
  <c r="K102" i="1"/>
  <c r="I112" i="1"/>
  <c r="I83" i="1"/>
  <c r="K83" i="1" s="1"/>
  <c r="I68" i="1"/>
  <c r="H82" i="1"/>
  <c r="I96" i="1"/>
  <c r="I106" i="1"/>
  <c r="K72" i="1"/>
  <c r="I102" i="1"/>
  <c r="J80" i="1"/>
  <c r="K70" i="1"/>
  <c r="J70" i="1"/>
  <c r="J84" i="1"/>
  <c r="J90" i="1"/>
  <c r="K96" i="1"/>
  <c r="K98" i="1"/>
  <c r="H102" i="1"/>
  <c r="I115" i="1"/>
  <c r="J115" i="1"/>
  <c r="H115" i="1"/>
  <c r="K115" i="1"/>
  <c r="K80" i="1"/>
  <c r="K68" i="1"/>
  <c r="K114" i="1"/>
  <c r="I82" i="1"/>
  <c r="J110" i="1"/>
  <c r="I110" i="1"/>
  <c r="K110" i="1"/>
  <c r="H110" i="1"/>
  <c r="H96" i="1"/>
  <c r="H98" i="1"/>
  <c r="J100" i="1"/>
  <c r="J114" i="1"/>
  <c r="H72" i="1"/>
  <c r="I74" i="1"/>
  <c r="K74" i="1" s="1"/>
  <c r="J76" i="1"/>
  <c r="H76" i="1"/>
  <c r="I76" i="1"/>
  <c r="K76" i="1"/>
  <c r="I111" i="1"/>
  <c r="K111" i="1" s="1"/>
  <c r="J111" i="1"/>
  <c r="H111" i="1"/>
  <c r="K106" i="1"/>
  <c r="I104" i="1"/>
  <c r="J72" i="1"/>
  <c r="H94" i="1"/>
  <c r="J94" i="1"/>
  <c r="I94" i="1"/>
  <c r="K94" i="1"/>
  <c r="J74" i="1"/>
  <c r="J106" i="1"/>
  <c r="I114" i="1"/>
  <c r="K104" i="1"/>
  <c r="J88" i="1"/>
  <c r="H108" i="1"/>
  <c r="I108" i="1"/>
  <c r="J108" i="1"/>
  <c r="K108" i="1"/>
  <c r="H78" i="1"/>
  <c r="J78" i="1"/>
  <c r="I78" i="1"/>
  <c r="K78" i="1" s="1"/>
  <c r="K90" i="1"/>
  <c r="J92" i="1"/>
  <c r="H92" i="1"/>
  <c r="I92" i="1"/>
  <c r="K92" i="1"/>
  <c r="J66" i="1"/>
  <c r="H66" i="1"/>
  <c r="I66" i="1"/>
  <c r="K66" i="1" s="1"/>
  <c r="H52" i="1"/>
  <c r="H37" i="1"/>
  <c r="H25" i="1"/>
  <c r="H14" i="1"/>
  <c r="I52" i="1"/>
  <c r="J52" i="1"/>
  <c r="K52" i="1"/>
  <c r="I37" i="1"/>
  <c r="J37" i="1"/>
  <c r="K37" i="1"/>
  <c r="K25" i="1"/>
  <c r="I25" i="1"/>
  <c r="J25" i="1"/>
  <c r="J11" i="1"/>
  <c r="K14" i="1"/>
  <c r="I14" i="1"/>
  <c r="J14" i="1"/>
  <c r="I11" i="1"/>
  <c r="K11" i="1" s="1"/>
  <c r="B29" i="1"/>
  <c r="B41" i="1"/>
  <c r="B30" i="1" l="1"/>
  <c r="B60" i="1" l="1"/>
  <c r="G60" i="1" s="1"/>
  <c r="B59" i="1"/>
  <c r="G59" i="1" s="1"/>
  <c r="B58" i="1"/>
  <c r="E58" i="1" s="1"/>
  <c r="B57" i="1"/>
  <c r="G57" i="1" s="1"/>
  <c r="B56" i="1"/>
  <c r="G56" i="1" s="1"/>
  <c r="B55" i="1"/>
  <c r="E55" i="1" s="1"/>
  <c r="B54" i="1"/>
  <c r="G54" i="1" s="1"/>
  <c r="B53" i="1"/>
  <c r="G53" i="1" s="1"/>
  <c r="B51" i="1"/>
  <c r="G51" i="1" s="1"/>
  <c r="B50" i="1"/>
  <c r="E50" i="1" s="1"/>
  <c r="B49" i="1"/>
  <c r="G49" i="1" s="1"/>
  <c r="B48" i="1"/>
  <c r="G48" i="1" s="1"/>
  <c r="B47" i="1"/>
  <c r="G47" i="1" s="1"/>
  <c r="B46" i="1"/>
  <c r="B45" i="1"/>
  <c r="G45" i="1" s="1"/>
  <c r="B44" i="1"/>
  <c r="G44" i="1" s="1"/>
  <c r="B43" i="1"/>
  <c r="E43" i="1" s="1"/>
  <c r="B42" i="1"/>
  <c r="G41" i="1"/>
  <c r="B40" i="1"/>
  <c r="G40" i="1" s="1"/>
  <c r="B39" i="1"/>
  <c r="E39" i="1" s="1"/>
  <c r="B38" i="1"/>
  <c r="G38" i="1" s="1"/>
  <c r="B36" i="1"/>
  <c r="G36" i="1" s="1"/>
  <c r="B35" i="1"/>
  <c r="G35" i="1" s="1"/>
  <c r="B34" i="1"/>
  <c r="E34" i="1" s="1"/>
  <c r="B33" i="1"/>
  <c r="B32" i="1"/>
  <c r="G32" i="1" s="1"/>
  <c r="B31" i="1"/>
  <c r="G31" i="1" s="1"/>
  <c r="B28" i="1"/>
  <c r="G28" i="1" s="1"/>
  <c r="B27" i="1"/>
  <c r="G27" i="1" s="1"/>
  <c r="B26" i="1"/>
  <c r="B24" i="1"/>
  <c r="G24" i="1" s="1"/>
  <c r="B23" i="1"/>
  <c r="G23" i="1" s="1"/>
  <c r="B22" i="1"/>
  <c r="G22" i="1" s="1"/>
  <c r="B21" i="1"/>
  <c r="E21" i="1" s="1"/>
  <c r="B20" i="1"/>
  <c r="F20" i="1" s="1"/>
  <c r="B19" i="1"/>
  <c r="G19" i="1" s="1"/>
  <c r="B18" i="1"/>
  <c r="G18" i="1" s="1"/>
  <c r="B17" i="1"/>
  <c r="G17" i="1" s="1"/>
  <c r="B16" i="1"/>
  <c r="E16" i="1" s="1"/>
  <c r="B15" i="1"/>
  <c r="F15" i="1" s="1"/>
  <c r="B13" i="1"/>
  <c r="G13" i="1" s="1"/>
  <c r="B12" i="1"/>
  <c r="G12" i="1" s="1"/>
  <c r="B10" i="1"/>
  <c r="E10" i="1" s="1"/>
  <c r="D35" i="1" l="1"/>
  <c r="D40" i="1"/>
  <c r="E22" i="1"/>
  <c r="F22" i="1"/>
  <c r="E32" i="1"/>
  <c r="E44" i="1"/>
  <c r="F47" i="1"/>
  <c r="D12" i="1"/>
  <c r="D13" i="1"/>
  <c r="F16" i="1"/>
  <c r="D19" i="1"/>
  <c r="D20" i="1"/>
  <c r="G21" i="1"/>
  <c r="E12" i="1"/>
  <c r="E13" i="1"/>
  <c r="E19" i="1"/>
  <c r="E20" i="1"/>
  <c r="F12" i="1"/>
  <c r="F19" i="1"/>
  <c r="G20" i="1"/>
  <c r="E23" i="1"/>
  <c r="E31" i="1"/>
  <c r="F44" i="1"/>
  <c r="D59" i="1"/>
  <c r="F31" i="1"/>
  <c r="D44" i="1"/>
  <c r="D45" i="1"/>
  <c r="F17" i="1"/>
  <c r="F27" i="1"/>
  <c r="E47" i="1"/>
  <c r="E48" i="1"/>
  <c r="F50" i="1"/>
  <c r="F51" i="1"/>
  <c r="E53" i="1"/>
  <c r="F55" i="1"/>
  <c r="F56" i="1"/>
  <c r="E57" i="1"/>
  <c r="D17" i="1"/>
  <c r="D18" i="1"/>
  <c r="D24" i="1"/>
  <c r="D27" i="1"/>
  <c r="D28" i="1"/>
  <c r="E35" i="1"/>
  <c r="D36" i="1"/>
  <c r="E40" i="1"/>
  <c r="D41" i="1"/>
  <c r="F43" i="1"/>
  <c r="E45" i="1"/>
  <c r="D51" i="1"/>
  <c r="D56" i="1"/>
  <c r="E59" i="1"/>
  <c r="D60" i="1"/>
  <c r="E17" i="1"/>
  <c r="D22" i="1"/>
  <c r="D23" i="1"/>
  <c r="E27" i="1"/>
  <c r="E28" i="1"/>
  <c r="D31" i="1"/>
  <c r="D32" i="1"/>
  <c r="F34" i="1"/>
  <c r="F35" i="1"/>
  <c r="E36" i="1"/>
  <c r="F39" i="1"/>
  <c r="F40" i="1"/>
  <c r="E41" i="1"/>
  <c r="D47" i="1"/>
  <c r="D48" i="1"/>
  <c r="E51" i="1"/>
  <c r="D53" i="1"/>
  <c r="E56" i="1"/>
  <c r="D57" i="1"/>
  <c r="F58" i="1"/>
  <c r="F59" i="1"/>
  <c r="E60" i="1"/>
  <c r="F29" i="1"/>
  <c r="E29" i="1"/>
  <c r="F46" i="1"/>
  <c r="E46" i="1"/>
  <c r="D46" i="1"/>
  <c r="F10" i="1"/>
  <c r="G15" i="1"/>
  <c r="G16" i="1"/>
  <c r="E18" i="1"/>
  <c r="E30" i="1"/>
  <c r="D30" i="1"/>
  <c r="F33" i="1"/>
  <c r="E33" i="1"/>
  <c r="F42" i="1"/>
  <c r="E42" i="1"/>
  <c r="D42" i="1"/>
  <c r="G46" i="1"/>
  <c r="E26" i="1"/>
  <c r="D26" i="1"/>
  <c r="F26" i="1"/>
  <c r="D29" i="1"/>
  <c r="D10" i="1"/>
  <c r="F13" i="1"/>
  <c r="E15" i="1"/>
  <c r="D16" i="1"/>
  <c r="F18" i="1"/>
  <c r="D21" i="1"/>
  <c r="G26" i="1"/>
  <c r="G29" i="1"/>
  <c r="F30" i="1"/>
  <c r="D33" i="1"/>
  <c r="F38" i="1"/>
  <c r="E38" i="1"/>
  <c r="D38" i="1"/>
  <c r="G42" i="1"/>
  <c r="F54" i="1"/>
  <c r="E54" i="1"/>
  <c r="D54" i="1"/>
  <c r="G10" i="1"/>
  <c r="D15" i="1"/>
  <c r="F21" i="1"/>
  <c r="F24" i="1"/>
  <c r="E24" i="1"/>
  <c r="G30" i="1"/>
  <c r="G33" i="1"/>
  <c r="F49" i="1"/>
  <c r="E49" i="1"/>
  <c r="D49" i="1"/>
  <c r="G34" i="1"/>
  <c r="G39" i="1"/>
  <c r="G43" i="1"/>
  <c r="G50" i="1"/>
  <c r="G55" i="1"/>
  <c r="G58" i="1"/>
  <c r="F23" i="1"/>
  <c r="F28" i="1"/>
  <c r="F32" i="1"/>
  <c r="D34" i="1"/>
  <c r="F36" i="1"/>
  <c r="D39" i="1"/>
  <c r="F41" i="1"/>
  <c r="D43" i="1"/>
  <c r="F45" i="1"/>
  <c r="F48" i="1"/>
  <c r="D50" i="1"/>
  <c r="F53" i="1"/>
  <c r="D55" i="1"/>
  <c r="F57" i="1"/>
  <c r="D58" i="1"/>
  <c r="F60" i="1"/>
  <c r="H43" i="1" l="1"/>
  <c r="H16" i="1"/>
  <c r="H26" i="1"/>
  <c r="H51" i="1"/>
  <c r="H27" i="1"/>
  <c r="H21" i="1"/>
  <c r="H39" i="1"/>
  <c r="H35" i="1"/>
  <c r="H55" i="1"/>
  <c r="H46" i="1"/>
  <c r="H29" i="1"/>
  <c r="H58" i="1"/>
  <c r="H34" i="1"/>
  <c r="H45" i="1"/>
  <c r="H50" i="1"/>
  <c r="H19" i="1"/>
  <c r="H54" i="1"/>
  <c r="H38" i="1"/>
  <c r="H33" i="1"/>
  <c r="H18" i="1"/>
  <c r="H59" i="1"/>
  <c r="H48" i="1"/>
  <c r="H13" i="1"/>
  <c r="H22" i="1"/>
  <c r="H30" i="1"/>
  <c r="H15" i="1"/>
  <c r="H60" i="1"/>
  <c r="H56" i="1"/>
  <c r="H36" i="1"/>
  <c r="H53" i="1"/>
  <c r="H47" i="1"/>
  <c r="H31" i="1"/>
  <c r="H12" i="1"/>
  <c r="H44" i="1"/>
  <c r="H49" i="1"/>
  <c r="H24" i="1"/>
  <c r="H42" i="1"/>
  <c r="H41" i="1"/>
  <c r="H28" i="1"/>
  <c r="H17" i="1"/>
  <c r="H40" i="1"/>
  <c r="H57" i="1"/>
  <c r="H23" i="1"/>
  <c r="H20" i="1"/>
  <c r="H32" i="1"/>
  <c r="I58" i="1"/>
  <c r="K56" i="1"/>
  <c r="K43" i="1"/>
  <c r="K55" i="1"/>
  <c r="K15" i="1"/>
  <c r="K36" i="1"/>
  <c r="K53" i="1"/>
  <c r="K58" i="1"/>
  <c r="K34" i="1"/>
  <c r="K44" i="1"/>
  <c r="K42" i="1"/>
  <c r="K41" i="1"/>
  <c r="K17" i="1"/>
  <c r="K32" i="1"/>
  <c r="K30" i="1"/>
  <c r="K29" i="1"/>
  <c r="K51" i="1"/>
  <c r="K27" i="1"/>
  <c r="K45" i="1"/>
  <c r="K26" i="1"/>
  <c r="K18" i="1"/>
  <c r="K59" i="1"/>
  <c r="K35" i="1"/>
  <c r="K22" i="1"/>
  <c r="J21" i="1"/>
  <c r="J51" i="1"/>
  <c r="J27" i="1"/>
  <c r="J56" i="1"/>
  <c r="J20" i="1"/>
  <c r="J15" i="1"/>
  <c r="J46" i="1"/>
  <c r="J60" i="1"/>
  <c r="J36" i="1"/>
  <c r="J53" i="1"/>
  <c r="J16" i="1"/>
  <c r="J39" i="1"/>
  <c r="J43" i="1"/>
  <c r="J55" i="1"/>
  <c r="J10" i="1"/>
  <c r="J58" i="1"/>
  <c r="J34" i="1"/>
  <c r="J47" i="1"/>
  <c r="J31" i="1"/>
  <c r="J12" i="1"/>
  <c r="J44" i="1"/>
  <c r="J50" i="1"/>
  <c r="J42" i="1"/>
  <c r="J41" i="1"/>
  <c r="J28" i="1"/>
  <c r="J17" i="1"/>
  <c r="J40" i="1"/>
  <c r="J57" i="1"/>
  <c r="J23" i="1"/>
  <c r="J32" i="1"/>
  <c r="J49" i="1"/>
  <c r="J24" i="1"/>
  <c r="J54" i="1"/>
  <c r="J38" i="1"/>
  <c r="J30" i="1"/>
  <c r="J29" i="1"/>
  <c r="J45" i="1"/>
  <c r="J19" i="1"/>
  <c r="J26" i="1"/>
  <c r="J33" i="1"/>
  <c r="J18" i="1"/>
  <c r="J59" i="1"/>
  <c r="J35" i="1"/>
  <c r="J48" i="1"/>
  <c r="J13" i="1"/>
  <c r="J22" i="1"/>
  <c r="I47" i="1"/>
  <c r="K47" i="1" s="1"/>
  <c r="I51" i="1"/>
  <c r="I17" i="1"/>
  <c r="I22" i="1"/>
  <c r="I43" i="1"/>
  <c r="I31" i="1"/>
  <c r="K31" i="1" s="1"/>
  <c r="I19" i="1"/>
  <c r="K19" i="1" s="1"/>
  <c r="I44" i="1"/>
  <c r="I21" i="1"/>
  <c r="K21" i="1" s="1"/>
  <c r="I20" i="1"/>
  <c r="K20" i="1" s="1"/>
  <c r="I12" i="1"/>
  <c r="K12" i="1" s="1"/>
  <c r="I39" i="1"/>
  <c r="K39" i="1" s="1"/>
  <c r="I16" i="1"/>
  <c r="K16" i="1" s="1"/>
  <c r="I27" i="1"/>
  <c r="I59" i="1"/>
  <c r="I35" i="1"/>
  <c r="I56" i="1"/>
  <c r="I40" i="1"/>
  <c r="K40" i="1" s="1"/>
  <c r="I49" i="1"/>
  <c r="K49" i="1" s="1"/>
  <c r="I15" i="1"/>
  <c r="I55" i="1"/>
  <c r="I46" i="1"/>
  <c r="K46" i="1" s="1"/>
  <c r="H10" i="1"/>
  <c r="I60" i="1"/>
  <c r="K60" i="1" s="1"/>
  <c r="I53" i="1"/>
  <c r="I45" i="1"/>
  <c r="I36" i="1"/>
  <c r="I24" i="1"/>
  <c r="K24" i="1" s="1"/>
  <c r="I34" i="1"/>
  <c r="I23" i="1"/>
  <c r="K23" i="1" s="1"/>
  <c r="I26" i="1"/>
  <c r="I30" i="1"/>
  <c r="I29" i="1"/>
  <c r="I10" i="1"/>
  <c r="K10" i="1" s="1"/>
  <c r="I50" i="1"/>
  <c r="K50" i="1" s="1"/>
  <c r="I38" i="1"/>
  <c r="K38" i="1" s="1"/>
  <c r="I42" i="1"/>
  <c r="I33" i="1"/>
  <c r="K33" i="1" s="1"/>
  <c r="I13" i="1"/>
  <c r="K13" i="1" s="1"/>
  <c r="I32" i="1"/>
  <c r="I57" i="1"/>
  <c r="K57" i="1" s="1"/>
  <c r="I48" i="1"/>
  <c r="K48" i="1" s="1"/>
  <c r="I41" i="1"/>
  <c r="I28" i="1"/>
  <c r="K28" i="1" s="1"/>
  <c r="I54" i="1"/>
  <c r="K54" i="1" s="1"/>
  <c r="I18" i="1"/>
</calcChain>
</file>

<file path=xl/connections.xml><?xml version="1.0" encoding="utf-8"?>
<connections xmlns="http://schemas.openxmlformats.org/spreadsheetml/2006/main">
  <connection id="1" interval="1" name="juniorNiftyStockWatch" type="4" refreshedVersion="4" background="1" refreshOnLoad="1" saveData="1">
    <webPr sourceData="1" parsePre="1" consecutive="1" xl2000="1" url="https://www.nseindia.com/live_market/dynaContent/live_watch/stock_watch/juniorNiftyStockWatch.json" htmlTables="1"/>
  </connection>
  <connection id="2" interval="1" name="nifty50" type="4" refreshedVersion="4" background="1" refreshOnLoad="1" saveData="1">
    <webPr sourceData="1" parsePre="1" consecutive="1" xl2000="1" url="http://www.nseindia.com/live_market/dynaContent/live_watch/stock_watch/niftyStockWatch.json" htmlTables="1"/>
  </connection>
  <connection id="3" interval="1" name="niftyMidcap50" type="4" refreshedVersion="4" background="1" refreshOnLoad="1" saveData="1">
    <webPr sourceData="1" parsePre="1" consecutive="1" xl2000="1" url="https://www.nseindia.com/live_market/dynaContent/live_watch/stock_watch/niftyMidcap50StockWatch.json" htmlTables="1"/>
  </connection>
</connections>
</file>

<file path=xl/sharedStrings.xml><?xml version="1.0" encoding="utf-8"?>
<sst xmlns="http://schemas.openxmlformats.org/spreadsheetml/2006/main" count="194" uniqueCount="169">
  <si>
    <t>Web Data</t>
  </si>
  <si>
    <t>JSON Keys</t>
  </si>
  <si>
    <t>SYMBOL</t>
  </si>
  <si>
    <t>open</t>
  </si>
  <si>
    <t>high</t>
  </si>
  <si>
    <t>low</t>
  </si>
  <si>
    <t>ltP</t>
  </si>
  <si>
    <t>Position</t>
  </si>
  <si>
    <t>Price</t>
  </si>
  <si>
    <t>Stop Loss</t>
  </si>
  <si>
    <t>ACC</t>
  </si>
  <si>
    <t>AMBUJACEM</t>
  </si>
  <si>
    <t>ASIANPAINT</t>
  </si>
  <si>
    <t>AXISBANK</t>
  </si>
  <si>
    <t>BAJAJ-AUTO</t>
  </si>
  <si>
    <t>BANKBARODA</t>
  </si>
  <si>
    <t>BHARTIARTL</t>
  </si>
  <si>
    <t>BHEL</t>
  </si>
  <si>
    <t>BOSCHLTD</t>
  </si>
  <si>
    <t>BPCL</t>
  </si>
  <si>
    <t>CAIRN</t>
  </si>
  <si>
    <t>CIPLA</t>
  </si>
  <si>
    <t>COALINDIA</t>
  </si>
  <si>
    <t>DRREDDY</t>
  </si>
  <si>
    <t>GAIL</t>
  </si>
  <si>
    <t>GRASIM</t>
  </si>
  <si>
    <t>HCLTECH</t>
  </si>
  <si>
    <t>HDFC</t>
  </si>
  <si>
    <t>HDFCBANK</t>
  </si>
  <si>
    <t>HEROMOTOCO</t>
  </si>
  <si>
    <t>HINDALCO</t>
  </si>
  <si>
    <t>HINDUNILVR</t>
  </si>
  <si>
    <t>ICICIBANK</t>
  </si>
  <si>
    <t>IDEA</t>
  </si>
  <si>
    <t>INDUSINDBK</t>
  </si>
  <si>
    <t>INFY</t>
  </si>
  <si>
    <t>ITC</t>
  </si>
  <si>
    <t>KOTAKBANK</t>
  </si>
  <si>
    <t>LT</t>
  </si>
  <si>
    <t>LUPIN</t>
  </si>
  <si>
    <t>M&amp;M</t>
  </si>
  <si>
    <t>MARUTI</t>
  </si>
  <si>
    <t>NTPC</t>
  </si>
  <si>
    <t>ONGC</t>
  </si>
  <si>
    <t>PNB</t>
  </si>
  <si>
    <t>POWERGRID</t>
  </si>
  <si>
    <t>RELIANCE</t>
  </si>
  <si>
    <t>SBIN</t>
  </si>
  <si>
    <t>SUNPHARMA</t>
  </si>
  <si>
    <t>TATAMOTORS</t>
  </si>
  <si>
    <t>TATAPOWER</t>
  </si>
  <si>
    <t>TATASTEEL</t>
  </si>
  <si>
    <t>TCS</t>
  </si>
  <si>
    <t>TECHM</t>
  </si>
  <si>
    <t>ULTRACEMCO</t>
  </si>
  <si>
    <t>VEDL</t>
  </si>
  <si>
    <t>WIPRO</t>
  </si>
  <si>
    <t>YESBANK</t>
  </si>
  <si>
    <t>ZEEL</t>
  </si>
  <si>
    <t>Profit/Loss at EOD</t>
  </si>
  <si>
    <t>NMDC</t>
  </si>
  <si>
    <t>ADANIPORTS</t>
  </si>
  <si>
    <t xml:space="preserve">{"trdVolumesumMil":"268.96","time":"May 27, 2016 16:00:00","latestData":[{"indexName":"NIFTY 50","open":"8,081.95","high":"8,164.20","low":"8,077.05","ltp":"8,156.65","ch":"87.00","per":"1.08","yCls":"-2.16","mCls":"2.44","yHigh":"8,654.75","yLow":"6,825.80"}],"declines":15,"trdValueSum":"10,607.10","data":[{"symbol":"SBIN","open":"184.00","high":"202.40","low":"181.50","ltP":"201.30","ptsC":"17.15","per":"9.31","trdVol":"855.86","trdVolM":"85.59","ntP":"1,620.82","mVal":"16.21","wkhi":"291.80","wklo":"148.25","wkhicm_adj":"326.95","wklocm_adj":"145.51","xDt":"31-DEC-2999","cAct":"-","yPC":"-28.30","mPC":"0.17"},{"symbol":"BPCL","open":"951.00","high":"1,024.70","low":"947.45","ltP":"1,005.40","ptsC":"78.60","per":"8.48","trdVol":"58.85","trdVolM":"5.88","ntP":"590.28","mVal":"5.90","wkhi":"1,024.70","wklo":"731.15","wkhicm_adj":"785.00","wklocm_adj":"316.05","xDt":"31-DEC-2999","cAct":"-","yPC":"26.16","mPC":"3.03"},{"symbol":"SUNPHARMA","open":"795.00","high":"828.00","low":"790.10","ltP":"828.00","ptsC":"48.65","per":"6.24","trdVol":"36.75","trdVolM":"3.68","ntP":"299.81","mVal":"3.00","wkhi":"1,004.00","wklo":"704.00","wkhicm_adj":"932.50","wklocm_adj":"552.55","xDt":"31-DEC-2999","cAct":"-","yPC":"-15.12","mPC":"1.67"},{"symbol":"BANKBARODA","open":"135.90","high":"140.80","low":"134.40","ltP":"140.20","ptsC":"5.35","per":"3.97","trdVol":"87.04","trdVolM":"8.70","ntP":"119.08","mVal":"1.19","wkhi":"216.30","wklo":"109.35","wkhicm_adj":"1,104.70","wklocm_adj":"511.15","xDt":"31-DEC-2999","cAct":"-","yPC":"-13.00","mPC":"-13.30"},{"symbol":"ADANIPORTS","open":"185.40","high":"192.95","low":"185.00","ltP":"191.55","ptsC":"6.75","per":"3.65","trdVol":"82.41","trdVolM":"8.24","ntP":"157.42","mVal":"1.57","wkhi":"374.80","wklo":"169.15","wkhicm_adj":"308.75","wklocm_adj":"141.00","xDt":"22-MAR-2016","cAct":"INTERIM DIVIDEND - RS 1.10\/- PER SHARE (PURPOSE REVISED)","yPC":"-43.48","mPC":"-16.39"},{"symbol":"AMBUJACEM","open":"226.00","high":"232.00","low":"226.00","ltP":"231.05","ptsC":"6.45","per":"2.87","trdVol":"51.55","trdVolM":"5.16","ntP":"117.70","mVal":"1.18","wkhi":"257.30","wklo":"185.00","wkhicm_adj":"243.80","wklocm_adj":"150.10","xDt":"31-DEC-2999","cAct":"-","yPC":"1.52","mPC":"2.94"},{"symbol":"RELIANCE","open":"949.05","high":"976.90","low":"948.75","ltP":"973.10","ptsC":"26.25","per":"2.77","trdVol":"30.63","trdVolM":"3.06","ntP":"296.17","mVal":"2.96","wkhi":"1,089.75","wklo":"818.00","wkhicm_adj":"1,145.25","wklocm_adj":"793.10","xDt":"17-MAR-2016","cAct":"INTERIM DIVIDEND - RS 10.50\/- PER SHARE (PURPOSE REVISED)","yPC":"9.92","mPC":"-4.31"},{"symbol":"AUROPHARMA","open":"746.90","high":"771.50","low":"741.50","ltP":"763.30","ptsC":"18.75","per":"2.52","trdVol":"13.96","trdVolM":"1.40","ntP":"106.70","mVal":"1.07","wkhi":"891.50","wklo":"582.00","wkhicm_adj":"1,152.40","wklocm_adj":"286.55","xDt":"31-DEC-2999","cAct":"-","yPC":"13.89","mPC":"-1.59"},{"symbol":"BAJAJ-AUTO","open":"2,505.00","high":"2,581.95","low":"2,487.00","ltP":"2,560.00","ptsC":"54.85","per":"2.19","trdVol":"3.27","trdVolM":"0.33","ntP":"83.04","mVal":"0.83","wkhi":"2,656.00","wklo":"2,133.65","wkhicm_adj":"2,695.00","wklocm_adj":"1,793.20","xDt":"16-MAR-2016","cAct":"INTERIM DIVIDEND - RS 50\/- PER SHARE (PURPOSE REVISED)","yPC":"10.71","mPC":"0.47"},{"symbol":"HCLTECH","open":"742.60","high":"759.70","low":"742.60","ltP":"756.00","ptsC":"15.10","per":"2.04","trdVol":"30.45","trdVolM":"3.05","ntP":"229.36","mVal":"2.29","wkhi":"1,044.95","wklo":"706.40","wkhicm_adj":"1,776.25","wklocm_adj":"1,057.60","xDt":"05-MAY-2016","cAct":"INTERIM DIVIDEND - RS 6\/- PER SHARE (PURPOSE REVISED)","yPC":"-23.75","mPC":"-11.04"},{"symbol":"HINDALCO","open":"91.00","high":"92.70","low":"90.85","ltP":"92.00","ptsC":"1.70","per":"1.88","trdVol":"115.44","trdVolM":"11.54","ntP":"106.05","mVal":"1.06","wkhi":"134.60","wklo":"58.80","wkhicm_adj":"198.90","wklocm_adj":"96.70","xDt":"31-DEC-2999","cAct":"-","yPC":"-31.11","mPC":"-10.81"},{"symbol":"TATASTEEL","open":"326.00","high":"332.00","low":"324.55","ltP":"331.05","ptsC":"5.85","per":"1.80","trdVol":"44.04","trdVolM":"4.40","ntP":"144.44","mVal":"1.44","wkhi":"364.05","wklo":"199.70","wkhicm_adj":"579.90","wklocm_adj":"332.00","xDt":"31-DEC-2999","cAct":"-","yPC":"0.88","mPC":"-7.68"},{"symbol":"HDFC","open":"1,230.00","high":"1,268.40","low":"1,218.35","ltP":"1,250.00","ptsC":"21.75","per":"1.77","trdVol":"32.47","trdVolM":"3.25","ntP":"404.29","mVal":"4.04","wkhi":"1,372.40","wklo":"1,011.45","wkhicm_adj":"1,177.80","wklocm_adj":"755.00","xDt":"30-MAR-2016","cAct":"INTERIM DIVIDEND - RS 3\/- PER SHARE (PURPOSE REVISED)","yPC":"0.81","mPC":"10.88"},{"symbol":"ZEEL","open":"445.95","high":"455.00","low":"443.00","ltP":"452.20","ptsC":"7.75","per":"1.74","trdVol":"16.75","trdVolM":"1.67","ntP":"75.70","mVal":"0.76","wkhi":"458.95","wklo":"316.15","wkhicm_adj":"402.40","wklocm_adj":"251.80","xDt":"31-DEC-2999","cAct":"-","yPC":"41.31","mPC":"9.36"},{"symbol":"EICHERMOT","open":"18,494.00","high":"18,799.00","low":"18,425.25","ltP":"18,700.00","ptsC":"305.65","per":"1.66","trdVol":"0.27","trdVolM":"0.03","ntP":"50.52","mVal":"0.51","wkhi":"21,620.00","wklo":"14,800.00","wkhicm_adj":"15,149.90","wklocm_adj":"4,401.10","xDt":"22-MAR-2016","cAct":"INTERIM DIVIDEND - RS 100\/- PER SHARE","yPC":"1.83","mPC":"-7.19"},{"symbol":"ACC","open":"1,509.00","high":"1,533.30","low":"1,502.00","ltP":"1,525.15","ptsC":"21.10","per":"1.40","trdVol":"4.33","trdVolM":"0.43","ntP":"65.74","mVal":"0.66","wkhi":"1,533.30","wklo":"1,174.00","wkhicm_adj":"1,564.65","wklocm_adj":"970.15","xDt":"31-DEC-2999","cAct":"-","yPC":"4.18","mPC":"6.89"},{"symbol":"HINDUNILVR","open":"851.35","high":"865.95","low":"850.50","ltP":"861.00","ptsC":"10.65","per":"1.25","trdVol":"15.31","trdVolM":"1.53","ntP":"131.79","mVal":"1.32","wkhi":"944.00","wklo":"766.40","wkhicm_adj":"814.85","wklocm_adj":"537.20","xDt":"31-DEC-2999","cAct":"-","yPC":"0.38","mPC":"-2.79"},{"symbol":"CIPLA","open":"470.90","high":"478.50","low":"469.10","ltP":"473.45","ptsC":"5.50","per":"1.18","trdVol":"26.39","trdVolM":"2.64","ntP":"125.03","mVal":"1.25","wkhi":"745.00","wklo":"457.45","wkhicm_adj":"673.00","wklocm_adj":"366.50","xDt":"31-DEC-2999","cAct":"-","yPC":"-28.38","mPC":"-12.41"},{"symbol":"TCS","open":"2,553.15","high":"2,579.85","low":"2,550.60","ltP":"2,577.00","ptsC":"28.30","per":"1.11","trdVol":"5.52","trdVolM":"0.55","ntP":"141.78","mVal":"1.42","wkhi":"2,770.00","wklo":"2,115.00","wkhicm_adj":"2,839.70","wklocm_adj":"1,970.00","xDt":"31-DEC-2999","cAct":"-","yPC":"-1.46","mPC":"3.50"},{"symbol":"HEROMOTOCO","open":"2,962.05","high":"3,010.05","low":"2,962.00","ltP":"2,995.00","ptsC":"32.80","per":"1.11","trdVol":"4.00","trdVolM":"0.40","ntP":"119.93","mVal":"1.20","wkhi":"3,172.00","wklo":"2,257.20","wkhicm_adj":"3,269.95","wklocm_adj":"1,907.10","xDt":"21-MAR-2016","cAct":"INTERIM DIVIDEND - RS 40\/- PER SHARE","yPC":"14.91","mPC":"2.15"},{"symbol":"KOTAKBANK","open":"734.40","high":"744.65","low":"733.10","ltP":"738.10","ptsC":"7.90","per":"1.08","trdVol":"12.94","trdVolM":"1.29","ntP":"95.53","mVal":"0.96","wkhi":"744.80","wklo":"585.75","wkhicm_adj":"1,264.70","wklocm_adj":"630.50","xDt":"31-DEC-2999","cAct":"-","yPC":"7.40","mPC":"5.31"},{"symbol":"TATAMOTORS","open":"400.00","high":"405.00","low":"396.00","ltP":"403.10","ptsC":"3.85","per":"0.96","trdVol":"90.36","trdVolM":"9.04","ntP":"362.38","mVal":"3.62","wkhi":"490.25","wklo":"265.80","wkhicm_adj":"550.70","wklocm_adj":"332.10","xDt":"31-DEC-2999","cAct":"-","yPC":"-14.55","mPC":"-3.81"},{"symbol":"INFY","open":"1,231.60","high":"1,259.50","low":"1,231.60","ltP":"1,245.00","ptsC":"10.85","per":"0.88","trdVol":"30.90","trdVolM":"3.09","ntP":"386.15","mVal":"3.86","wkhi":"1,267.90","wklo":"932.65","wkhicm_adj":"4,402.20","wklocm_adj":"2,880.00","xDt":"31-DEC-2999","cAct":"-","yPC":"26.49","mPC":"1.04"},{"symbol":"ULTRACEMCO","open":"3,216.00","high":"3,255.00","low":"3,216.00","ltP":"3,242.00","ptsC":"28.35","per":"0.88","trdVol":"2.35","trdVolM":"0.23","ntP":"75.93","mVal":"0.76","wkhi":"3,454.90","wklo":"2,579.00","wkhicm_adj":"2,872.00","wklocm_adj":"1,634.00","xDt":"31-DEC-2999","cAct":"-","yPC":"12.37","mPC":"-0.74"},{"symbol":"LUPIN","open":"1,489.00","high":"1,535.45","low":"1,475.05","ltP":"1,482.65","ptsC":"12.70","per":"0.86","trdVol":"31.23","trdVolM":"3.12","ntP":"469.38","mVal":"4.69","wkhi":"2,129.00","wklo":"1,280.00","wkhicm_adj":"1,497.50","wklocm_adj":"851.50","xDt":"31-DEC-2999","cAct":"-","yPC":"-15.38","mPC":"-6.11"},{"symbol":"GRASIM","open":"4,335.00","high":"4,385.00","low":"4,330.10","ltP":"4,360.00","ptsC":"29.00","per":"0.67","trdVol":"0.51","trdVolM":"0.05","ntP":"22.28","mVal":"0.22","wkhi":"4,385.00","wklo":"3,233.00","wkhicm_adj":"3,789.00","wklocm_adj":"2,426.35","xDt":"31-DEC-2999","cAct":"-","yPC":"21.83","mPC":"6.67"},{"symbol":"DRREDDY","open":"3,084.00","high":"3,138.00","low":"3,075.15","ltP":"3,111.00","ptsC":"20.30","per":"0.66","trdVol":"1.82","trdVolM":"0.18","ntP":"56.64","mVal":"0.57","wkhi":"4,386.60","wklo":"2,750.05","wkhicm_adj":"3,666.25","wklocm_adj":"2,246.50","xDt":"31-DEC-2999","cAct":"-","yPC":"-13.26","mPC":"-0.30"},{"symbol":"TATAMTRDVR","open":"272.35","high":"273.25","low":"269.00","ltP":"271.10","ptsC":"1.50","per":"0.56","trdVol":"26.37","trdVolM":"2.64","ntP":"71.45","mVal":"0.71","wkhi":"311.90","wklo":"200.20","wkhicm_adj":"391.35","wklocm_adj":"168.25","xDt":"31-DEC-2999","cAct":"-","yPC":"-9.00","mPC":"-11.55"},{"symbol":"ASIANPAINT","open":"991.90","high":"1,001.80","low":"986.45","ltP":"996.75","ptsC":"4.90","per":"0.49","trdVol":"11.06","trdVolM":"1.11","ntP":"110.14","mVal":"1.10","wkhi":"1,001.80","wklo":"693.00","wkhicm_adj":"802.20","wklocm_adj":"460.20","xDt":"31-DEC-2999","cAct":"-","yPC":"31.28","mPC":"13.67"},{"symbol":"BOSCHLTD","open":"21,817.40","high":"22,099.00","low":"21,654.25","ltP":"21,900.00","ptsC":"82.65","per":"0.38","trdVol":"0.18","trdVolM":"0.02","ntP":"39.50","mVal":"0.40","wkhi":"26,719.95","wklo":"15,736.05","wkhicm_adj":"19,570.00","wklocm_adj":"8,450.00","xDt":"31-DEC-2999","cAct":"-","yPC":"-4.92","mPC":"7.56"},{"symbol":"MARUTI","open":"4,114.70","high":"4,162.00","low":"4,091.05","ltP":"4,132.20","ptsC":"14.20","per":"0.34","trdVol":"8.81","trdVolM":"0.88","ntP":"364.43","mVal":"3.64","wkhi":"4,790.00","wklo":"3,193.25","wkhicm_adj":"3,432.00","wklocm_adj":"1,540.40","xDt":"31-DEC-2999","cAct":"-","yPC":"11.02","mPC":"6.73"},{"symbol":"ICICIBANK","open":"239.00","high":"248.20","low":"238.10","ltP":"241.90","ptsC":"0.75","per":"0.31","trdVol":"241.66","trdVolM":"24.17","ntP":"590.26","mVal":"5.90","wkhi":"321.00","wklo":"180.75","wkhicm_adj":"1,779.00","wklocm_adj":"943.60","xDt":"31-DEC-2999","cAct":"-","yPC":"-22.75","mPC":"-4.78"},{"symbol":"COALINDIA","open":"282.25","high":"284.50","low":"280.20","ltP":"281.50","ptsC":"0.65","per":"0.23","trdVol":"45.44","trdVolM":"4.54","ntP":"128.11","mVal":"1.28","wkhi":"447.10","wklo":"271.65","wkhicm_adj":"423.70","wklocm_adj":"240.30","xDt":"14-MAR-2016","cAct":"INTERIM DIVIDEND - RS 27.40\/- PER SHARE (PURPOSE REVISED)","yPC":"-26.51","mPC":"-2.36"},{"symbol":"YESBANK","open":"1,025.00","high":"1,041.80","low":"1,018.00","ltP":"1,023.40","ptsC":"2.35","per":"0.23","trdVol":"36.98","trdVolM":"3.70","ntP":"380.77","mVal":"3.81","wkhi":"1,041.80","wklo":"595.00","wkhicm_adj":"719.90","wklocm_adj":"291.40","xDt":"31-DEC-2999","cAct":"-","yPC":"17.51","mPC":"12.38"},{"symbol":"WIPRO","open":"543.15","high":"551.00","low":"543.00","ltP":"545.35","ptsC":"0.40","per":"0.07","trdVol":"12.11","trdVolM":"1.21","ntP":"66.38","mVal":"0.66","wkhi":"613.30","wklo":"507.90","wkhicm_adj":"621.90","wklocm_adj":"466.65","xDt":"05-MAY-2016","cAct":"BUYBACK OF SHARES","yPC":"-1.27","mPC":"-1.64"},{"symbol":"BHARTIARTL","open":"352.95","high":"357.60","low":"349.55","ltP":"353.00","ptsC":"0.15","per":"0.04","trdVol":"27.72","trdVolM":"2.77","ntP":"97.95","mVal":"0.98","wkhi":"452.45","wklo":"282.30","wkhicm_adj":"420.00","wklocm_adj":"281.90","xDt":"31-DEC-2999","cAct":"-","yPC":"-13.64","mPC":"-2.05"},{"symbol":"INDUSINDBK","open":"1,101.25","high":"1,111.85","low":"1,099.15","ltP":"1,103.40","ptsC":"-0.50","per":"-0.05","trdVol":"13.77","trdVolM":"1.38","ntP":"152.03","mVal":"1.52","wkhi":"1,111.85","wklo":"784.00","wkhicm_adj":"776.00","wklocm_adj":"369.50","xDt":"31-DEC-2999","cAct":"-","yPC":"28.26","mPC":"8.03"},{"symbol":"HDFCBANK","open":"1,183.25","high":"1,190.00","low":"1,176.70","ltP":"1,181.35","ptsC":"-1.90","per":"-0.16","trdVol":"14.44","trdVolM":"1.44","ntP":"171.17","mVal":"1.71","wkhi":"1,190.00","wklo":"928.00","wkhicm_adj":"965.90","wklocm_adj":"616.80","xDt":"31-DEC-2999","cAct":"-","yPC":"13.79","mPC":"6.06"},{"symbol":"POWERGRID","open":"151.40","high":"152.40","low":"148.80","ltP":"150.30","ptsC":"-0.30","per":"-0.20","trdVol":"42.95","trdVolM":"4.29","ntP":"64.69","mVal":"0.65","wkhi":"152.40","wklo":"120.55","wkhicm_adj":"150.90","wklocm_adj":"91.65","xDt":"31-DEC-2999","cAct":"-","yPC":"4.96","mPC":"3.55"},{"symbol":"LT","open":"1,474.00","high":"1,487.35","low":"1,452.00","ltP":"1,470.90","ptsC":"-3.25","per":"-0.22","trdVol":"39.24","trdVolM":"3.92","ntP":"576.63","mVal":"5.77","wkhi":"1,888.00","wklo":"1,016.05","wkhicm_adj":"1,776.60","wklocm_adj":"951.50","xDt":"31-DEC-2999","cAct":"-","yPC":"-10.06","mPC":"14.82"},{"symbol":"M&amp;M","open":"1,339.00","high":"1,362.00","low":"1,327.55","ltP":"1,334.00","ptsC":"-5.10","per":"-0.38","trdVol":"7.37","trdVolM":"0.74","ntP":"98.83","mVal":"0.99","wkhi":"1,442.05","wklo":"1,091.25","wkhicm_adj":"1,433.70","wklocm_adj":"846.60","xDt":"31-DEC-2999","cAct":"-","yPC":"9.09","mPC":"-1.47"},{"symbol":"BHEL","open":"129.00","high":"132.20","low":"126.60","ltP":"128.10","ptsC":"-0.50","per":"-0.39","trdVol":"105.23","trdVolM":"10.52","ntP":"135.94","mVal":"1.36","wkhi":"290.00","wklo":"90.15","wkhicm_adj":"291.50","wklocm_adj":"145.55","xDt":"31-DEC-2999","cAct":"-","yPC":"-48.73","mPC":"-0.81"},{"symbol":"GAIL","open":"381.70","high":"385.95","low":"377.80","ltP":"378.65","ptsC":"-1.55","per":"-0.41","trdVol":"12.99","trdVolM":"1.30","ntP":"49.81","mVal":"0.50","wkhi":"417.90","wklo":"260.05","wkhicm_adj":"551.90","wklocm_adj":"328.80","xDt":"31-DEC-2999","cAct":"-","yPC":"-0.60","mPC":"4.31"},{"symbol":"NTPC","open":"141.50","high":"141.70","low":"139.40","ltP":"140.20","ptsC":"-1.00","per":"-0.71","trdVol":"26.61","trdVolM":"2.66","ntP":"37.28","mVal":"0.37","wkhi":"148.85","wklo":"107.10","wkhicm_adj":"168.90","wklocm_adj":"110.65","xDt":"31-DEC-2999","cAct":"-","yPC":"4.43","mPC":"0.00"},{"symbol":"ITC","open":"362.95","high":"363.90","low":"356.20","ltP":"359.50","ptsC":"-2.95","per":"-0.81","trdVol":"70.13","trdVolM":"7.01","ntP":"252.23","mVal":"2.52","wkhi":"364.00","wklo":"268.00","wkhicm_adj":"387.50","wklocm_adj":"307.55","xDt":"31-DEC-2999","cAct":"-","yPC":"13.16","mPC":"9.80"},{"symbol":"AXISBANK","open":"520.25","high":"525.00","low":"509.00","ltP":"514.00","ptsC":"-5.00","per":"-0.96","trdVol":"76.99","trdVolM":"7.70","ntP":"397.39","mVal":"3.97","wkhi":"613.45","wklo":"366.75","wkhicm_adj":"493.20","wklocm_adj":"216.52","xDt":"31-DEC-2999","cAct":"-","yPC":"-11.04","mPC":"7.04"},{"symbol":"IDEA","open":"113.90","high":"115.40","low":"112.00","ltP":"112.65","ptsC":"-1.15","per":"-1.01","trdVol":"43.27","trdVolM":"4.33","ntP":"49.34","mVal":"0.49","wkhi":"186.50","wklo":"97.20","wkhicm_adj":"183.70","wklocm_adj":"125.10","xDt":"31-DEC-2999","cAct":"-","yPC":"-33.75","mPC":"-8.97"},{"symbol":"INFRATEL","open":"388.15","high":"391.65","low":"385.10","ltP":"385.90","ptsC":"-4.25","per":"-1.09","trdVol":"15.13","trdVolM":"1.51","ntP":"58.75","mVal":"0.59","wkhi":"499.65","wklo":"341.35","wkhicm_adj":"322.00","wklocm_adj":"156.00","xDt":"31-DEC-2999","cAct":"-","yPC":"-11.86","mPC":"6.29"},{"symbol":"TECHM","open":"539.00","high":"541.00","low":"533.60","ltP":"535.00","ptsC":"-7.30","per":"-1.35","trdVol":"15.73","trdVolM":"1.57","ntP":"84.45","mVal":"0.84","wkhi":"582.00","wklo":"407.40","wkhicm_adj":"2,734.00","wklocm_adj":"1,662.00","xDt":"31-DEC-2999","cAct":"-","yPC":"-2.57","mPC":"12.51"},{"symbol":"TATAPOWER","open":"73.65","high":"74.80","low":"72.40","ltP":"72.55","ptsC":"-1.10","per":"-1.49","trdVol":"43.08","trdVolM":"4.31","ntP":"31.66","mVal":"0.32","wkhi":"76.85","wklo":"55.00","wkhicm_adj":"115.60","wklocm_adj":"68.65","xDt":"31-DEC-2999","cAct":"-","yPC":"-4.35","mPC":"0.76"},{"symbol":"ONGC","open":"218.00","high":"218.90","low":"211.80","ltP":"212.60","ptsC":"-3.45","per":"-1.60","trdVol":"66.96","trdVolM":"6.70","ntP":"143.97","mVal":"1.44","wkhi":"337.20","wklo":"187.75","wkhicm_adj":"471.85","wklocm_adj":"264.15","xDt":"16-MAR-2016","cAct":"INTERIM DIVIDEND - RE 0.75\/- PER SHARE (PURPOSE REVISED)","yPC":"-35.96","mPC":"-0.79"}],"trdValueSumMil":"106.07","unchanged":0,"trdVolumesum":"2,689.62","advances":36} </t>
  </si>
  <si>
    <t>AUROPHARMA</t>
  </si>
  <si>
    <t>EICHERMOT</t>
  </si>
  <si>
    <t>INFRATEL</t>
  </si>
  <si>
    <t>TATAMTRDVR</t>
  </si>
  <si>
    <t>Nifty Next 50</t>
  </si>
  <si>
    <t>HINDPETRO</t>
  </si>
  <si>
    <t>ABB</t>
  </si>
  <si>
    <t>APOLLOHOSP</t>
  </si>
  <si>
    <t>ASHOKLEY</t>
  </si>
  <si>
    <t>BAJAJFINSV</t>
  </si>
  <si>
    <t>BAJFINANCE</t>
  </si>
  <si>
    <t>BEL</t>
  </si>
  <si>
    <t>BHARATFORG</t>
  </si>
  <si>
    <t>BRITANNIA</t>
  </si>
  <si>
    <t>CADILAHC</t>
  </si>
  <si>
    <t>CASTROLIND</t>
  </si>
  <si>
    <t>COLPAL</t>
  </si>
  <si>
    <t>CONCOR</t>
  </si>
  <si>
    <t>CUMMINSIND</t>
  </si>
  <si>
    <t>DABUR</t>
  </si>
  <si>
    <t>DIVISLAB</t>
  </si>
  <si>
    <t>DLF</t>
  </si>
  <si>
    <t>EMAMILTD</t>
  </si>
  <si>
    <t>GLAXO</t>
  </si>
  <si>
    <t>GLENMARK</t>
  </si>
  <si>
    <t>GODREJCP</t>
  </si>
  <si>
    <t>GSKCONS</t>
  </si>
  <si>
    <t>HINDZINC</t>
  </si>
  <si>
    <t>IBULHSGFIN</t>
  </si>
  <si>
    <t>IOC</t>
  </si>
  <si>
    <t>JSWSTEEL</t>
  </si>
  <si>
    <t>LICHSGFIN</t>
  </si>
  <si>
    <t>MARICO</t>
  </si>
  <si>
    <t>MCDOWELL-N</t>
  </si>
  <si>
    <t>MOTHERSUMI</t>
  </si>
  <si>
    <t>NHPC</t>
  </si>
  <si>
    <t>OFSS</t>
  </si>
  <si>
    <t>OIL</t>
  </si>
  <si>
    <t>PFC</t>
  </si>
  <si>
    <t>PGHH</t>
  </si>
  <si>
    <t>PIDILITIND</t>
  </si>
  <si>
    <t>RCOM</t>
  </si>
  <si>
    <t>RECLTD</t>
  </si>
  <si>
    <t>SAIL</t>
  </si>
  <si>
    <t>SHREECEM</t>
  </si>
  <si>
    <t>SIEMENS</t>
  </si>
  <si>
    <t>SRTRANSFIN</t>
  </si>
  <si>
    <t>TITAN</t>
  </si>
  <si>
    <t>TORNTPHARM</t>
  </si>
  <si>
    <t>UBL</t>
  </si>
  <si>
    <t>UPL</t>
  </si>
  <si>
    <t>Nifty Midcap 50</t>
  </si>
  <si>
    <t>ADANIENT</t>
  </si>
  <si>
    <t>ADANIPOWER</t>
  </si>
  <si>
    <t>AJANTPHARM</t>
  </si>
  <si>
    <t>ALBK</t>
  </si>
  <si>
    <t>AMARAJABAT</t>
  </si>
  <si>
    <t>APOLLOTYRE</t>
  </si>
  <si>
    <t>ARVIND</t>
  </si>
  <si>
    <t>BANKINDIA</t>
  </si>
  <si>
    <t>BATAINDIA</t>
  </si>
  <si>
    <t>BIOCON</t>
  </si>
  <si>
    <t>CANBK</t>
  </si>
  <si>
    <t>CENTURYTEX</t>
  </si>
  <si>
    <t>CESC</t>
  </si>
  <si>
    <t>DISHTV</t>
  </si>
  <si>
    <t>ENGINERSIN</t>
  </si>
  <si>
    <t>EXIDEIND</t>
  </si>
  <si>
    <t>FEDERALBNK</t>
  </si>
  <si>
    <t>GMRINFRA</t>
  </si>
  <si>
    <t>GODREJIND</t>
  </si>
  <si>
    <t>HAVELLS</t>
  </si>
  <si>
    <t>HEXAWARE</t>
  </si>
  <si>
    <t>IDBI</t>
  </si>
  <si>
    <t>IDFC</t>
  </si>
  <si>
    <t>IGL</t>
  </si>
  <si>
    <t>IRB</t>
  </si>
  <si>
    <t>JINDALSTEL</t>
  </si>
  <si>
    <t>JSWENERGY</t>
  </si>
  <si>
    <t>JUBLFOOD</t>
  </si>
  <si>
    <t>JUSTDIAL</t>
  </si>
  <si>
    <t>L&amp;TFH</t>
  </si>
  <si>
    <t>M&amp;MFIN</t>
  </si>
  <si>
    <t>MINDTREE</t>
  </si>
  <si>
    <t>MRF</t>
  </si>
  <si>
    <t>PAGEIND</t>
  </si>
  <si>
    <t>PCJEWELLER</t>
  </si>
  <si>
    <t>PETRONET</t>
  </si>
  <si>
    <t>RELCAPITAL</t>
  </si>
  <si>
    <t>RELINFRA</t>
  </si>
  <si>
    <t>RPOWER</t>
  </si>
  <si>
    <t>SRF</t>
  </si>
  <si>
    <t>STAR</t>
  </si>
  <si>
    <t>SUNTV</t>
  </si>
  <si>
    <t>SYNDIBANK</t>
  </si>
  <si>
    <t>TATACHEM</t>
  </si>
  <si>
    <t>TATACOMM</t>
  </si>
  <si>
    <t>TATAGLOBAL</t>
  </si>
  <si>
    <t>TVSMOTOR</t>
  </si>
  <si>
    <t>UNIONBANK</t>
  </si>
  <si>
    <t>VOLTAS</t>
  </si>
  <si>
    <t>WOCKPHARMA</t>
  </si>
  <si>
    <t>Nifty 50</t>
  </si>
  <si>
    <t>Date</t>
  </si>
  <si>
    <t xml:space="preserve">{"trdVolumesumMil":"78.35","time":"May 30, 2016 13:09:06","latestData":[{"indexName":"NIFTY NEXT 50","open":"19,791.95","high":"19,843.55","low":"19,688.05","ltp":"19,796.30","ch":"80.15","per":"0.41","yCls":"10.63","mCls":"1.67","yHigh":"21,730.80","yLow":"16,607.80"}],"declines":21,"trdValueSum":"1,417.48","data":[{"symbol":"CONCOR","open":"1,385.05","high":"1,448.00","low":"1,385.05","ltP":"1,441.40","ptsC":"61.15","per":"4.43","trdVol":"1.90","trdVolM":"0.19","ntP":"27.16","mVal":"0.27","wkhi":"1,947.70","wklo":"1,051.00","wkhicm_adj":"1,504.70","wklocm_adj":"697.55","xDt":"31-DEC-2999","cAct":"-","yPC":"-14.62","mPC":"7.03"},{"symbol":"RECLTD","open":"159.50","high":"163.50","low":"159.50","ltP":"162.00","ptsC":"6.60","per":"4.25","trdVol":"41.43","trdVolM":"4.14","ntP":"66.95","mVal":"0.67","wkhi":"304.90","wklo":"152.25","wkhicm_adj":"383.40","wklocm_adj":"166.50","xDt":"31-DEC-2999","cAct":"-","yPC":"-46.30","mPC":"-11.14"},{"symbol":"VEDL","open":"104.50","high":"107.45","low":"104.15","ltP":"106.35","ptsC":"3.55","per":"3.45","trdVol":"90.93","trdVolM":"9.09","ntP":"96.16","mVal":"0.96","wkhi":"204.00","wklo":"58.15","wkhicm_adj":"318.30","wklocm_adj":"168.85","xDt":"31-DEC-2999","cAct":"-","yPC":"-45.95","mPC":"1.43"},{"symbol":"CAIRN","open":"139.20","high":"142.70","low":"139.20","ltP":"142.30","ptsC":"4.25","per":"3.08","trdVol":"10.62","trdVolM":"1.06","ntP":"14.98","mVal":"0.15","wkhi":"197.90","wklo":"106.50","wkhicm_adj":"386.00","wklocm_adj":"255.00","xDt":"31-DEC-2999","cAct":"-","yPC":"-25.48","mPC":"-3.30"},{"symbol":"APOLLOHOSP","open":"1,348.75","high":"1,385.00","low":"1,348.20","ltP":"1,385.00","ptsC":"36.80","per":"2.73","trdVol":"1.78","trdVolM":"0.18","ntP":"24.44","mVal":"0.24","wkhi":"1,544.90","wklo":"1,150.00","wkhicm_adj":"1,246.50","wklocm_adj":"815.35","xDt":"22-MAR-2016","cAct":"INTERIM DIVIDEND - RS 6\/- PER SHARE (PURPOSE REVISED)","yPC":"13.32","mPC":"5.18"},{"symbol":"MOTHERSUMI","open":"278.10","high":"286.75","low":"276.00","ltP":"286.05","ptsC":"6.80","per":"2.44","trdVol":"18.57","trdVolM":"1.86","ntP":"52.41","mVal":"0.52","wkhi":"396.00","wklo":"205.90","wkhicm_adj":"450.70","wklocm_adj":"178.25","xDt":"22-MAR-2016","cAct":"INTERIM DIVIDEND - RS 2.50\/- PER SHARE (PURPOSE REVISED)","yPC":"-39.62","mPC":"8.76"},{"symbol":"SHREECEM","open":"13,142.00","high":"13,450.00","low":"13,140.00","ltP":"13,400.00","ptsC":"259.95","per":"1.98","trdVol":"0.04","trdVolM":"0.00","ntP":"5.66","mVal":"0.06","wkhi":"13,888.00","wklo":"9,399.95","wkhicm_adj":"9,297.70","wklocm_adj":"4,100.10","xDt":"17-MAR-2016","cAct":"INTERIM DIVIDEND - RS 12\/- PER SHARE (PUPOSE REVISED)","yPC":"22.90","mPC":"5.30"},{"symbol":"GSKCONS","open":"5,919.00","high":"6,036.00","low":"5,880.00","ltP":"6,029.00","ptsC":"116.20","per":"1.97","trdVol":"0.04","trdVolM":"0.00","ntP":"2.37","mVal":"0.02","wkhi":"6,800.00","wklo":"5,405.00","wkhicm_adj":"5,999.00","wklocm_adj":"4,011.00","xDt":"31-DEC-2999","cAct":"-","yPC":"-5.45","mPC":"0.21"},{"symbol":"SIEMENS","open":"1,202.80","high":"1,231.00","low":"1,198.10","ltP":"1,224.00","ptsC":"21.25","per":"1.77","trdVol":"2.30","trdVolM":"0.23","ntP":"28.05","mVal":"0.28","wkhi":"1,559.70","wklo":"968.60","wkhicm_adj":"1,010.00","wklocm_adj":"513.00","xDt":"31-DEC-2999","cAct":"-","yPC":"-11.76","mPC":"3.52"},{"symbol":"CADILAHC","open":"329.25","high":"333.95","low":"326.10","ltP":"332.65","ptsC":"5.45","per":"1.67","trdVol":"2.31","trdVolM":"0.23","ntP":"7.66","mVal":"0.08","wkhi":"453.30","wklo":"295.00","wkhicm_adj":"1,760.15","wklocm_adj":"723.20","xDt":"17-MAR-2016","cAct":"INTERIM DIVIDEND - RS 3.20\/- PER SHARE","yPC":"-10.88","mPC":"1.77"},{"symbol":"RCOM","open":"49.30","high":"50.65","low":"48.90","ltP":"49.65","ptsC":"0.70","per":"1.43","trdVol":"138.66","trdVolM":"13.87","ntP":"69.07","mVal":"0.69","wkhi":"91.75","wklo":"45.50","wkhicm_adj":"157.25","wklocm_adj":"93.05","xDt":"31-DEC-2999","cAct":"-","yPC":"-23.08","mPC":"-16.41"},{"symbol":"BRITANNIA","open":"2,720.00","high":"2,758.00","low":"2,720.00","ltP":"2,750.15","ptsC":"30.85","per":"1.13","trdVol":"0.65","trdVolM":"0.07","ntP":"17.84","mVal":"0.18","wkhi":"3,434.20","wklo":"2,424.00","wkhicm_adj":"1,729.80","wklocm_adj":"809.10","xDt":"31-DEC-2999","cAct":"-","yPC":"3.50","mPC":"-3.89"},{"symbol":"PNB","open":"78.00","high":"78.90","low":"76.40","ltP":"77.40","ptsC":"0.80","per":"1.04","trdVol":"64.75","trdVolM":"6.47","ntP":"50.33","mVal":"0.50","wkhi":"180.55","wklo":"69.25","wkhicm_adj":"1,096.50","wklocm_adj":"509.15","xDt":"31-DEC-2999","cAct":"-","yPC":"-50.46","mPC":"-14.10"},{"symbol":"LICHSGFIN","open":"463.90","high":"468.00","low":"460.55","ltP":"466.75","ptsC":"4.80","per":"1.04","trdVol":"8.93","trdVolM":"0.89","ntP":"41.51","mVal":"0.42","wkhi":"523.95","wklo":"388.65","wkhicm_adj":"429.50","wklocm_adj":"187.05","xDt":"31-DEC-2999","cAct":"-","yPC":"13.51","mPC":"0.91"},{"symbol":"SRTRANSFIN","open":"1,190.15","high":"1,219.80","low":"1,175.65","ltP":"1,206.00","ptsC":"11.95","per":"1.00","trdVol":"3.59","trdVolM":"0.36","ntP":"42.89","mVal":"0.43","wkhi":"1,219.80","wklo":"736.95","wkhicm_adj":"1,139.00","wklocm_adj":"548.70","xDt":"31-DEC-2999","cAct":"-","yPC":"44.79","mPC":"21.28"},{"symbol":"EMAMILTD","open":"1,016.20","high":"1,032.00","low":"1,007.50","ltP":"1,024.95","ptsC":"10.05","per":"0.99","trdVol":"0.72","trdVolM":"0.07","ntP":"7.33","mVal":"0.07","wkhi":"1,365.00","wklo":"901.00","wkhicm_adj":"824.70","wklocm_adj":"420.00","xDt":"31-DEC-2999","cAct":"-","yPC":"-7.15","mPC":"1.74"},{"symbol":"SAIL","open":"43.00","high":"43.65","low":"42.35","ltP":"43.10","ptsC":"0.40","per":"0.94","trdVol":"39.49","trdVolM":"3.95","ntP":"17.03","mVal":"0.17","wkhi":"67.30","wklo":"33.50","wkhicm_adj":"112.95","wklocm_adj":"54.05","xDt":"31-DEC-2999","cAct":"-","yPC":"-34.50","mPC":"-6.20"},{"symbol":"PFC","open":"166.55","high":"170.90","low":"165.80","ltP":"167.70","ptsC":"1.40","per":"0.84","trdVol":"11.88","trdVolM":"1.19","ntP":"19.93","mVal":"0.20","wkhi":"283.40","wklo":"140.25","wkhicm_adj":"344.75","wklocm_adj":"128.75","xDt":"31-DEC-2999","cAct":"-","yPC":"-40.19","mPC":"-6.47"},{"symbol":"COLPAL","open":"838.00","high":"846.40","low":"835.80","ltP":"845.00","ptsC":"5.70","per":"0.68","trdVol":"0.88","trdVolM":"0.09","ntP":"7.43","mVal":"0.07","wkhi":"1,050.00","wklo":"787.20","wkhicm_adj":"2,049.00","wklocm_adj":"1,235.20","xDt":"06-APR-2016","cAct":"INTERIM DIVIDEND - RS 3\/- PER SHARE (PURPOSE REVISED)","yPC":"-15.26","mPC":"-1.23"},{"symbol":"PIDILITIND","open":"698.50","high":"708.65","low":"691.35","ltP":"699.15","ptsC":"4.50","per":"0.65","trdVol":"2.44","trdVolM":"0.24","ntP":"17.06","mVal":"0.17","wkhi":"709.00","wklo":"507.30","wkhicm_adj":"505.90","wklocm_adj":"269.60","xDt":"18-MAR-2016","cAct":"INTERIM DIVIDEND - RS 3.65\/- PER SHARE (PURPOSE REVISED)","yPC":"26.78","mPC":"15.30"},{"symbol":"DIVISLAB","open":"1,120.65","high":"1,120.80","low":"1,081.00","ltP":"1,091.70","ptsC":"7.05","per":"0.65","trdVol":"4.62","trdVolM":"0.46","ntP":"50.59","mVal":"0.51","wkhi":"1,242.35","wklo":"863.90","wkhicm_adj":"1,888.05","wklocm_adj":"1,097.00","xDt":"17-MAR-2016","cAct":"INTERIM DIVIDEND - RS 10\/- PER SHARE (PURPOSE REVISED)","yPC":"-39.61","mPC":"4.74"},{"symbol":"GLENMARK","open":"876.50","high":"887.35","low":"875.25","ltP":"880.65","ptsC":"5.15","per":"0.59","trdVol":"1.45","trdVolM":"0.15","ntP":"12.81","mVal":"0.13","wkhi":"1,262.90","wklo":"671.10","wkhicm_adj":"841.00","wklocm_adj":"493.00","xDt":"31-DEC-2999","cAct":"-","yPC":"2.71","mPC":"6.53"},{"symbol":"BHARATFORG","open":"751.50","high":"751.85","low":"735.50","ltP":"749.05","ptsC":"4.35","per":"0.58","trdVol":"2.54","trdVolM":"0.25","ntP":"18.85","mVal":"0.19","wkhi":"1,293.00","wklo":"704.90","wkhicm_adj":"979.00","wklocm_adj":"291.10","xDt":"18-MAR-2016","cAct":"INTERIM DIVIDEND - RS 4\/- PER SHARE (PURPOSE REVISED)","yPC":"-38.06","mPC":"-6.72"},{"symbol":"DABUR","open":"295.55","high":"297.80","low":"292.00","ltP":"297.40","ptsC":"1.60","per":"0.54","trdVol":"4.05","trdVolM":"0.41","ntP":"11.99","mVal":"0.12","wkhi":"316.40","wklo":"231.50","wkhicm_adj":"249.15","wklocm_adj":"159.50","xDt":"31-DEC-2999","cAct":"-","yPC":"9.46","mPC":"9.14"},{"symbol":"JSWSTEEL","open":"1,378.00","high":"1,393.00","low":"1,357.80","ltP":"1,383.00","ptsC":"7.35","per":"0.53","trdVol":"3.76","trdVolM":"0.38","ntP":"51.70","mVal":"0.52","wkhi":"1,393.00","wklo":"800.00","wkhicm_adj":"1,366.50","wklocm_adj":"804.00","xDt":"31-DEC-2999","cAct":"-","yPC":"50.97","mPC":"1.50"},{"symbol":"CUMMINSIND","open":"778.00","high":"793.90","low":"778.00","ltP":"786.95","ptsC":"3.05","per":"0.39","trdVol":"1.50","trdVolM":"0.15","ntP":"11.80","mVal":"0.12","wkhi":"1,247.65","wklo":"746.15","wkhicm_adj":"955.60","wklocm_adj":"417.70","xDt":"31-DEC-2999","cAct":"-","yPC":"-7.44","mPC":"-11.43"},{"symbol":"IBULHSGFIN","open":"750.00","high":"754.25","low":"740.25","ltP":"746.50","ptsC":"2.75","per":"0.37","trdVol":"4.47","trdVolM":"0.45","ntP":"33.39","mVal":"0.33","wkhi":"820.85","wklo":"541.50","wkhicm_adj":"484.95","wklocm_adj":"187.05","xDt":"18-MAR-2016","cAct":"INTERIM DIVIDEND - RS 9\/- PER SHARE","yPC":"25.87","mPC":"6.21"},{"symbol":"HINDZINC","open":"169.95","high":"170.35","low":"167.15","ltP":"168.85","ptsC":"0.35","per":"0.21","trdVol":"3.05","trdVolM":"0.31","ntP":"5.16","mVal":"0.05","wkhi":"196.80","wklo":"117.05","wkhicm_adj":"184.00","wklocm_adj":"114.80","xDt":"31-DEC-2999","cAct":"-","yPC":"-1.43","mPC":"-2.34"},{"symbol":"MCDOWELL-N","open":"2,505.00","high":"2,507.00","low":"2,464.10","ltP":"2,481.45","ptsC":"0.30","per":"0.01","trdVol":"0.86","trdVolM":"0.09","ntP":"21.33","mVal":"0.21","wkhi":"3,837.90","wklo":"2,225.45","wkhicm_adj":"2,940.80","wklocm_adj":"2,225.00","xDt":"31-DEC-2999","cAct":"-","yPC":"-27.59","mPC":"4.99"},{"symbol":"GLAXO","open":"3,482.00","high":"3,557.95","low":"3,482.00","ltP":"3,528.00","ptsC":"-0.35","per":"-0.01","trdVol":"0.01","trdVolM":"0.00","ntP":"0.43","mVal":"0.00","wkhi":"3,872.00","wklo":"3,032.05","wkhicm_adj":"3,054.50","wklocm_adj":"2,365.00","xDt":"31-DEC-2999","cAct":"-","yPC":"10.22","mPC":"-6.39"},{"symbol":"OFSS","open":"3,524.00","high":"3,524.00","low":"3,462.70","ltP":"3,485.85","ptsC":"-0.90","per":"-0.03","trdVol":"0.09","trdVolM":"0.01","ntP":"3.17","mVal":"0.03","wkhi":"4,444.00","wklo":"3,100.00","wkhicm_adj":"4,180.00","wklocm_adj":"2,770.00","xDt":"31-DEC-2999","cAct":"-","yPC":"-3.96","mPC":"-1.87"},{"symbol":"GODREJCP","open":"1,527.10","high":"1,536.85","low":"1,512.00","ltP":"1,526.05","ptsC":"-0.40","per":"-0.03","trdVol":"1.07","trdVolM":"0.11","ntP":"16.28","mVal":"0.16","wkhi":"1,536.85","wklo":"1,037.00","wkhicm_adj":"1,119.00","wklocm_adj":"667.00","xDt":"10-MAY-2016","cAct":"INTERIM DIVIDEND - RS 2.75\/- PER SHARE (PURPOSE REVISED)","yPC":"39.20","mPC":"11.50"},{"symbol":"BEL","open":"1,195.00","high":"1,199.00","low":"1,170.00","ltP":"1,181.85","ptsC":"-1.20","per":"-0.10","trdVol":"1.92","trdVolM":"0.19","ntP":"22.80","mVal":"0.23","wkhi":"1,416.85","wklo":"984.00","wkhicm_adj":"2,375.00","wklocm_adj":"893.00","xDt":"31-DEC-2999","cAct":"-","yPC":"6.27","mPC":"-2.54"},{"symbol":"UPL","open":"597.90","high":"602.60","low":"586.40","ltP":"593.80","ptsC":"-1.60","per":"-0.27","trdVol":"6.94","trdVolM":"0.69","ntP":"41.24","mVal":"0.41","wkhi":"612.95","wklo":"367.25","wkhicm_adj":"388.70","wklocm_adj":"161.10","xDt":"31-DEC-2999","cAct":"-","yPC":"14.43","mPC":"15.31"},{"symbol":"BAJAJFINSV","open":"1,838.00","high":"1,864.85","low":"1,828.25","ltP":"1,829.15","ptsC":"-6.55","per":"-0.36","trdVol":"0.34","trdVolM":"0.03","ntP":"6.29","mVal":"0.06","wkhi":"2,160.00","wklo":"1,435.15","wkhicm_adj":"1,173.95","wklocm_adj":"658.35","xDt":"16-MAR-2016","cAct":"INTERIM DIVIDEND - RS 1.75\/- PER SHARE (PURPOSE REVISED)","yPC":"19.56","mPC":"-2.68"},{"symbol":"OIL","open":"351.90","high":"354.95","low":"343.10","ltP":"347.25","ptsC":"-1.45","per":"-0.42","trdVol":"1.86","trdVolM":"0.19","ntP":"6.49","mVal":"0.06","wkhi":"487.55","wklo":"300.35","wkhicm_adj":"669.95","wklocm_adj":"438.00","xDt":"31-DEC-2999","cAct":"-","yPC":"-27.06","mPC":"5.90"},{"symbol":"CASTROLIND","open":"376.05","high":"379.45","low":"373.45","ltP":"375.00","ptsC":"-1.75","per":"-0.46","trdVol":"2.43","trdVolM":"0.24","ntP":"9.12","mVal":"0.09","wkhi":"513.80","wklo":"360.85","wkhicm_adj":"523.50","wklocm_adj":"283.10","xDt":"27-APR-2016","cAct":"ANNUAL GENERAL MEETING\/ DIVIDEND - RS 5\/- PER SHARE","yPC":"-20.46","mPC":"-3.75"},{"symbol":"ASHOKLEY","open":"107.30","high":"107.45","low":"105.10","ltP":"106.25","ptsC":"-0.55","per":"-0.51","trdVol":"54.09","trdVolM":"5.41","ntP":"57.37","mVal":"0.57","wkhi":"112.90","wklo":"64.00","wkhicm_adj":"56.20","wklocm_adj":"14.85","xDt":"31-DEC-2999","cAct":"-","yPC":"50.71","mPC":"-1.57"},{"symbol":"NHPC","open":"22.80","high":"23.95","low":"22.05","ltP":"22.95","ptsC":"-0.15","per":"-0.65","trdVol":"102.07","trdVolM":"10.21","ntP":"23.38","mVal":"0.23","wkhi":"24.45","wklo":"15.55","wkhicm_adj":"29.60","wklocm_adj":"17.35","xDt":"31-DEC-2999","cAct":"-","yPC":"13.61","mPC":"6.50"},{"symbol":"UBL","open":"726.80","high":"727.90","low":"715.00","ltP":"717.05","ptsC":"-5.25","per":"-0.73","trdVol":"1.32","trdVolM":"0.13","ntP":"9.50","mVal":"0.10","wkhi":"1,074.95","wklo":"690.00","wkhicm_adj":"859.00","wklocm_adj":"615.65","xDt":"31-DEC-2999","cAct":"-","yPC":"-24.70","mPC":"-5.39"},{"symbol":"TORNTPHARM","open":"1,379.00","high":"1,384.80","low":"1,353.25","ltP":"1,367.00","ptsC":"-11.50","per":"-0.83","trdVol":"0.34","trdVolM":"0.03","ntP":"4.66","mVal":"0.05","wkhi":"1,718.40","wklo":"1,169.05","wkhicm_adj":"1,135.00","wklocm_adj":"458.00","xDt":"16-MAR-2016","cAct":"INTERIM DIVIDEND - RS 15\/- PER SHARE (PURPOSE REVISED)","yPC":"10.34","mPC":"-5.26"},{"symbol":"BAJFINANCE","open":"7,700.00","high":"7,720.00","low":"7,559.40","ltP":"7,600.00","ptsC":"-67.90","per":"-0.89","trdVol":"0.36","trdVolM":"0.04","ntP":"27.56","mVal":"0.28","wkhi":"7,858.05","wklo":"4,115.70","wkhicm_adj":"3,385.00","wklocm_adj":"1,375.00","xDt":"16-MAR-2016","cAct":"INTERIM DIVIDEND - RS 18\/- PER SHARE (PURPOSE REVISED)","yPC":"71.78","mPC":"9.42"},{"symbol":"MARICO","open":"257.00","high":"260.45","low":"254.10","ltP":"254.90","ptsC":"-2.40","per":"-0.93","trdVol":"3.19","trdVolM":"0.32","ntP":"8.21","mVal":"0.08","wkhi":"269.25","wklo":"189.30","wkhicm_adj":"350.20","wklocm_adj":"200.05","xDt":"17-MAR-2016","cAct":"INTERIM DIVIDEND - RE 1\/- PER SHARE (PURPOSE REVISED)","yPC":"-37.80","mPC":"1.96"},{"symbol":"DLF","open":"129.00","high":"133.90","low":"126.40","ltP":"127.70","ptsC":"-1.25","per":"-0.97","trdVol":"86.01","trdVolM":"8.60","ntP":"111.64","mVal":"1.12","wkhi":"142.90","wklo":"72.35","wkhicm_adj":"242.95","wklocm_adj":"100.10","xDt":"28-MAR-2016","cAct":"INTERIM DIVIDEND - RS 2\/- PER SHARE (PURPOSE REVISED)","yPC":"6.95","mPC":"3.57"},{"symbol":"TITAN","open":"361.10","high":"363.20","low":"354.25","ltP":"355.45","ptsC":"-5.00","per":"-1.39","trdVol":"11.32","trdVolM":"1.13","ntP":"40.48","mVal":"0.40","wkhi":"392.40","wklo":"301.70","wkhicm_adj":"425.00","wklocm_adj":"202.45","xDt":"22-MAR-2016","cAct":"INTERIM DIVIDEND - RS 2.20\/- PER SHARE (PURPOSE REVISED)","yPC":"-6.52","mPC":"-4.32"},{"symbol":"HINDPETRO","open":"938.00","high":"945.10","low":"910.05","ltP":"917.90","ptsC":"-13.75","per":"-1.48","trdVol":"13.86","trdVolM":"1.39","ntP":"127.68","mVal":"1.28","wkhi":"990.95","wklo":"625.70","wkhicm_adj":"627.80","wklocm_adj":"205.05","xDt":"17-MAR-2016","cAct":"INTERIM DIVIDEND - RS 7\/- PER SHARE (PURPOSE REVISED)","yPC":"44.36","mPC":"6.98"},{"symbol":"ABB","open":"1,259.30","high":"1,259.30","low":"1,221.00","ltP":"1,232.25","ptsC":"-21.70","per":"-1.73","trdVol":"0.49","trdVolM":"0.05","ntP":"5.97","mVal":"0.06","wkhi":"1,445.00","wklo":"955.20","wkhicm_adj":"1,263.50","wklocm_adj":"566.95","xDt":"13-APR-2016","cAct":"ANNUAL GENERAL MEETING\/DIVIDEND - RS 3.70 PER SHARE","yPC":"-8.20","mPC":"-3.24"},{"symbol":"PGHH","open":"6,289.00","high":"6,294.70","low":"6,177.10","ltP":"6,180.20","ptsC":"-109.35","per":"-1.74","trdVol":"0.01","trdVolM":"0.00","ntP":"0.70","mVal":"0.01","wkhi":"6,995.00","wklo":"5,178.65","wkhicm_adj":"5,949.00","wklocm_adj":"2,752.00","xDt":"31-DEC-2999","cAct":"-","yPC":"-3.78","mPC":"-3.79"},{"symbol":"IOC","open":"412.00","high":"412.80","low":"404.10","ltP":"404.95","ptsC":"-8.00","per":"-1.94","trdVol":"11.25","trdVolM":"1.12","ntP":"45.81","mVal":"0.46","wkhi":"465.90","wklo":"336.20","wkhicm_adj":"411.20","wklocm_adj":"193.75","xDt":"31-DEC-2999","cAct":"-","yPC":"12.28","mPC":"-7.37"},{"symbol":"NMDC","open":"93.05","high":"93.25","low":"89.40","ltP":"89.50","ptsC":"-3.20","per":"-3.45","trdVol":"16.27","trdVolM":"1.63","ntP":"14.82","mVal":"0.15","wkhi":"133.50","wklo":"75.15","wkhicm_adj":"196.00","wklocm_adj":"123.10","xDt":"30-MAR-2016","cAct":"INTERIM DIVIDEND - RS 1.50\/- PER SHARE (PURPOSE REVISED)","yPC":"-31.86","mPC":"-9.37"}],"trdValueSumMil":"14.17","unchanged":0,"trdVolumesum":"783.45","advances":29} </t>
  </si>
  <si>
    <t xml:space="preserve">{"trdVolumesumMil":"51.24","time":"May 30, 2016 13:11:36","latestData":[{"indexName":"NIFTY MIDCAP 50","open":"3,388.20","high":"3,396.20","low":"3,360.00","ltp":"3,379.05","ch":"8.15","per":"0.24","yCls":"1.03","mCls":"-0.23","yHigh":"3,563.60","yLow":"2,633.10"}],"declines":18,"trdValueSum":"1,023.89","data":[{"symbol":"IDFC","open":"50.35","high":"53.50","low":"49.25","ltP":"51.95","ptsC":"2.30","per":"4.63","trdVol":"60.45","trdVolM":"6.04","ntP":"31.36","mVal":"0.31","wkhi":"163.60","wklo":"34.80","wkhicm_adj":"166.65","wklocm_adj":"88.05","xDt":"31-DEC-2999","cAct":"-","yPC":"-66.06","mPC":"11.84"},{"symbol":"PAGEIND","open":"13,500.00","high":"14,021.00","low":"13,500.00","ltP":"13,948.55","ptsC":"476.30","per":"3.54","trdVol":"0.11","trdVolM":"0.01","ntP":"15.37","mVal":"0.15","wkhi":"17,000.00","wklo":"9,752.35","wkhicm_adj":"10,390.00","wklocm_adj":"5,010.00","xDt":"31-DEC-2999","cAct":"-","yPC":"-8.31","mPC":"7.47"},{"symbol":"SRF","open":"1,270.00","high":"1,294.90","low":"1,265.65","ltP":"1,292.50","ptsC":"31.95","per":"2.53","trdVol":"1.54","trdVolM":"0.15","ntP":"19.80","mVal":"0.20","wkhi":"1,498.85","wklo":"990.00","wkhicm_adj":"958.80","wklocm_adj":"170.00","xDt":"31-DEC-2999","cAct":"-","yPC":"27.92","mPC":"-4.67"},{"symbol":"SYNDIBANK","open":"65.25","high":"66.60","low":"64.40","ltP":"65.80","ptsC":"1.60","per":"2.49","trdVol":"16.47","trdVolM":"1.65","ntP":"10.76","mVal":"0.11","wkhi":"118.30","wklo":"49.40","wkhicm_adj":"180.00","wklocm_adj":"77.60","xDt":"31-DEC-2999","cAct":"-","yPC":"-43.13","mPC":"-6.20"},{"symbol":"BATAINDIA","open":"558.65","high":"571.30","low":"557.50","ltP":"569.80","ptsC":"12.50","per":"2.24","trdVol":"4.69","trdVolM":"0.47","ntP":"26.60","mVal":"0.27","wkhi":"622.00","wklo":"438.00","wkhicm_adj":"1,413.40","wklocm_adj":"894.55","xDt":"31-DEC-2999","cAct":"-","yPC":"-45.91","mPC":"0.96"},{"symbol":"TATACOMM","open":"454.00","high":"471.65","low":"451.80","ltP":"469.30","ptsC":"9.90","per":"2.15","trdVol":"3.26","trdVolM":"0.33","ntP":"15.11","mVal":"0.15","wkhi":"491.35","wklo":"325.00","wkhicm_adj":"462.40","wklocm_adj":"258.50","xDt":"31-DEC-2999","cAct":"-","yPC":"9.08","mPC":"11.92"},{"symbol":"ENGINERSIN","open":"180.30","high":"184.90","low":"178.40","ltP":"184.00","ptsC":"3.55","per":"1.97","trdVol":"4.16","trdVolM":"0.42","ntP":"7.55","mVal":"0.08","wkhi":"252.20","wklo":"143.10","wkhicm_adj":"331.70","wklocm_adj":"142.50","xDt":"08-MAR-2016","cAct":"INTERIM DIVIDEND - RS 2\/- PER SHARE (PURPOSE REVISED)","yPC":"-7.95","mPC":"-0.38"},{"symbol":"MINDTREE","open":"667.60","high":"681.80","low":"667.60","ltP":"676.00","ptsC":"8.40","per":"1.26","trdVol":"2.07","trdVolM":"0.21","ntP":"13.98","mVal":"0.14","wkhi":"804.50","wklo":"594.03","wkhicm_adj":"1,268.30","wklocm_adj":"648.75","xDt":"11-APR-2016","cAct":"INTERIM DIVIDEND - RS 2\/- PER SHARE (PURPOSE REVISED)","yPC":"-6.69","mPC":"-3.39"},{"symbol":"JINDALSTEL","open":"62.60","high":"63.25","low":"61.40","ltP":"62.30","ptsC":"0.70","per":"1.14","trdVol":"33.99","trdVolM":"3.40","ntP":"21.17","mVal":"0.21","wkhi":"128.70","wklo":"48.10","wkhicm_adj":"351.00","wklocm_adj":"127.70","xDt":"31-DEC-2999","cAct":"-","yPC":"-47.27","mPC":"-18.88"},{"symbol":"WOCKPHARMA","open":"934.30","high":"945.00","low":"928.40","ltP":"936.45","ptsC":"9.80","per":"1.06","trdVol":"3.46","trdVolM":"0.35","ntP":"32.33","mVal":"0.32","wkhi":"1,745.00","wklo":"705.75","wkhicm_adj":"887.00","wklocm_adj":"336.55","xDt":"31-DEC-2999","cAct":"-","yPC":"-34.65","mPC":"-8.98"},{"symbol":"GODREJIND","open":"348.00","high":"356.95","low":"346.15","ltP":"351.35","ptsC":"3.50","per":"1.01","trdVol":"2.19","trdVolM":"0.22","ntP":"7.72","mVal":"0.08","wkhi":"412.00","wklo":"290.00","wkhicm_adj":"372.80","wklocm_adj":"248.50","xDt":"15-MAR-2016","cAct":"INTERIM DIVIDEND - RE 1.75 PER SHARE (PURPOSE REVISED)","yPC":"-6.93","mPC":"-1.21"},{"symbol":"UNIONBANK","open":"117.90","high":"117.90","low":"114.50","ltP":"116.25","ptsC":"1.10","per":"0.96","trdVol":"16.20","trdVolM":"1.62","ntP":"18.81","mVal":"0.19","wkhi":"222.70","wklo":"104.00","wkhicm_adj":"259.65","wklocm_adj":"100.50","xDt":"31-DEC-2999","cAct":"-","yPC":"-32.22","mPC":"-11.83"},{"symbol":"GMRINFRA","open":"11.60","high":"11.65","low":"11.35","ltP":"11.55","ptsC":"0.10","per":"0.87","trdVol":"34.46","trdVolM":"3.45","ntP":"3.97","mVal":"0.04","wkhi":"18.55","wklo":"9.75","wkhicm_adj":"38.25","wklocm_adj":"17.15","xDt":"31-DEC-2999","cAct":"-","yPC":"-20.07","mPC":"-7.23"},{"symbol":"EXIDEIND","open":"158.00","high":"160.00","low":"156.80","ltP":"158.90","ptsC":"1.35","per":"0.86","trdVol":"3.56","trdVolM":"0.36","ntP":"5.64","mVal":"0.06","wkhi":"168.60","wklo":"116.00","wkhicm_adj":"183.40","wklocm_adj":"99.00","xDt":"31-DEC-2999","cAct":"-","yPC":"3.18","mPC":"6.29"},{"symbol":"ADANIENT","open":"73.90","high":"74.65","low":"72.75","ltP":"73.95","ptsC":"0.60","per":"0.82","trdVol":"7.21","trdVolM":"0.72","ntP":"5.31","mVal":"0.05","wkhi":"791.00","wklo":"58.20","wkhicm_adj":"585.00","wklocm_adj":"210.10","xDt":"22-MAR-2016","cAct":"INTERIM DIVIDEND - RE 0.40\/- PER SHARE (PURPOSE REVISED)","yPC":"-89.93","mPC":"-13.76"},{"symbol":"FEDERALBNK","open":"53.00","high":"53.30","low":"52.30","ltP":"52.95","ptsC":"0.40","per":"0.76","trdVol":"21.27","trdVolM":"2.13","ntP":"11.22","mVal":"0.11","wkhi":"79.80","wklo":"41.35","wkhicm_adj":"152.95","wklocm_adj":"72.35","xDt":"31-DEC-2999","cAct":"-","yPC":"-25.87","mPC":"10.31"},{"symbol":"DISHTV","open":"87.00","high":"87.80","low":"85.40","ltP":"87.30","ptsC":"0.60","per":"0.69","trdVol":"20.98","trdVolM":"2.10","ntP":"18.20","mVal":"0.18","wkhi":"121.65","wklo":"65.20","wkhicm_adj":"65.90","wklocm_adj":"43.15","xDt":"31-DEC-2999","cAct":"-","yPC":"-10.05","mPC":"-3.96"},{"symbol":"HEXAWARE","open":"216.90","high":"218.75","low":"215.20","ltP":"217.15","ptsC":"1.45","per":"0.67","trdVol":"5.15","trdVolM":"0.52","ntP":"11.20","mVal":"0.11","wkhi":"298.50","wklo":"201.50","wkhicm_adj":"226.25","wklocm_adj":"111.90","xDt":"13-MAY-2016","cAct":"INTERIM DIVIDEND - RS 2.50\/- PER SHARE","yPC":"-23.31","mPC":"-11.04"},{"symbol":"TATAGLOBAL","open":"118.00","high":"119.65","low":"117.30","ltP":"118.05","ptsC":"0.75","per":"0.64","trdVol":"4.90","trdVolM":"0.49","ntP":"5.82","mVal":"0.06","wkhi":"150.30","wklo":"100.00","wkhicm_adj":"177.15","wklocm_adj":"135.25","xDt":"31-DEC-2999","cAct":"-","yPC":"-18.53","mPC":"-3.55"},{"symbol":"AJANTPHARM","open":"1,524.05","high":"1,555.00","low":"1,524.05","ltP":"1,539.70","ptsC":"9.50","per":"0.62","trdVol":"0.50","trdVolM":"0.05","ntP":"7.78","mVal":"0.08","wkhi":"1,720.00","wklo":"1,101.05","wkhicm_adj":"2,526.95","wklocm_adj":"776.65","xDt":"31-DEC-2999","cAct":"-","yPC":"6.09","mPC":"0.48"},{"symbol":"IDBI","open":"68.20","high":"68.70","low":"66.60","ltP":"67.85","ptsC":"0.40","per":"0.59","trdVol":"17.74","trdVolM":"1.77","ntP":"11.99","mVal":"0.12","wkhi":"95.70","wklo":"47.25","wkhicm_adj":"116.40","wklocm_adj":"52.90","xDt":"31-DEC-2999","cAct":"-","yPC":"-3.96","mPC":"-4.30"},{"symbol":"ALBK","open":"53.60","high":"54.00","low":"52.20","ltP":"53.00","ptsC":"0.30","per":"0.57","trdVol":"12.09","trdVolM":"1.21","ntP":"6.41","mVal":"0.06","wkhi":"108.25","wklo":"39.40","wkhicm_adj":"150.00","wklocm_adj":"72.20","xDt":"31-DEC-2999","cAct":"-","yPC":"-49.74","mPC":"-11.07"},{"symbol":"RPOWER","open":"53.05","high":"53.50","low":"52.10","ltP":"52.55","ptsC":"0.30","per":"0.57","trdVol":"21.07","trdVolM":"2.11","ntP":"11.10","mVal":"0.11","wkhi":"61.25","wklo":"33.10","wkhicm_adj":"113.30","wklocm_adj":"60.00","xDt":"31-DEC-2999","cAct":"-","yPC":"-0.85","mPC":"-1.41"},{"symbol":"RELINFRA","open":"550.00","high":"552.90","low":"541.00","ltP":"544.50","ptsC":"2.80","per":"0.52","trdVol":"18.87","trdVolM":"1.89","ntP":"103.38","mVal":"1.03","wkhi":"621.90","wklo":"281.55","wkhicm_adj":"819.90","wklocm_adj":"350.30","xDt":"31-DEC-2999","cAct":"-","yPC":"30.67","mPC":"-1.02"},{"symbol":"CANBK","open":"194.05","high":"195.65","low":"188.70","ltP":"193.60","ptsC":"0.95","per":"0.49","trdVol":"26.00","trdVolM":"2.60","ntP":"49.95","mVal":"0.50","wkhi":"360.45","wklo":"156.00","wkhicm_adj":"498.00","wklocm_adj":"209.00","xDt":"31-DEC-2999","cAct":"-","yPC":"-43.31","mPC":"-8.64"},{"symbol":"JSWENERGY","open":"72.50","high":"74.40","low":"70.65","ltP":"72.00","ptsC":"0.30","per":"0.42","trdVol":"14.28","trdVolM":"1.43","ntP":"10.33","mVal":"0.10","wkhi":"114.30","wklo":"59.00","wkhicm_adj":"97.40","wklocm_adj":"39.85","xDt":"31-DEC-2999","cAct":"-","yPC":"-35.60","mPC":"6.12"},{"symbol":"VOLTAS","open":"337.40","high":"342.90","low":"334.40","ltP":"337.80","ptsC":"1.00","per":"0.30","trdVol":"6.79","trdVolM":"0.68","ntP":"23.02","mVal":"0.23","wkhi":"359.90","wklo":"211.00","wkhicm_adj":"286.45","wklocm_adj":"96.85","xDt":"31-DEC-2999","cAct":"-","yPC":"2.21","mPC":"11.89"},{"symbol":"IRB","open":"219.95","high":"221.70","low":"216.70","ltP":"219.50","ptsC":"0.60","per":"0.27","trdVol":"4.88","trdVolM":"0.49","ntP":"10.70","mVal":"0.11","wkhi":"272.00","wklo":"197.10","wkhicm_adj":"289.65","wklocm_adj":"67.20","xDt":"16-MAR-2016","cAct":"INTERIM DIVIDEND - RS 2\/- PER SHARE (PURPOSE REVISED)","yPC":"-10.97","mPC":"1.74"},{"symbol":"L&amp;TFH","open":"74.00","high":"74.25","low":"72.95","ltP":"73.80","ptsC":"0.05","per":"0.07","trdVol":"12.12","trdVolM":"1.21","ntP":"8.91","mVal":"0.09","wkhi":"77.00","wklo":"48.25","wkhicm_adj":"88.25","wklocm_adj":"62.30","xDt":"31-DEC-2999","cAct":"-","yPC":"15.86","mPC":"2.93"},{"symbol":"PETRONET","open":"274.80","high":"274.80","low":"270.20","ltP":"273.30","ptsC":"0.15","per":"0.05","trdVol":"2.08","trdVolM":"0.21","ntP":"5.66","mVal":"0.06","wkhi":"284.80","wklo":"163.55","wkhicm_adj":"208.80","wklocm_adj":"102.60","xDt":"31-DEC-2999","cAct":"-","yPC":"48.86","mPC":"3.70"},{"symbol":"RELCAPITAL","open":"417.75","high":"420.90","low":"412.10","ltP":"414.10","ptsC":"0.10","per":"0.02","trdVol":"16.03","trdVolM":"1.60","ntP":"66.82","mVal":"0.67","wkhi":"471.00","wklo":"246.35","wkhicm_adj":"669.90","wklocm_adj":"304.50","xDt":"31-DEC-2999","cAct":"-","yPC":"7.00","mPC":"2.53"},{"symbol":"M&amp;MFIN","open":"324.80","high":"330.45","low":"321.95","ltP":"324.85","ptsC":"0.00","per":"0.00","trdVol":"4.26","trdVolM":"0.43","ntP":"13.88","mVal":"0.14","wkhi":"330.45","wklo":"173.10","wkhicm_adj":"356.50","wklocm_adj":"229.25","xDt":"31-DEC-2999","cAct":"-","yPC":"21.89","mPC":"5.92"},{"symbol":"APOLLOTYRE","open":"157.90","high":"159.10","low":"154.30","ltP":"156.75","ptsC":"-0.10","per":"-0.06","trdVol":"4.95","trdVolM":"0.50","ntP":"7.75","mVal":"0.08","wkhi":"223.40","wklo":"127.05","wkhicm_adj":"242.95","wklocm_adj":"77.50","xDt":"31-DEC-2999","cAct":"-","yPC":"-13.92","mPC":"-5.83"},{"symbol":"ADANIPOWER","open":"30.25","high":"30.50","low":"29.75","ltP":"30.00","ptsC":"-0.05","per":"-0.17","trdVol":"21.33","trdVolM":"2.13","ntP":"6.42","mVal":"0.06","wkhi":"40.15","wklo":"19.60","wkhicm_adj":"68.35","wklocm_adj":"31.80","xDt":"31-DEC-2999","cAct":"-","yPC":"-22.18","mPC":"-7.12"},{"symbol":"BANKINDIA","open":"87.55","high":"88.45","low":"85.50","ltP":"86.75","ptsC":"-0.20","per":"-0.23","trdVol":"19.75","trdVolM":"1.98","ntP":"17.10","mVal":"0.17","wkhi":"205.00","wklo":"78.40","wkhicm_adj":"357.00","wklocm_adj":"165.55","xDt":"31-DEC-2999","cAct":"-","yPC":"-54.78","mPC":"-10.38"},{"symbol":"ARVIND","open":"315.50","high":"318.00","low":"313.35","ltP":"314.40","ptsC":"-0.95","per":"-0.30","trdVol":"5.09","trdVolM":"0.51","ntP":"16.05","mVal":"0.16","wkhi":"365.70","wklo":"216.30","wkhicm_adj":"341.50","wklocm_adj":"119.00","xDt":"31-DEC-2999","cAct":"-","yPC":"31.99","mPC":"7.95"},{"symbol":"CENTURYTEX","open":"627.40","high":"628.90","low":"616.85","ltP":"620.80","ptsC":"-2.40","per":"-0.39","trdVol":"2.61","trdVolM":"0.26","ntP":"16.23","mVal":"0.16","wkhi":"748.60","wklo":"403.00","wkhicm_adj":"664.40","wklocm_adj":"248.25","xDt":"31-DEC-2999","cAct":"-","yPC":"-6.44","mPC":"-1.36"},{"symbol":"MRF","open":"33,719.00","high":"33,840.00","low":"33,222.10","ltP":"33,360.00","ptsC":"-182.20","per":"-0.54","trdVol":"0.02","trdVolM":"0.00","ntP":"5.98","mVal":"0.06","wkhi":"46,399.00","wklo":"31,002.00","wkhicm_adj":"33,980.00","wklocm_adj":"17,070.00","xDt":"31-DEC-2999","cAct":"-","yPC":"-5.71","mPC":"-4.10"},{"symbol":"STAR","open":"1,128.50","high":"1,130.00","low":"1,100.10","ltP":"1,113.75","ptsC":"-7.10","per":"-0.63","trdVol":"1.01","trdVolM":"0.10","ntP":"11.19","mVal":"0.11","wkhi":"1,414.00","wklo":"847.00","wkhicm_adj":"1,045.00","wklocm_adj":"310.15","xDt":"31-DEC-2999","cAct":"-","yPC":"-8.75","mPC":"0.89"},{"symbol":"AMARAJABAT","open":"865.35","high":"866.90","low":"850.00","ltP":"854.50","ptsC":"-6.70","per":"-0.78","trdVol":"1.08","trdVolM":"0.11","ntP":"9.20","mVal":"0.09","wkhi":"1,128.00","wklo":"774.15","wkhicm_adj":"794.00","wklocm_adj":"315.05","xDt":"22-MAR-2016","cAct":"INTERIM DIVIDEND - RS 4.25\/- PER SHARE (PURPOSE REVISED)","yPC":"-1.10","mPC":"-9.20"},{"symbol":"CESC","open":"563.70","high":"563.70","low":"552.35","ltP":"557.75","ptsC":"-4.60","per":"-0.82","trdVol":"1.00","trdVolM":"0.10","ntP":"5.60","mVal":"0.06","wkhi":"624.30","wklo":"404.55","wkhicm_adj":"827.45","wklocm_adj":"374.40","xDt":"17-MAR-2016","cAct":"INTERIM DIVIDEND - RS 10\/- PER SHARE (PURPOSE REVISED)","yPC":"1.85","mPC":"0.80"},{"symbol":"HAVELLS","open":"374.50","high":"377.80","low":"370.35","ltP":"371.50","ptsC":"-3.40","per":"-0.91","trdVol":"7.57","trdVolM":"0.76","ntP":"28.25","mVal":"0.28","wkhi":"378.40","wklo":"235.30","wkhicm_adj":"326.50","wklocm_adj":"143.57","xDt":"31-DEC-2999","cAct":"-","yPC":"36.91","mPC":"7.93"},{"symbol":"SUNTV","open":"387.00","high":"387.00","low":"373.50","ltP":"378.60","ptsC":"-3.70","per":"-0.97","trdVol":"5.81","trdVolM":"0.58","ntP":"22.04","mVal":"0.22","wkhi":"436.80","wklo":"255.80","wkhicm_adj":"477.00","wklocm_adj":"300.00","xDt":"21-MAR-2016","cAct":"INTERIM DIVIDEND - RS 7.50\/- PER SHARE (PURPOSE REVISED)","yPC":"-2.18","mPC":"6.21"},{"symbol":"PCJEWELLER","open":"368.00","high":"370.00","low":"361.65","ltP":"364.05","ptsC":"-4.05","per":"-1.10","trdVol":"0.70","trdVolM":"0.07","ntP":"2.55","mVal":"0.03","wkhi":"493.40","wklo":"295.80","wkhicm_adj":"278.00","wklocm_adj":"72.00","xDt":"31-DEC-2999","cAct":"-","yPC":"-1.75","mPC":"-0.30"},{"symbol":"JUSTDIAL","open":"656.00","high":"661.95","low":"641.20","ltP":"646.80","ptsC":"-7.45","per":"-1.14","trdVol":"6.86","trdVolM":"0.69","ntP":"44.56","mVal":"0.45","wkhi":"1,290.00","wklo":"375.70","wkhicm_adj":"1,894.40","wklocm_adj":"982.60","xDt":"31-DEC-2999","cAct":"-","yPC":"-42.49","mPC":"-23.87"},{"symbol":"IGL","open":"574.00","high":"575.60","low":"565.30","ltP":"566.15","ptsC":"-8.15","per":"-1.42","trdVol":"1.32","trdVolM":"0.13","ntP":"7.51","mVal":"0.08","wkhi":"608.00","wklo":"375.35","wkhicm_adj":"458.80","wklocm_adj":"238.05","xDt":"31-DEC-2999","cAct":"-","yPC":"41.48","mPC":"-1.02"},{"symbol":"TATACHEM","open":"434.95","high":"441.00","low":"423.50","ltP":"426.00","ptsC":"-6.45","per":"-1.49","trdVol":"3.82","trdVolM":"0.38","ntP":"16.32","mVal":"0.16","wkhi":"526.00","wklo":"309.60","wkhicm_adj":"442.75","wklocm_adj":"244.20","xDt":"31-DEC-2999","cAct":"-","yPC":"-2.06","mPC":"1.87"},{"symbol":"BIOCON","open":"703.90","high":"707.50","low":"686.55","ltP":"688.75","ptsC":"-10.70","per":"-1.53","trdVol":"3.97","trdVolM":"0.40","ntP":"27.58","mVal":"0.28","wkhi":"717.00","wklo":"395.30","wkhicm_adj":"553.60","wklocm_adj":"378.65","xDt":"17-MAR-2016","cAct":"INTERIM DIVIDEND - RS 5\/- PER SHARE (PURPOSE REVISED)","yPC":"55.72","mPC":"20.43"},{"symbol":"TVSMOTOR","open":"292.10","high":"293.95","low":"283.75","ltP":"286.10","ptsC":"-5.00","per":"-1.72","trdVol":"9.26","trdVolM":"0.93","ntP":"26.56","mVal":"0.27","wkhi":"340.85","wklo":"201.00","wkhicm_adj":"266.70","wklocm_adj":"52.50","xDt":"17-MAR-2016","cAct":"INTERIM DIVIDEND - RS 1.50 PER SHARE (PURPOSE REVISED)","yPC":"21.33","mPC":"-12.73"},{"symbol":"JUBLFOOD","open":"1,094.00","high":"1,094.00","low":"1,011.10","ltP":"1,025.50","ptsC":"-86.45","per":"-7.77","trdVol":"13.42","trdVolM":"1.34","ntP":"141.15","mVal":"1.41","wkhi":"1,959.50","wklo":"887.35","wkhicm_adj":"1,497.40","wklocm_adj":"937.70","xDt":"31-DEC-2999","cAct":"-","yPC":"-41.64","mPC":"-23.03"}],"trdValueSumMil":"10.24","unchanged":1,"trdVolumesum":"512.40","advances":31}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</si>
</sst>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9"/>
      <color rgb="FF212121"/>
      <name val="Consolas"/>
      <family val="3"/>
    </font>
    <font>
      <sz val="9"/>
      <color rgb="FF88139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Font="1"/>
    <xf numFmtId="0" fontId="3" fillId="0" borderId="0" xfId="0" applyFont="1" applyAlignment="1">
      <alignment horizontal="right"/>
    </xf>
    <xf numFmtId="0" fontId="0" fillId="0" borderId="0" xfId="0" applyNumberFormat="1"/>
    <xf numFmtId="0" fontId="2" fillId="2" borderId="1" xfId="0" applyFont="1" applyFill="1" applyBorder="1"/>
    <xf numFmtId="0" fontId="2" fillId="0" borderId="1" xfId="0" applyFont="1" applyBorder="1"/>
    <xf numFmtId="0" fontId="0" fillId="0" borderId="1" xfId="0" applyBorder="1"/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vertical="top" wrapText="1"/>
    </xf>
    <xf numFmtId="164" fontId="0" fillId="0" borderId="1" xfId="0" applyNumberFormat="1" applyBorder="1"/>
    <xf numFmtId="10" fontId="0" fillId="0" borderId="1" xfId="1" applyNumberFormat="1" applyFont="1" applyBorder="1"/>
    <xf numFmtId="0" fontId="0" fillId="0" borderId="0" xfId="0" applyAlignment="1">
      <alignment horizontal="left"/>
    </xf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0" fillId="0" borderId="1" xfId="0" applyFont="1" applyBorder="1"/>
    <xf numFmtId="0" fontId="2" fillId="0" borderId="0" xfId="0" applyFont="1"/>
  </cellXfs>
  <cellStyles count="2">
    <cellStyle name="Normal" xfId="0" builtinId="0"/>
    <cellStyle name="Percent" xfId="1" builtinId="5"/>
  </cellStyles>
  <dxfs count="6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niftyStockWatch" refreshOnLoad="1" growShrinkType="overwriteClear" adjustColumnWidth="0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iftyMidcap50StockWatch" refreshOnLoad="1" growShrinkType="overwriteClear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juniorNiftyStockWatch" refreshOnLoad="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70"/>
  <sheetViews>
    <sheetView tabSelected="1" topLeftCell="A7" workbookViewId="0">
      <selection sqref="A1:XFD6"/>
    </sheetView>
  </sheetViews>
  <sheetFormatPr defaultRowHeight="15" x14ac:dyDescent="0.25"/>
  <cols>
    <col min="1" max="1" width="25" customWidth="1"/>
    <col min="2" max="2" width="255.7109375" hidden="1" customWidth="1"/>
    <col min="3" max="3" width="14.85546875" style="1" bestFit="1" customWidth="1"/>
    <col min="4" max="4" width="11.5703125" customWidth="1"/>
    <col min="5" max="5" width="81.140625" customWidth="1"/>
    <col min="6" max="6" width="11" customWidth="1"/>
    <col min="7" max="7" width="9.140625" customWidth="1"/>
    <col min="8" max="8" width="16.85546875" bestFit="1" customWidth="1"/>
    <col min="9" max="10" width="9.140625" customWidth="1"/>
    <col min="11" max="11" width="17" bestFit="1" customWidth="1"/>
  </cols>
  <sheetData>
    <row r="1" spans="1:13" ht="22.5" hidden="1" customHeight="1" x14ac:dyDescent="0.25">
      <c r="D1" s="2" t="s">
        <v>0</v>
      </c>
      <c r="E1" s="3" t="s">
        <v>62</v>
      </c>
    </row>
    <row r="2" spans="1:13" hidden="1" x14ac:dyDescent="0.25">
      <c r="A2" t="str">
        <f>MID(M2, 14, 4)</f>
        <v/>
      </c>
    </row>
    <row r="3" spans="1:13" hidden="1" x14ac:dyDescent="0.25">
      <c r="D3" t="s">
        <v>67</v>
      </c>
      <c r="E3" t="s">
        <v>167</v>
      </c>
    </row>
    <row r="4" spans="1:13" hidden="1" x14ac:dyDescent="0.25"/>
    <row r="5" spans="1:13" hidden="1" x14ac:dyDescent="0.25"/>
    <row r="6" spans="1:13" hidden="1" x14ac:dyDescent="0.25">
      <c r="A6" t="str">
        <f>MID(M6, 14, 4)</f>
        <v/>
      </c>
      <c r="D6" t="s">
        <v>114</v>
      </c>
      <c r="E6" t="s">
        <v>168</v>
      </c>
    </row>
    <row r="8" spans="1:13" x14ac:dyDescent="0.25">
      <c r="C8" s="15" t="s">
        <v>165</v>
      </c>
    </row>
    <row r="9" spans="1:13" x14ac:dyDescent="0.25">
      <c r="A9" t="str">
        <f>MID(M9, 14, 4)</f>
        <v/>
      </c>
      <c r="B9" t="s">
        <v>1</v>
      </c>
      <c r="C9" s="4" t="s">
        <v>2</v>
      </c>
      <c r="D9" s="4" t="s">
        <v>3</v>
      </c>
      <c r="E9" s="4" t="s">
        <v>4</v>
      </c>
      <c r="F9" s="4" t="s">
        <v>5</v>
      </c>
      <c r="G9" s="4" t="s">
        <v>6</v>
      </c>
      <c r="H9" s="4" t="s">
        <v>7</v>
      </c>
      <c r="I9" s="4" t="s">
        <v>8</v>
      </c>
      <c r="J9" s="4" t="s">
        <v>9</v>
      </c>
      <c r="K9" s="4" t="s">
        <v>59</v>
      </c>
    </row>
    <row r="10" spans="1:13" x14ac:dyDescent="0.25">
      <c r="B10" t="str">
        <f t="shared" ref="B10:B44" si="0">MID($E$1,FIND(C10,$E$1)-1,FIND("}",$E$1,FIND(C10,$E$1))-FIND(C10,$E$1)+1)</f>
        <v>"ACC","open":"1,509.00","high":"1,533.30","low":"1,502.00","ltP":"1,525.15","ptsC":"21.10","per":"1.40","trdVol":"4.33","trdVolM":"0.43","ntP":"65.74","mVal":"0.66","wkhi":"1,533.30","wklo":"1,174.00","wkhicm_adj":"1,564.65","wklocm_adj":"970.15","xDt":"31-DEC-2999","cAct":"-","yPC":"4.18","mPC":"6.89"</v>
      </c>
      <c r="C10" s="5" t="s">
        <v>10</v>
      </c>
      <c r="D10" s="6" t="str">
        <f t="shared" ref="D10:G31" si="1">MID($B10,FIND(D$9,$B10)+LEN(D$9)+3,FIND(CHAR(34),$B10,FIND(D$9,$B10)+LEN(D$9)+3)-(FIND(D$9,$B10)+LEN(D$9)+3))</f>
        <v>1,509.00</v>
      </c>
      <c r="E10" s="6" t="str">
        <f t="shared" si="1"/>
        <v>1,533.30</v>
      </c>
      <c r="F10" s="6" t="str">
        <f t="shared" si="1"/>
        <v>1,502.00</v>
      </c>
      <c r="G10" s="6" t="str">
        <f t="shared" si="1"/>
        <v>1,525.15</v>
      </c>
      <c r="H10" s="7" t="str">
        <f>IF(AND(E10=0, F10=0, D10=0),"  ",IF(E10= D10,"SHORT ",IF(F10= D10,"LONG ",IF(E10&lt;&gt; F10&lt;&gt; D10,"   "))))</f>
        <v xml:space="preserve">   </v>
      </c>
      <c r="I10" s="8" t="str">
        <f>IF(AND(E10=0,F10=0,D10=0),"  ",IF(D10=F10,ROUND(((SQRT(F10) +0.0833) ^2),0),IF(E10=D10,ROUND(((SQRT(E10) -0.0833) ^2),0),IF(E10&lt;&gt;F10&lt;&gt;D10,"   "))))</f>
        <v xml:space="preserve">   </v>
      </c>
      <c r="J10" s="9" t="str">
        <f>IF(AND(E10=0, F10=0, D10=0),"  ",IF(E10= D10,D10+0.005*D10,IF(F10= D10,D10-0.005*D10,IF(E10&lt;&gt; F10&lt;&gt; D10,"   "))))</f>
        <v xml:space="preserve">   </v>
      </c>
      <c r="K10" s="10" t="str">
        <f>IF(AND(E10=0, F10=0, D10=0),"  ",IF(E10= D10,(I10-G10)/I10,IF(F10= D10,(G10-I10)/I10,IF(E10&lt;&gt; F10&lt;&gt; D10,"   "))))</f>
        <v xml:space="preserve">   </v>
      </c>
      <c r="M10" s="12"/>
    </row>
    <row r="11" spans="1:13" x14ac:dyDescent="0.25">
      <c r="B11" t="str">
        <f t="shared" ref="B11" si="2">MID($E$1,FIND(C11,$E$1)-1,FIND("}",$E$1,FIND(C11,$E$1))-FIND(C11,$E$1)+1)</f>
        <v>"ADANIPORTS","open":"185.40","high":"192.95","low":"185.00","ltP":"191.55","ptsC":"6.75","per":"3.65","trdVol":"82.41","trdVolM":"8.24","ntP":"157.42","mVal":"1.57","wkhi":"374.80","wklo":"169.15","wkhicm_adj":"308.75","wklocm_adj":"141.00","xDt":"22-MAR-2016","cAct":"INTERIM DIVIDEND - RS 1.10\/- PER SHARE (PURPOSE REVISED)","yPC":"-43.48","mPC":"-16.39"</v>
      </c>
      <c r="C11" s="5" t="s">
        <v>61</v>
      </c>
      <c r="D11" s="6" t="str">
        <f t="shared" si="1"/>
        <v>185.40</v>
      </c>
      <c r="E11" s="6" t="str">
        <f t="shared" si="1"/>
        <v>192.95</v>
      </c>
      <c r="F11" s="6" t="str">
        <f t="shared" si="1"/>
        <v>185.00</v>
      </c>
      <c r="G11" s="6" t="str">
        <f t="shared" si="1"/>
        <v>191.55</v>
      </c>
      <c r="H11" s="7" t="str">
        <f t="shared" ref="H11:H60" si="3">IF(AND(E11=0, F11=0, D11=0),"  ",IF(E11= D11,"SHORT ",IF(F11= D11,"LONG ",IF(E11&lt;&gt; F11&lt;&gt; D11,"   "))))</f>
        <v xml:space="preserve">   </v>
      </c>
      <c r="I11" s="8" t="str">
        <f>IF(AND(E11=0,F11=0,D11=0),"  ",IF(D11=F11,ROUND(((SQRT(F11) +0.0833) ^2),0),IF(E11=D11,ROUND(((SQRT(E11) -0.0833) ^2),0),IF(E11&lt;&gt;F11&lt;&gt;D11,"   "))))</f>
        <v xml:space="preserve">   </v>
      </c>
      <c r="J11" s="9" t="str">
        <f>IF(AND(E11=0, F11=0, D11=0),"  ",IF(E11= D11,D11+0.005*D11,IF(F11= D11,D11-0.005*D11,IF(E11&lt;&gt; F11&lt;&gt; D11,"   "))))</f>
        <v xml:space="preserve">   </v>
      </c>
      <c r="K11" s="10" t="str">
        <f>IF(AND(E11=0, F11=0, D11=0),"  ",IF(E11= D11,(I11-G11)/I11,IF(F11= D11,(G11-I11)/I11,IF(E11&lt;&gt; F11&lt;&gt; D11,"   "))))</f>
        <v xml:space="preserve">   </v>
      </c>
      <c r="M11" s="12"/>
    </row>
    <row r="12" spans="1:13" x14ac:dyDescent="0.25">
      <c r="B12" t="str">
        <f t="shared" si="0"/>
        <v>"AMBUJACEM","open":"226.00","high":"232.00","low":"226.00","ltP":"231.05","ptsC":"6.45","per":"2.87","trdVol":"51.55","trdVolM":"5.16","ntP":"117.70","mVal":"1.18","wkhi":"257.30","wklo":"185.00","wkhicm_adj":"243.80","wklocm_adj":"150.10","xDt":"31-DEC-2999","cAct":"-","yPC":"1.52","mPC":"2.94"</v>
      </c>
      <c r="C12" s="5" t="s">
        <v>11</v>
      </c>
      <c r="D12" s="6" t="str">
        <f t="shared" si="1"/>
        <v>226.00</v>
      </c>
      <c r="E12" s="6" t="str">
        <f t="shared" si="1"/>
        <v>232.00</v>
      </c>
      <c r="F12" s="6" t="str">
        <f t="shared" si="1"/>
        <v>226.00</v>
      </c>
      <c r="G12" s="6" t="str">
        <f t="shared" si="1"/>
        <v>231.05</v>
      </c>
      <c r="H12" s="7" t="str">
        <f t="shared" si="3"/>
        <v xml:space="preserve">LONG </v>
      </c>
      <c r="I12" s="8">
        <f t="shared" ref="I12:I60" si="4">IF(AND(E12=0,F12=0,D12=0),"  ",IF(D12=F12,ROUND(((SQRT(F12) +0.0833) ^2),0),IF(E12=D12,ROUND(((SQRT(E12) -0.0833) ^2),0),IF(E12&lt;&gt;F12&lt;&gt;D12,"   "))))</f>
        <v>229</v>
      </c>
      <c r="J12" s="9">
        <f t="shared" ref="J12:J60" si="5">IF(AND(E12=0, F12=0, D12=0),"  ",IF(E12= D12,D12+0.005*D12,IF(F12= D12,D12-0.005*D12,IF(E12&lt;&gt; F12&lt;&gt; D12,"   "))))</f>
        <v>224.87</v>
      </c>
      <c r="K12" s="10">
        <f t="shared" ref="K12:K13" si="6">IF(AND(E12=0, F12=0, D12=0),"  ",IF(E12= D12,(I12-G12)/I12,IF(F12= D12,(G12-I12)/I12,IF(E12&lt;&gt; F12&lt;&gt; D12,"   "))))</f>
        <v>8.9519650655022331E-3</v>
      </c>
      <c r="M12" s="13"/>
    </row>
    <row r="13" spans="1:13" x14ac:dyDescent="0.25">
      <c r="B13" t="str">
        <f t="shared" si="0"/>
        <v>"ASIANPAINT","open":"991.90","high":"1,001.80","low":"986.45","ltP":"996.75","ptsC":"4.90","per":"0.49","trdVol":"11.06","trdVolM":"1.11","ntP":"110.14","mVal":"1.10","wkhi":"1,001.80","wklo":"693.00","wkhicm_adj":"802.20","wklocm_adj":"460.20","xDt":"31-DEC-2999","cAct":"-","yPC":"31.28","mPC":"13.67"</v>
      </c>
      <c r="C13" s="5" t="s">
        <v>12</v>
      </c>
      <c r="D13" s="6" t="str">
        <f t="shared" si="1"/>
        <v>991.90</v>
      </c>
      <c r="E13" s="6" t="str">
        <f t="shared" si="1"/>
        <v>1,001.80</v>
      </c>
      <c r="F13" s="6" t="str">
        <f t="shared" si="1"/>
        <v>986.45</v>
      </c>
      <c r="G13" s="6" t="str">
        <f t="shared" si="1"/>
        <v>996.75</v>
      </c>
      <c r="H13" s="7" t="str">
        <f t="shared" si="3"/>
        <v xml:space="preserve">   </v>
      </c>
      <c r="I13" s="8" t="str">
        <f t="shared" si="4"/>
        <v xml:space="preserve">   </v>
      </c>
      <c r="J13" s="9" t="str">
        <f t="shared" si="5"/>
        <v xml:space="preserve">   </v>
      </c>
      <c r="K13" s="10" t="str">
        <f t="shared" si="6"/>
        <v xml:space="preserve">   </v>
      </c>
      <c r="M13" s="13"/>
    </row>
    <row r="14" spans="1:13" x14ac:dyDescent="0.25">
      <c r="B14" t="str">
        <f t="shared" ref="B14" si="7">MID($E$1,FIND(C14,$E$1)-1,FIND("}",$E$1,FIND(C14,$E$1))-FIND(C14,$E$1)+1)</f>
        <v>"AUROPHARMA","open":"746.90","high":"771.50","low":"741.50","ltP":"763.30","ptsC":"18.75","per":"2.52","trdVol":"13.96","trdVolM":"1.40","ntP":"106.70","mVal":"1.07","wkhi":"891.50","wklo":"582.00","wkhicm_adj":"1,152.40","wklocm_adj":"286.55","xDt":"31-DEC-2999","cAct":"-","yPC":"13.89","mPC":"-1.59"</v>
      </c>
      <c r="C14" s="5" t="s">
        <v>63</v>
      </c>
      <c r="D14" s="6" t="str">
        <f t="shared" si="1"/>
        <v>746.90</v>
      </c>
      <c r="E14" s="6" t="str">
        <f t="shared" si="1"/>
        <v>771.50</v>
      </c>
      <c r="F14" s="6" t="str">
        <f t="shared" si="1"/>
        <v>741.50</v>
      </c>
      <c r="G14" s="6" t="str">
        <f t="shared" si="1"/>
        <v>763.30</v>
      </c>
      <c r="H14" s="7" t="str">
        <f t="shared" si="3"/>
        <v xml:space="preserve">   </v>
      </c>
      <c r="I14" s="8" t="str">
        <f t="shared" ref="I14" si="8">IF(AND(E14=0,F14=0,D14=0),"  ",IF(D14=F14,ROUND(((SQRT(F14) +0.0833) ^2),0),IF(E14=D14,ROUND(((SQRT(E14) -0.0833) ^2),0),IF(E14&lt;&gt;F14&lt;&gt;D14,"   "))))</f>
        <v xml:space="preserve">   </v>
      </c>
      <c r="J14" s="9" t="str">
        <f t="shared" ref="J14" si="9">IF(AND(E14=0, F14=0, D14=0),"  ",IF(E14= D14,D14+0.005*D14,IF(F14= D14,D14-0.005*D14,IF(E14&lt;&gt; F14&lt;&gt; D14,"   "))))</f>
        <v xml:space="preserve">   </v>
      </c>
      <c r="K14" s="10" t="str">
        <f t="shared" ref="K14" si="10">IF(AND(E14=0, F14=0, D14=0),"  ",IF(E14= D14,(I14-G14)/I14,IF(F14= D14,(G14-I14)/I14,IF(E14&lt;&gt; F14&lt;&gt; D14,"   "))))</f>
        <v xml:space="preserve">   </v>
      </c>
      <c r="M14" s="13"/>
    </row>
    <row r="15" spans="1:13" x14ac:dyDescent="0.25">
      <c r="B15" t="str">
        <f t="shared" si="0"/>
        <v>"AXISBANK","open":"520.25","high":"525.00","low":"509.00","ltP":"514.00","ptsC":"-5.00","per":"-0.96","trdVol":"76.99","trdVolM":"7.70","ntP":"397.39","mVal":"3.97","wkhi":"613.45","wklo":"366.75","wkhicm_adj":"493.20","wklocm_adj":"216.52","xDt":"31-DEC-2999","cAct":"-","yPC":"-11.04","mPC":"7.04"</v>
      </c>
      <c r="C15" s="5" t="s">
        <v>13</v>
      </c>
      <c r="D15" s="6" t="str">
        <f t="shared" si="1"/>
        <v>520.25</v>
      </c>
      <c r="E15" s="6" t="str">
        <f t="shared" si="1"/>
        <v>525.00</v>
      </c>
      <c r="F15" s="6" t="str">
        <f t="shared" si="1"/>
        <v>509.00</v>
      </c>
      <c r="G15" s="6" t="str">
        <f t="shared" si="1"/>
        <v>514.00</v>
      </c>
      <c r="H15" s="7" t="str">
        <f t="shared" si="3"/>
        <v xml:space="preserve">   </v>
      </c>
      <c r="I15" s="8" t="str">
        <f t="shared" si="4"/>
        <v xml:space="preserve">   </v>
      </c>
      <c r="J15" s="9" t="str">
        <f t="shared" si="5"/>
        <v xml:space="preserve">   </v>
      </c>
      <c r="K15" s="10" t="str">
        <f t="shared" ref="K15:K21" si="11">IF(AND(E15=0, F15=0, D15=0),"  ",IF(E15= D15,(I15-G15)/I15,IF(F15= D15,(G15-I15)/I15,IF(E15&lt;&gt; F15&lt;&gt; D15,"   "))))</f>
        <v xml:space="preserve">   </v>
      </c>
      <c r="M15" s="13"/>
    </row>
    <row r="16" spans="1:13" x14ac:dyDescent="0.25">
      <c r="B16" t="str">
        <f t="shared" si="0"/>
        <v>"BAJAJ-AUTO","open":"2,505.00","high":"2,581.95","low":"2,487.00","ltP":"2,560.00","ptsC":"54.85","per":"2.19","trdVol":"3.27","trdVolM":"0.33","ntP":"83.04","mVal":"0.83","wkhi":"2,656.00","wklo":"2,133.65","wkhicm_adj":"2,695.00","wklocm_adj":"1,793.20","xDt":"16-MAR-2016","cAct":"INTERIM DIVIDEND - RS 50\/- PER SHARE (PURPOSE REVISED)","yPC":"10.71","mPC":"0.47"</v>
      </c>
      <c r="C16" s="5" t="s">
        <v>14</v>
      </c>
      <c r="D16" s="6" t="str">
        <f t="shared" si="1"/>
        <v>2,505.00</v>
      </c>
      <c r="E16" s="6" t="str">
        <f t="shared" si="1"/>
        <v>2,581.95</v>
      </c>
      <c r="F16" s="6" t="str">
        <f t="shared" si="1"/>
        <v>2,487.00</v>
      </c>
      <c r="G16" s="6" t="str">
        <f t="shared" si="1"/>
        <v>2,560.00</v>
      </c>
      <c r="H16" s="7" t="str">
        <f t="shared" si="3"/>
        <v xml:space="preserve">   </v>
      </c>
      <c r="I16" s="8" t="str">
        <f t="shared" si="4"/>
        <v xml:space="preserve">   </v>
      </c>
      <c r="J16" s="9" t="str">
        <f t="shared" si="5"/>
        <v xml:space="preserve">   </v>
      </c>
      <c r="K16" s="10" t="str">
        <f t="shared" si="11"/>
        <v xml:space="preserve">   </v>
      </c>
      <c r="M16" s="13"/>
    </row>
    <row r="17" spans="2:13" x14ac:dyDescent="0.25">
      <c r="B17" t="str">
        <f t="shared" si="0"/>
        <v>"BANKBARODA","open":"135.90","high":"140.80","low":"134.40","ltP":"140.20","ptsC":"5.35","per":"3.97","trdVol":"87.04","trdVolM":"8.70","ntP":"119.08","mVal":"1.19","wkhi":"216.30","wklo":"109.35","wkhicm_adj":"1,104.70","wklocm_adj":"511.15","xDt":"31-DEC-2999","cAct":"-","yPC":"-13.00","mPC":"-13.30"</v>
      </c>
      <c r="C17" s="5" t="s">
        <v>15</v>
      </c>
      <c r="D17" s="6" t="str">
        <f t="shared" si="1"/>
        <v>135.90</v>
      </c>
      <c r="E17" s="6" t="str">
        <f t="shared" si="1"/>
        <v>140.80</v>
      </c>
      <c r="F17" s="6" t="str">
        <f t="shared" si="1"/>
        <v>134.40</v>
      </c>
      <c r="G17" s="6" t="str">
        <f t="shared" si="1"/>
        <v>140.20</v>
      </c>
      <c r="H17" s="7" t="str">
        <f t="shared" si="3"/>
        <v xml:space="preserve">   </v>
      </c>
      <c r="I17" s="8" t="str">
        <f t="shared" si="4"/>
        <v xml:space="preserve">   </v>
      </c>
      <c r="J17" s="9" t="str">
        <f t="shared" si="5"/>
        <v xml:space="preserve">   </v>
      </c>
      <c r="K17" s="10" t="str">
        <f t="shared" si="11"/>
        <v xml:space="preserve">   </v>
      </c>
      <c r="M17" s="13"/>
    </row>
    <row r="18" spans="2:13" x14ac:dyDescent="0.25">
      <c r="B18" t="str">
        <f t="shared" si="0"/>
        <v>"BHARTIARTL","open":"352.95","high":"357.60","low":"349.55","ltP":"353.00","ptsC":"0.15","per":"0.04","trdVol":"27.72","trdVolM":"2.77","ntP":"97.95","mVal":"0.98","wkhi":"452.45","wklo":"282.30","wkhicm_adj":"420.00","wklocm_adj":"281.90","xDt":"31-DEC-2999","cAct":"-","yPC":"-13.64","mPC":"-2.05"</v>
      </c>
      <c r="C18" s="5" t="s">
        <v>16</v>
      </c>
      <c r="D18" s="6" t="str">
        <f t="shared" si="1"/>
        <v>352.95</v>
      </c>
      <c r="E18" s="6" t="str">
        <f t="shared" si="1"/>
        <v>357.60</v>
      </c>
      <c r="F18" s="6" t="str">
        <f t="shared" si="1"/>
        <v>349.55</v>
      </c>
      <c r="G18" s="6" t="str">
        <f t="shared" si="1"/>
        <v>353.00</v>
      </c>
      <c r="H18" s="7" t="str">
        <f t="shared" si="3"/>
        <v xml:space="preserve">   </v>
      </c>
      <c r="I18" s="8" t="str">
        <f t="shared" si="4"/>
        <v xml:space="preserve">   </v>
      </c>
      <c r="J18" s="9" t="str">
        <f t="shared" si="5"/>
        <v xml:space="preserve">   </v>
      </c>
      <c r="K18" s="10" t="str">
        <f t="shared" si="11"/>
        <v xml:space="preserve">   </v>
      </c>
      <c r="M18" s="13"/>
    </row>
    <row r="19" spans="2:13" x14ac:dyDescent="0.25">
      <c r="B19" t="str">
        <f t="shared" si="0"/>
        <v>"BHEL","open":"129.00","high":"132.20","low":"126.60","ltP":"128.10","ptsC":"-0.50","per":"-0.39","trdVol":"105.23","trdVolM":"10.52","ntP":"135.94","mVal":"1.36","wkhi":"290.00","wklo":"90.15","wkhicm_adj":"291.50","wklocm_adj":"145.55","xDt":"31-DEC-2999","cAct":"-","yPC":"-48.73","mPC":"-0.81"</v>
      </c>
      <c r="C19" s="5" t="s">
        <v>17</v>
      </c>
      <c r="D19" s="6" t="str">
        <f t="shared" si="1"/>
        <v>129.00</v>
      </c>
      <c r="E19" s="6" t="str">
        <f t="shared" si="1"/>
        <v>132.20</v>
      </c>
      <c r="F19" s="6" t="str">
        <f t="shared" si="1"/>
        <v>126.60</v>
      </c>
      <c r="G19" s="6" t="str">
        <f t="shared" si="1"/>
        <v>128.10</v>
      </c>
      <c r="H19" s="7" t="str">
        <f t="shared" si="3"/>
        <v xml:space="preserve">   </v>
      </c>
      <c r="I19" s="8" t="str">
        <f t="shared" si="4"/>
        <v xml:space="preserve">   </v>
      </c>
      <c r="J19" s="9" t="str">
        <f t="shared" si="5"/>
        <v xml:space="preserve">   </v>
      </c>
      <c r="K19" s="10" t="str">
        <f t="shared" si="11"/>
        <v xml:space="preserve">   </v>
      </c>
      <c r="M19" s="13"/>
    </row>
    <row r="20" spans="2:13" x14ac:dyDescent="0.25">
      <c r="B20" t="str">
        <f t="shared" si="0"/>
        <v>"BOSCHLTD","open":"21,817.40","high":"22,099.00","low":"21,654.25","ltP":"21,900.00","ptsC":"82.65","per":"0.38","trdVol":"0.18","trdVolM":"0.02","ntP":"39.50","mVal":"0.40","wkhi":"26,719.95","wklo":"15,736.05","wkhicm_adj":"19,570.00","wklocm_adj":"8,450.00","xDt":"31-DEC-2999","cAct":"-","yPC":"-4.92","mPC":"7.56"</v>
      </c>
      <c r="C20" s="5" t="s">
        <v>18</v>
      </c>
      <c r="D20" s="6" t="str">
        <f t="shared" si="1"/>
        <v>21,817.40</v>
      </c>
      <c r="E20" s="6" t="str">
        <f t="shared" si="1"/>
        <v>22,099.00</v>
      </c>
      <c r="F20" s="6" t="str">
        <f t="shared" si="1"/>
        <v>21,654.25</v>
      </c>
      <c r="G20" s="6" t="str">
        <f t="shared" si="1"/>
        <v>21,900.00</v>
      </c>
      <c r="H20" s="7" t="str">
        <f t="shared" si="3"/>
        <v xml:space="preserve">   </v>
      </c>
      <c r="I20" s="8" t="str">
        <f t="shared" si="4"/>
        <v xml:space="preserve">   </v>
      </c>
      <c r="J20" s="9" t="str">
        <f t="shared" si="5"/>
        <v xml:space="preserve">   </v>
      </c>
      <c r="K20" s="10" t="str">
        <f t="shared" si="11"/>
        <v xml:space="preserve">   </v>
      </c>
      <c r="M20" s="13"/>
    </row>
    <row r="21" spans="2:13" x14ac:dyDescent="0.25">
      <c r="B21" t="str">
        <f t="shared" si="0"/>
        <v>"BPCL","open":"951.00","high":"1,024.70","low":"947.45","ltP":"1,005.40","ptsC":"78.60","per":"8.48","trdVol":"58.85","trdVolM":"5.88","ntP":"590.28","mVal":"5.90","wkhi":"1,024.70","wklo":"731.15","wkhicm_adj":"785.00","wklocm_adj":"316.05","xDt":"31-DEC-2999","cAct":"-","yPC":"26.16","mPC":"3.03"</v>
      </c>
      <c r="C21" s="5" t="s">
        <v>19</v>
      </c>
      <c r="D21" s="6" t="str">
        <f t="shared" si="1"/>
        <v>951.00</v>
      </c>
      <c r="E21" s="6" t="str">
        <f t="shared" si="1"/>
        <v>1,024.70</v>
      </c>
      <c r="F21" s="6" t="str">
        <f t="shared" si="1"/>
        <v>947.45</v>
      </c>
      <c r="G21" s="6" t="str">
        <f t="shared" si="1"/>
        <v>1,005.40</v>
      </c>
      <c r="H21" s="7" t="str">
        <f t="shared" si="3"/>
        <v xml:space="preserve">   </v>
      </c>
      <c r="I21" s="8" t="str">
        <f t="shared" si="4"/>
        <v xml:space="preserve">   </v>
      </c>
      <c r="J21" s="9" t="str">
        <f t="shared" si="5"/>
        <v xml:space="preserve">   </v>
      </c>
      <c r="K21" s="10" t="str">
        <f t="shared" si="11"/>
        <v xml:space="preserve">   </v>
      </c>
      <c r="M21" s="13"/>
    </row>
    <row r="22" spans="2:13" x14ac:dyDescent="0.25">
      <c r="B22" t="str">
        <f t="shared" si="0"/>
        <v>"CIPLA","open":"470.90","high":"478.50","low":"469.10","ltP":"473.45","ptsC":"5.50","per":"1.18","trdVol":"26.39","trdVolM":"2.64","ntP":"125.03","mVal":"1.25","wkhi":"745.00","wklo":"457.45","wkhicm_adj":"673.00","wklocm_adj":"366.50","xDt":"31-DEC-2999","cAct":"-","yPC":"-28.38","mPC":"-12.41"</v>
      </c>
      <c r="C22" s="5" t="s">
        <v>21</v>
      </c>
      <c r="D22" s="6" t="str">
        <f t="shared" si="1"/>
        <v>470.90</v>
      </c>
      <c r="E22" s="6" t="str">
        <f t="shared" si="1"/>
        <v>478.50</v>
      </c>
      <c r="F22" s="6" t="str">
        <f t="shared" si="1"/>
        <v>469.10</v>
      </c>
      <c r="G22" s="6" t="str">
        <f t="shared" si="1"/>
        <v>473.45</v>
      </c>
      <c r="H22" s="7" t="str">
        <f t="shared" si="3"/>
        <v xml:space="preserve">   </v>
      </c>
      <c r="I22" s="8" t="str">
        <f t="shared" si="4"/>
        <v xml:space="preserve">   </v>
      </c>
      <c r="J22" s="9" t="str">
        <f t="shared" si="5"/>
        <v xml:space="preserve">   </v>
      </c>
      <c r="K22" s="10" t="str">
        <f t="shared" ref="K22:K60" si="12">IF(AND(E22=0, F22=0, D22=0),"  ",IF(E22= D22,(I22-G22)/I22,IF(F22= D22,(G22-I22)/I22,IF(E22&lt;&gt; F22&lt;&gt; D22,"   "))))</f>
        <v xml:space="preserve">   </v>
      </c>
      <c r="M22" s="13"/>
    </row>
    <row r="23" spans="2:13" x14ac:dyDescent="0.25">
      <c r="B23" t="str">
        <f t="shared" si="0"/>
        <v>"COALINDIA","open":"282.25","high":"284.50","low":"280.20","ltP":"281.50","ptsC":"0.65","per":"0.23","trdVol":"45.44","trdVolM":"4.54","ntP":"128.11","mVal":"1.28","wkhi":"447.10","wklo":"271.65","wkhicm_adj":"423.70","wklocm_adj":"240.30","xDt":"14-MAR-2016","cAct":"INTERIM DIVIDEND - RS 27.40\/- PER SHARE (PURPOSE REVISED)","yPC":"-26.51","mPC":"-2.36"</v>
      </c>
      <c r="C23" s="5" t="s">
        <v>22</v>
      </c>
      <c r="D23" s="6" t="str">
        <f t="shared" si="1"/>
        <v>282.25</v>
      </c>
      <c r="E23" s="6" t="str">
        <f t="shared" si="1"/>
        <v>284.50</v>
      </c>
      <c r="F23" s="6" t="str">
        <f t="shared" si="1"/>
        <v>280.20</v>
      </c>
      <c r="G23" s="6" t="str">
        <f t="shared" si="1"/>
        <v>281.50</v>
      </c>
      <c r="H23" s="7" t="str">
        <f t="shared" si="3"/>
        <v xml:space="preserve">   </v>
      </c>
      <c r="I23" s="8" t="str">
        <f t="shared" si="4"/>
        <v xml:space="preserve">   </v>
      </c>
      <c r="J23" s="9" t="str">
        <f t="shared" si="5"/>
        <v xml:space="preserve">   </v>
      </c>
      <c r="K23" s="10" t="str">
        <f t="shared" si="12"/>
        <v xml:space="preserve">   </v>
      </c>
      <c r="M23" s="13"/>
    </row>
    <row r="24" spans="2:13" x14ac:dyDescent="0.25">
      <c r="B24" t="str">
        <f t="shared" si="0"/>
        <v>"DRREDDY","open":"3,084.00","high":"3,138.00","low":"3,075.15","ltP":"3,111.00","ptsC":"20.30","per":"0.66","trdVol":"1.82","trdVolM":"0.18","ntP":"56.64","mVal":"0.57","wkhi":"4,386.60","wklo":"2,750.05","wkhicm_adj":"3,666.25","wklocm_adj":"2,246.50","xDt":"31-DEC-2999","cAct":"-","yPC":"-13.26","mPC":"-0.30"</v>
      </c>
      <c r="C24" s="5" t="s">
        <v>23</v>
      </c>
      <c r="D24" s="6" t="str">
        <f t="shared" si="1"/>
        <v>3,084.00</v>
      </c>
      <c r="E24" s="6" t="str">
        <f t="shared" si="1"/>
        <v>3,138.00</v>
      </c>
      <c r="F24" s="6" t="str">
        <f t="shared" si="1"/>
        <v>3,075.15</v>
      </c>
      <c r="G24" s="6" t="str">
        <f t="shared" si="1"/>
        <v>3,111.00</v>
      </c>
      <c r="H24" s="7" t="str">
        <f t="shared" si="3"/>
        <v xml:space="preserve">   </v>
      </c>
      <c r="I24" s="8" t="str">
        <f t="shared" si="4"/>
        <v xml:space="preserve">   </v>
      </c>
      <c r="J24" s="9" t="str">
        <f t="shared" si="5"/>
        <v xml:space="preserve">   </v>
      </c>
      <c r="K24" s="10" t="str">
        <f t="shared" si="12"/>
        <v xml:space="preserve">   </v>
      </c>
      <c r="M24" s="13"/>
    </row>
    <row r="25" spans="2:13" x14ac:dyDescent="0.25">
      <c r="B25" t="str">
        <f t="shared" ref="B25" si="13">MID($E$1,FIND(C25,$E$1)-1,FIND("}",$E$1,FIND(C25,$E$1))-FIND(C25,$E$1)+1)</f>
        <v>"EICHERMOT","open":"18,494.00","high":"18,799.00","low":"18,425.25","ltP":"18,700.00","ptsC":"305.65","per":"1.66","trdVol":"0.27","trdVolM":"0.03","ntP":"50.52","mVal":"0.51","wkhi":"21,620.00","wklo":"14,800.00","wkhicm_adj":"15,149.90","wklocm_adj":"4,401.10","xDt":"22-MAR-2016","cAct":"INTERIM DIVIDEND - RS 100\/- PER SHARE","yPC":"1.83","mPC":"-7.19"</v>
      </c>
      <c r="C25" s="5" t="s">
        <v>64</v>
      </c>
      <c r="D25" s="6" t="str">
        <f t="shared" si="1"/>
        <v>18,494.00</v>
      </c>
      <c r="E25" s="6" t="str">
        <f t="shared" si="1"/>
        <v>18,799.00</v>
      </c>
      <c r="F25" s="6" t="str">
        <f t="shared" si="1"/>
        <v>18,425.25</v>
      </c>
      <c r="G25" s="6" t="str">
        <f t="shared" si="1"/>
        <v>18,700.00</v>
      </c>
      <c r="H25" s="7" t="str">
        <f t="shared" si="3"/>
        <v xml:space="preserve">   </v>
      </c>
      <c r="I25" s="8" t="str">
        <f t="shared" ref="I25" si="14">IF(AND(E25=0,F25=0,D25=0),"  ",IF(D25=F25,ROUND(((SQRT(F25) +0.0833) ^2),0),IF(E25=D25,ROUND(((SQRT(E25) -0.0833) ^2),0),IF(E25&lt;&gt;F25&lt;&gt;D25,"   "))))</f>
        <v xml:space="preserve">   </v>
      </c>
      <c r="J25" s="9" t="str">
        <f t="shared" ref="J25" si="15">IF(AND(E25=0, F25=0, D25=0),"  ",IF(E25= D25,D25+0.005*D25,IF(F25= D25,D25-0.005*D25,IF(E25&lt;&gt; F25&lt;&gt; D25,"   "))))</f>
        <v xml:space="preserve">   </v>
      </c>
      <c r="K25" s="10" t="str">
        <f t="shared" ref="K25" si="16">IF(AND(E25=0, F25=0, D25=0),"  ",IF(E25= D25,(I25-G25)/I25,IF(F25= D25,(G25-I25)/I25,IF(E25&lt;&gt; F25&lt;&gt; D25,"   "))))</f>
        <v xml:space="preserve">   </v>
      </c>
      <c r="M25" s="13"/>
    </row>
    <row r="26" spans="2:13" x14ac:dyDescent="0.25">
      <c r="B26" t="str">
        <f t="shared" si="0"/>
        <v>"GAIL","open":"381.70","high":"385.95","low":"377.80","ltP":"378.65","ptsC":"-1.55","per":"-0.41","trdVol":"12.99","trdVolM":"1.30","ntP":"49.81","mVal":"0.50","wkhi":"417.90","wklo":"260.05","wkhicm_adj":"551.90","wklocm_adj":"328.80","xDt":"31-DEC-2999","cAct":"-","yPC":"-0.60","mPC":"4.31"</v>
      </c>
      <c r="C26" s="5" t="s">
        <v>24</v>
      </c>
      <c r="D26" s="6" t="str">
        <f t="shared" si="1"/>
        <v>381.70</v>
      </c>
      <c r="E26" s="6" t="str">
        <f t="shared" si="1"/>
        <v>385.95</v>
      </c>
      <c r="F26" s="6" t="str">
        <f t="shared" si="1"/>
        <v>377.80</v>
      </c>
      <c r="G26" s="6" t="str">
        <f t="shared" si="1"/>
        <v>378.65</v>
      </c>
      <c r="H26" s="7" t="str">
        <f t="shared" si="3"/>
        <v xml:space="preserve">   </v>
      </c>
      <c r="I26" s="8" t="str">
        <f t="shared" si="4"/>
        <v xml:space="preserve">   </v>
      </c>
      <c r="J26" s="9" t="str">
        <f t="shared" si="5"/>
        <v xml:space="preserve">   </v>
      </c>
      <c r="K26" s="10" t="str">
        <f t="shared" si="12"/>
        <v xml:space="preserve">   </v>
      </c>
      <c r="M26" s="13"/>
    </row>
    <row r="27" spans="2:13" x14ac:dyDescent="0.25">
      <c r="B27" t="str">
        <f t="shared" si="0"/>
        <v>"GRASIM","open":"4,335.00","high":"4,385.00","low":"4,330.10","ltP":"4,360.00","ptsC":"29.00","per":"0.67","trdVol":"0.51","trdVolM":"0.05","ntP":"22.28","mVal":"0.22","wkhi":"4,385.00","wklo":"3,233.00","wkhicm_adj":"3,789.00","wklocm_adj":"2,426.35","xDt":"31-DEC-2999","cAct":"-","yPC":"21.83","mPC":"6.67"</v>
      </c>
      <c r="C27" s="5" t="s">
        <v>25</v>
      </c>
      <c r="D27" s="6" t="str">
        <f t="shared" si="1"/>
        <v>4,335.00</v>
      </c>
      <c r="E27" s="6" t="str">
        <f t="shared" si="1"/>
        <v>4,385.00</v>
      </c>
      <c r="F27" s="6" t="str">
        <f t="shared" si="1"/>
        <v>4,330.10</v>
      </c>
      <c r="G27" s="6" t="str">
        <f t="shared" si="1"/>
        <v>4,360.00</v>
      </c>
      <c r="H27" s="7" t="str">
        <f t="shared" si="3"/>
        <v xml:space="preserve">   </v>
      </c>
      <c r="I27" s="8" t="str">
        <f t="shared" si="4"/>
        <v xml:space="preserve">   </v>
      </c>
      <c r="J27" s="9" t="str">
        <f t="shared" si="5"/>
        <v xml:space="preserve">   </v>
      </c>
      <c r="K27" s="10" t="str">
        <f t="shared" si="12"/>
        <v xml:space="preserve">   </v>
      </c>
      <c r="M27" s="13"/>
    </row>
    <row r="28" spans="2:13" x14ac:dyDescent="0.25">
      <c r="B28" t="str">
        <f t="shared" si="0"/>
        <v>"HCLTECH","open":"742.60","high":"759.70","low":"742.60","ltP":"756.00","ptsC":"15.10","per":"2.04","trdVol":"30.45","trdVolM":"3.05","ntP":"229.36","mVal":"2.29","wkhi":"1,044.95","wklo":"706.40","wkhicm_adj":"1,776.25","wklocm_adj":"1,057.60","xDt":"05-MAY-2016","cAct":"INTERIM DIVIDEND - RS 6\/- PER SHARE (PURPOSE REVISED)","yPC":"-23.75","mPC":"-11.04"</v>
      </c>
      <c r="C28" s="5" t="s">
        <v>26</v>
      </c>
      <c r="D28" s="6" t="str">
        <f t="shared" si="1"/>
        <v>742.60</v>
      </c>
      <c r="E28" s="6" t="str">
        <f t="shared" si="1"/>
        <v>759.70</v>
      </c>
      <c r="F28" s="6" t="str">
        <f t="shared" si="1"/>
        <v>742.60</v>
      </c>
      <c r="G28" s="6" t="str">
        <f t="shared" si="1"/>
        <v>756.00</v>
      </c>
      <c r="H28" s="7" t="str">
        <f t="shared" si="3"/>
        <v xml:space="preserve">LONG </v>
      </c>
      <c r="I28" s="8">
        <f t="shared" si="4"/>
        <v>747</v>
      </c>
      <c r="J28" s="9">
        <f t="shared" si="5"/>
        <v>738.88700000000006</v>
      </c>
      <c r="K28" s="10">
        <f t="shared" si="12"/>
        <v>1.2048192771084338E-2</v>
      </c>
      <c r="M28" s="13"/>
    </row>
    <row r="29" spans="2:13" x14ac:dyDescent="0.25">
      <c r="B29" t="str">
        <f>MID($E$1,FIND(C29,$E$1,FIND(C29,$E$1)+1)-1,FIND("}",$E$1,FIND(C29,$E$1))-FIND(C29,$E$1)+1)</f>
        <v>"HDFCBANK","open":"1,183.25","high":"1,190.00","low":"1,176.70","ltP":"1,181.35","ptsC":"-1.90","per":"-0.16","trdVol":"14.44","trdVolM":"1.44","ntP":"171.17","mVal":"1.71","wkhi":"1,190.00","wklo":"928.00","wkhicm_adj":"965.90","wklocm_adj":"616.80","xDt":"31-DEC-2999","cAct":"-","yPC":"13.79","mPC":"6.06"},{"symbol":"POWERGRID","open":"151.40","high":"152.</v>
      </c>
      <c r="C29" s="5" t="s">
        <v>27</v>
      </c>
      <c r="D29" s="6" t="str">
        <f t="shared" si="1"/>
        <v>1,183.25</v>
      </c>
      <c r="E29" s="6" t="str">
        <f t="shared" si="1"/>
        <v>1,190.00</v>
      </c>
      <c r="F29" s="6" t="str">
        <f t="shared" si="1"/>
        <v>1,176.70</v>
      </c>
      <c r="G29" s="6" t="str">
        <f t="shared" si="1"/>
        <v>1,181.35</v>
      </c>
      <c r="H29" s="7" t="str">
        <f t="shared" si="3"/>
        <v xml:space="preserve">   </v>
      </c>
      <c r="I29" s="8" t="str">
        <f t="shared" si="4"/>
        <v xml:space="preserve">   </v>
      </c>
      <c r="J29" s="9" t="str">
        <f t="shared" si="5"/>
        <v xml:space="preserve">   </v>
      </c>
      <c r="K29" s="10" t="str">
        <f t="shared" si="12"/>
        <v xml:space="preserve">   </v>
      </c>
      <c r="M29" s="13"/>
    </row>
    <row r="30" spans="2:13" x14ac:dyDescent="0.25">
      <c r="B30" t="str">
        <f t="shared" si="0"/>
        <v>"HDFCBANK","open":"1,183.25","high":"1,190.00","low":"1,176.70","ltP":"1,181.35","ptsC":"-1.90","per":"-0.16","trdVol":"14.44","trdVolM":"1.44","ntP":"171.17","mVal":"1.71","wkhi":"1,190.00","wklo":"928.00","wkhicm_adj":"965.90","wklocm_adj":"616.80","xDt":"31-DEC-2999","cAct":"-","yPC":"13.79","mPC":"6.06"</v>
      </c>
      <c r="C30" s="5" t="s">
        <v>28</v>
      </c>
      <c r="D30" s="6" t="str">
        <f t="shared" si="1"/>
        <v>1,183.25</v>
      </c>
      <c r="E30" s="6" t="str">
        <f t="shared" si="1"/>
        <v>1,190.00</v>
      </c>
      <c r="F30" s="6" t="str">
        <f t="shared" si="1"/>
        <v>1,176.70</v>
      </c>
      <c r="G30" s="6" t="str">
        <f t="shared" si="1"/>
        <v>1,181.35</v>
      </c>
      <c r="H30" s="7" t="str">
        <f t="shared" si="3"/>
        <v xml:space="preserve">   </v>
      </c>
      <c r="I30" s="8" t="str">
        <f t="shared" si="4"/>
        <v xml:space="preserve">   </v>
      </c>
      <c r="J30" s="9" t="str">
        <f t="shared" si="5"/>
        <v xml:space="preserve">   </v>
      </c>
      <c r="K30" s="10" t="str">
        <f t="shared" si="12"/>
        <v xml:space="preserve">   </v>
      </c>
      <c r="M30" s="13"/>
    </row>
    <row r="31" spans="2:13" x14ac:dyDescent="0.25">
      <c r="B31" t="str">
        <f t="shared" si="0"/>
        <v>"HEROMOTOCO","open":"2,962.05","high":"3,010.05","low":"2,962.00","ltP":"2,995.00","ptsC":"32.80","per":"1.11","trdVol":"4.00","trdVolM":"0.40","ntP":"119.93","mVal":"1.20","wkhi":"3,172.00","wklo":"2,257.20","wkhicm_adj":"3,269.95","wklocm_adj":"1,907.10","xDt":"21-MAR-2016","cAct":"INTERIM DIVIDEND - RS 40\/- PER SHARE","yPC":"14.91","mPC":"2.15"</v>
      </c>
      <c r="C31" s="5" t="s">
        <v>29</v>
      </c>
      <c r="D31" s="6" t="str">
        <f t="shared" si="1"/>
        <v>2,962.05</v>
      </c>
      <c r="E31" s="6" t="str">
        <f t="shared" si="1"/>
        <v>3,010.05</v>
      </c>
      <c r="F31" s="6" t="str">
        <f t="shared" si="1"/>
        <v>2,962.00</v>
      </c>
      <c r="G31" s="6" t="str">
        <f t="shared" si="1"/>
        <v>2,995.00</v>
      </c>
      <c r="H31" s="7" t="str">
        <f t="shared" si="3"/>
        <v xml:space="preserve">   </v>
      </c>
      <c r="I31" s="8" t="str">
        <f t="shared" si="4"/>
        <v xml:space="preserve">   </v>
      </c>
      <c r="J31" s="9" t="str">
        <f t="shared" si="5"/>
        <v xml:space="preserve">   </v>
      </c>
      <c r="K31" s="10" t="str">
        <f t="shared" si="12"/>
        <v xml:space="preserve">   </v>
      </c>
      <c r="M31" s="13"/>
    </row>
    <row r="32" spans="2:13" x14ac:dyDescent="0.25">
      <c r="B32" t="str">
        <f t="shared" si="0"/>
        <v>"HINDALCO","open":"91.00","high":"92.70","low":"90.85","ltP":"92.00","ptsC":"1.70","per":"1.88","trdVol":"115.44","trdVolM":"11.54","ntP":"106.05","mVal":"1.06","wkhi":"134.60","wklo":"58.80","wkhicm_adj":"198.90","wklocm_adj":"96.70","xDt":"31-DEC-2999","cAct":"-","yPC":"-31.11","mPC":"-10.81"</v>
      </c>
      <c r="C32" s="5" t="s">
        <v>30</v>
      </c>
      <c r="D32" s="6" t="str">
        <f t="shared" ref="D32:G52" si="17">MID($B32,FIND(D$9,$B32)+LEN(D$9)+3,FIND(CHAR(34),$B32,FIND(D$9,$B32)+LEN(D$9)+3)-(FIND(D$9,$B32)+LEN(D$9)+3))</f>
        <v>91.00</v>
      </c>
      <c r="E32" s="6" t="str">
        <f t="shared" si="17"/>
        <v>92.70</v>
      </c>
      <c r="F32" s="6" t="str">
        <f t="shared" si="17"/>
        <v>90.85</v>
      </c>
      <c r="G32" s="6" t="str">
        <f t="shared" si="17"/>
        <v>92.00</v>
      </c>
      <c r="H32" s="7" t="str">
        <f t="shared" si="3"/>
        <v xml:space="preserve">   </v>
      </c>
      <c r="I32" s="8" t="str">
        <f t="shared" si="4"/>
        <v xml:space="preserve">   </v>
      </c>
      <c r="J32" s="9" t="str">
        <f t="shared" si="5"/>
        <v xml:space="preserve">   </v>
      </c>
      <c r="K32" s="10" t="str">
        <f t="shared" si="12"/>
        <v xml:space="preserve">   </v>
      </c>
      <c r="M32" s="13"/>
    </row>
    <row r="33" spans="2:13" x14ac:dyDescent="0.25">
      <c r="B33" t="str">
        <f t="shared" si="0"/>
        <v>"HINDUNILVR","open":"851.35","high":"865.95","low":"850.50","ltP":"861.00","ptsC":"10.65","per":"1.25","trdVol":"15.31","trdVolM":"1.53","ntP":"131.79","mVal":"1.32","wkhi":"944.00","wklo":"766.40","wkhicm_adj":"814.85","wklocm_adj":"537.20","xDt":"31-DEC-2999","cAct":"-","yPC":"0.38","mPC":"-2.79"</v>
      </c>
      <c r="C33" s="5" t="s">
        <v>31</v>
      </c>
      <c r="D33" s="6" t="str">
        <f t="shared" si="17"/>
        <v>851.35</v>
      </c>
      <c r="E33" s="6" t="str">
        <f t="shared" si="17"/>
        <v>865.95</v>
      </c>
      <c r="F33" s="6" t="str">
        <f t="shared" si="17"/>
        <v>850.50</v>
      </c>
      <c r="G33" s="6" t="str">
        <f t="shared" si="17"/>
        <v>861.00</v>
      </c>
      <c r="H33" s="7" t="str">
        <f t="shared" si="3"/>
        <v xml:space="preserve">   </v>
      </c>
      <c r="I33" s="8" t="str">
        <f t="shared" si="4"/>
        <v xml:space="preserve">   </v>
      </c>
      <c r="J33" s="9" t="str">
        <f t="shared" si="5"/>
        <v xml:space="preserve">   </v>
      </c>
      <c r="K33" s="10" t="str">
        <f t="shared" si="12"/>
        <v xml:space="preserve">   </v>
      </c>
      <c r="M33" s="13"/>
    </row>
    <row r="34" spans="2:13" x14ac:dyDescent="0.25">
      <c r="B34" t="str">
        <f t="shared" si="0"/>
        <v>"ICICIBANK","open":"239.00","high":"248.20","low":"238.10","ltP":"241.90","ptsC":"0.75","per":"0.31","trdVol":"241.66","trdVolM":"24.17","ntP":"590.26","mVal":"5.90","wkhi":"321.00","wklo":"180.75","wkhicm_adj":"1,779.00","wklocm_adj":"943.60","xDt":"31-DEC-2999","cAct":"-","yPC":"-22.75","mPC":"-4.78"</v>
      </c>
      <c r="C34" s="5" t="s">
        <v>32</v>
      </c>
      <c r="D34" s="6" t="str">
        <f t="shared" si="17"/>
        <v>239.00</v>
      </c>
      <c r="E34" s="6" t="str">
        <f t="shared" si="17"/>
        <v>248.20</v>
      </c>
      <c r="F34" s="6" t="str">
        <f t="shared" si="17"/>
        <v>238.10</v>
      </c>
      <c r="G34" s="6" t="str">
        <f t="shared" si="17"/>
        <v>241.90</v>
      </c>
      <c r="H34" s="7" t="str">
        <f t="shared" si="3"/>
        <v xml:space="preserve">   </v>
      </c>
      <c r="I34" s="8" t="str">
        <f t="shared" si="4"/>
        <v xml:space="preserve">   </v>
      </c>
      <c r="J34" s="9" t="str">
        <f t="shared" si="5"/>
        <v xml:space="preserve">   </v>
      </c>
      <c r="K34" s="10" t="str">
        <f t="shared" si="12"/>
        <v xml:space="preserve">   </v>
      </c>
      <c r="M34" s="13"/>
    </row>
    <row r="35" spans="2:13" x14ac:dyDescent="0.25">
      <c r="B35" t="str">
        <f t="shared" si="0"/>
        <v>"IDEA","open":"113.90","high":"115.40","low":"112.00","ltP":"112.65","ptsC":"-1.15","per":"-1.01","trdVol":"43.27","trdVolM":"4.33","ntP":"49.34","mVal":"0.49","wkhi":"186.50","wklo":"97.20","wkhicm_adj":"183.70","wklocm_adj":"125.10","xDt":"31-DEC-2999","cAct":"-","yPC":"-33.75","mPC":"-8.97"</v>
      </c>
      <c r="C35" s="5" t="s">
        <v>33</v>
      </c>
      <c r="D35" s="6" t="str">
        <f t="shared" si="17"/>
        <v>113.90</v>
      </c>
      <c r="E35" s="6" t="str">
        <f t="shared" si="17"/>
        <v>115.40</v>
      </c>
      <c r="F35" s="6" t="str">
        <f t="shared" si="17"/>
        <v>112.00</v>
      </c>
      <c r="G35" s="6" t="str">
        <f t="shared" si="17"/>
        <v>112.65</v>
      </c>
      <c r="H35" s="7" t="str">
        <f t="shared" si="3"/>
        <v xml:space="preserve">   </v>
      </c>
      <c r="I35" s="8" t="str">
        <f t="shared" si="4"/>
        <v xml:space="preserve">   </v>
      </c>
      <c r="J35" s="9" t="str">
        <f t="shared" si="5"/>
        <v xml:space="preserve">   </v>
      </c>
      <c r="K35" s="10" t="str">
        <f t="shared" si="12"/>
        <v xml:space="preserve">   </v>
      </c>
      <c r="M35" s="13"/>
    </row>
    <row r="36" spans="2:13" x14ac:dyDescent="0.25">
      <c r="B36" t="str">
        <f t="shared" si="0"/>
        <v>"INDUSINDBK","open":"1,101.25","high":"1,111.85","low":"1,099.15","ltP":"1,103.40","ptsC":"-0.50","per":"-0.05","trdVol":"13.77","trdVolM":"1.38","ntP":"152.03","mVal":"1.52","wkhi":"1,111.85","wklo":"784.00","wkhicm_adj":"776.00","wklocm_adj":"369.50","xDt":"31-DEC-2999","cAct":"-","yPC":"28.26","mPC":"8.03"</v>
      </c>
      <c r="C36" s="5" t="s">
        <v>34</v>
      </c>
      <c r="D36" s="6" t="str">
        <f t="shared" si="17"/>
        <v>1,101.25</v>
      </c>
      <c r="E36" s="6" t="str">
        <f t="shared" si="17"/>
        <v>1,111.85</v>
      </c>
      <c r="F36" s="6" t="str">
        <f t="shared" si="17"/>
        <v>1,099.15</v>
      </c>
      <c r="G36" s="6" t="str">
        <f t="shared" si="17"/>
        <v>1,103.40</v>
      </c>
      <c r="H36" s="7" t="str">
        <f t="shared" si="3"/>
        <v xml:space="preserve">   </v>
      </c>
      <c r="I36" s="8" t="str">
        <f t="shared" si="4"/>
        <v xml:space="preserve">   </v>
      </c>
      <c r="J36" s="9" t="str">
        <f t="shared" si="5"/>
        <v xml:space="preserve">   </v>
      </c>
      <c r="K36" s="10" t="str">
        <f t="shared" si="12"/>
        <v xml:space="preserve">   </v>
      </c>
      <c r="M36" s="13"/>
    </row>
    <row r="37" spans="2:13" x14ac:dyDescent="0.25">
      <c r="B37" t="str">
        <f t="shared" ref="B37" si="18">MID($E$1,FIND(C37,$E$1)-1,FIND("}",$E$1,FIND(C37,$E$1))-FIND(C37,$E$1)+1)</f>
        <v>"INFRATEL","open":"388.15","high":"391.65","low":"385.10","ltP":"385.90","ptsC":"-4.25","per":"-1.09","trdVol":"15.13","trdVolM":"1.51","ntP":"58.75","mVal":"0.59","wkhi":"499.65","wklo":"341.35","wkhicm_adj":"322.00","wklocm_adj":"156.00","xDt":"31-DEC-2999","cAct":"-","yPC":"-11.86","mPC":"6.29"</v>
      </c>
      <c r="C37" s="5" t="s">
        <v>65</v>
      </c>
      <c r="D37" s="6" t="str">
        <f t="shared" si="17"/>
        <v>388.15</v>
      </c>
      <c r="E37" s="6" t="str">
        <f t="shared" si="17"/>
        <v>391.65</v>
      </c>
      <c r="F37" s="6" t="str">
        <f t="shared" si="17"/>
        <v>385.10</v>
      </c>
      <c r="G37" s="6" t="str">
        <f t="shared" si="17"/>
        <v>385.90</v>
      </c>
      <c r="H37" s="7" t="str">
        <f t="shared" si="3"/>
        <v xml:space="preserve">   </v>
      </c>
      <c r="I37" s="8" t="str">
        <f t="shared" ref="I37" si="19">IF(AND(E37=0,F37=0,D37=0),"  ",IF(D37=F37,ROUND(((SQRT(F37) +0.0833) ^2),0),IF(E37=D37,ROUND(((SQRT(E37) -0.0833) ^2),0),IF(E37&lt;&gt;F37&lt;&gt;D37,"   "))))</f>
        <v xml:space="preserve">   </v>
      </c>
      <c r="J37" s="9" t="str">
        <f t="shared" ref="J37" si="20">IF(AND(E37=0, F37=0, D37=0),"  ",IF(E37= D37,D37+0.005*D37,IF(F37= D37,D37-0.005*D37,IF(E37&lt;&gt; F37&lt;&gt; D37,"   "))))</f>
        <v xml:space="preserve">   </v>
      </c>
      <c r="K37" s="10" t="str">
        <f t="shared" ref="K37" si="21">IF(AND(E37=0, F37=0, D37=0),"  ",IF(E37= D37,(I37-G37)/I37,IF(F37= D37,(G37-I37)/I37,IF(E37&lt;&gt; F37&lt;&gt; D37,"   "))))</f>
        <v xml:space="preserve">   </v>
      </c>
      <c r="M37" s="13"/>
    </row>
    <row r="38" spans="2:13" x14ac:dyDescent="0.25">
      <c r="B38" t="str">
        <f t="shared" si="0"/>
        <v>"INFY","open":"1,231.60","high":"1,259.50","low":"1,231.60","ltP":"1,245.00","ptsC":"10.85","per":"0.88","trdVol":"30.90","trdVolM":"3.09","ntP":"386.15","mVal":"3.86","wkhi":"1,267.90","wklo":"932.65","wkhicm_adj":"4,402.20","wklocm_adj":"2,880.00","xDt":"31-DEC-2999","cAct":"-","yPC":"26.49","mPC":"1.04"</v>
      </c>
      <c r="C38" s="5" t="s">
        <v>35</v>
      </c>
      <c r="D38" s="6" t="str">
        <f t="shared" si="17"/>
        <v>1,231.60</v>
      </c>
      <c r="E38" s="6" t="str">
        <f t="shared" si="17"/>
        <v>1,259.50</v>
      </c>
      <c r="F38" s="6" t="str">
        <f t="shared" si="17"/>
        <v>1,231.60</v>
      </c>
      <c r="G38" s="6" t="str">
        <f t="shared" si="17"/>
        <v>1,245.00</v>
      </c>
      <c r="H38" s="7" t="str">
        <f t="shared" si="3"/>
        <v xml:space="preserve">LONG </v>
      </c>
      <c r="I38" s="8">
        <f t="shared" si="4"/>
        <v>1237</v>
      </c>
      <c r="J38" s="9">
        <f t="shared" si="5"/>
        <v>1225.442</v>
      </c>
      <c r="K38" s="10">
        <f t="shared" si="12"/>
        <v>6.4672594987873885E-3</v>
      </c>
      <c r="M38" s="13"/>
    </row>
    <row r="39" spans="2:13" x14ac:dyDescent="0.25">
      <c r="B39" t="str">
        <f t="shared" si="0"/>
        <v>"ITC","open":"362.95","high":"363.90","low":"356.20","ltP":"359.50","ptsC":"-2.95","per":"-0.81","trdVol":"70.13","trdVolM":"7.01","ntP":"252.23","mVal":"2.52","wkhi":"364.00","wklo":"268.00","wkhicm_adj":"387.50","wklocm_adj":"307.55","xDt":"31-DEC-2999","cAct":"-","yPC":"13.16","mPC":"9.80"</v>
      </c>
      <c r="C39" s="5" t="s">
        <v>36</v>
      </c>
      <c r="D39" s="6" t="str">
        <f t="shared" si="17"/>
        <v>362.95</v>
      </c>
      <c r="E39" s="6" t="str">
        <f t="shared" si="17"/>
        <v>363.90</v>
      </c>
      <c r="F39" s="6" t="str">
        <f t="shared" si="17"/>
        <v>356.20</v>
      </c>
      <c r="G39" s="6" t="str">
        <f t="shared" si="17"/>
        <v>359.50</v>
      </c>
      <c r="H39" s="7" t="str">
        <f t="shared" si="3"/>
        <v xml:space="preserve">   </v>
      </c>
      <c r="I39" s="8" t="str">
        <f t="shared" si="4"/>
        <v xml:space="preserve">   </v>
      </c>
      <c r="J39" s="9" t="str">
        <f t="shared" si="5"/>
        <v xml:space="preserve">   </v>
      </c>
      <c r="K39" s="10" t="str">
        <f t="shared" si="12"/>
        <v xml:space="preserve">   </v>
      </c>
      <c r="M39" s="13"/>
    </row>
    <row r="40" spans="2:13" x14ac:dyDescent="0.25">
      <c r="B40" t="str">
        <f t="shared" si="0"/>
        <v>"KOTAKBANK","open":"734.40","high":"744.65","low":"733.10","ltP":"738.10","ptsC":"7.90","per":"1.08","trdVol":"12.94","trdVolM":"1.29","ntP":"95.53","mVal":"0.96","wkhi":"744.80","wklo":"585.75","wkhicm_adj":"1,264.70","wklocm_adj":"630.50","xDt":"31-DEC-2999","cAct":"-","yPC":"7.40","mPC":"5.31"</v>
      </c>
      <c r="C40" s="5" t="s">
        <v>37</v>
      </c>
      <c r="D40" s="6" t="str">
        <f t="shared" si="17"/>
        <v>734.40</v>
      </c>
      <c r="E40" s="6" t="str">
        <f t="shared" si="17"/>
        <v>744.65</v>
      </c>
      <c r="F40" s="6" t="str">
        <f t="shared" si="17"/>
        <v>733.10</v>
      </c>
      <c r="G40" s="6" t="str">
        <f t="shared" si="17"/>
        <v>738.10</v>
      </c>
      <c r="H40" s="7" t="str">
        <f t="shared" si="3"/>
        <v xml:space="preserve">   </v>
      </c>
      <c r="I40" s="8" t="str">
        <f t="shared" si="4"/>
        <v xml:space="preserve">   </v>
      </c>
      <c r="J40" s="9" t="str">
        <f t="shared" si="5"/>
        <v xml:space="preserve">   </v>
      </c>
      <c r="K40" s="10" t="str">
        <f t="shared" si="12"/>
        <v xml:space="preserve">   </v>
      </c>
      <c r="M40" s="13"/>
    </row>
    <row r="41" spans="2:13" x14ac:dyDescent="0.25">
      <c r="B41" s="11" t="str">
        <f>MID($E$1,FIND(C41,$E$1,FIND(C41,E1,FIND(C41,E1)+1)+1)-1,FIND("}",$E$1,FIND(C41,$E$1))-FIND(C41,$E$1)+1)</f>
        <v>HLTD","open":"21,817.40","high":"22,099.00","low":"21,654.25","ltP":"21,900.00","ptsC":"82.65","per":"0.38","trdVol":"0.18","trdVolM":"0.02","ntP":"39.50","mVal":"0.40","wkhi":"26,719.95","wklo":"15,736.05","wkhicm_adj":"19,570.00","wklocm_adj":"8,450.00","xDt":"31-DEC-2999","cAct":"-","yPC":"-4.92","mPC":"7.56"},{"symbol":"MARUTI","open":"4,114.70","hig</v>
      </c>
      <c r="C41" s="5" t="s">
        <v>38</v>
      </c>
      <c r="D41" s="6" t="str">
        <f t="shared" si="17"/>
        <v>21,817.40</v>
      </c>
      <c r="E41" s="6" t="str">
        <f t="shared" si="17"/>
        <v>22,099.00</v>
      </c>
      <c r="F41" s="6" t="str">
        <f t="shared" si="17"/>
        <v>21,654.25</v>
      </c>
      <c r="G41" s="6" t="str">
        <f t="shared" si="17"/>
        <v>21,900.00</v>
      </c>
      <c r="H41" s="7" t="str">
        <f t="shared" si="3"/>
        <v xml:space="preserve">   </v>
      </c>
      <c r="I41" s="8" t="str">
        <f t="shared" si="4"/>
        <v xml:space="preserve">   </v>
      </c>
      <c r="J41" s="9" t="str">
        <f t="shared" si="5"/>
        <v xml:space="preserve">   </v>
      </c>
      <c r="K41" s="10" t="str">
        <f t="shared" si="12"/>
        <v xml:space="preserve">   </v>
      </c>
      <c r="M41" s="13"/>
    </row>
    <row r="42" spans="2:13" x14ac:dyDescent="0.25">
      <c r="B42" t="str">
        <f t="shared" si="0"/>
        <v>"LUPIN","open":"1,489.00","high":"1,535.45","low":"1,475.05","ltP":"1,482.65","ptsC":"12.70","per":"0.86","trdVol":"31.23","trdVolM":"3.12","ntP":"469.38","mVal":"4.69","wkhi":"2,129.00","wklo":"1,280.00","wkhicm_adj":"1,497.50","wklocm_adj":"851.50","xDt":"31-DEC-2999","cAct":"-","yPC":"-15.38","mPC":"-6.11"</v>
      </c>
      <c r="C42" s="5" t="s">
        <v>39</v>
      </c>
      <c r="D42" s="6" t="str">
        <f t="shared" si="17"/>
        <v>1,489.00</v>
      </c>
      <c r="E42" s="6" t="str">
        <f t="shared" si="17"/>
        <v>1,535.45</v>
      </c>
      <c r="F42" s="6" t="str">
        <f t="shared" si="17"/>
        <v>1,475.05</v>
      </c>
      <c r="G42" s="6" t="str">
        <f t="shared" si="17"/>
        <v>1,482.65</v>
      </c>
      <c r="H42" s="7" t="str">
        <f t="shared" si="3"/>
        <v xml:space="preserve">   </v>
      </c>
      <c r="I42" s="8" t="str">
        <f t="shared" si="4"/>
        <v xml:space="preserve">   </v>
      </c>
      <c r="J42" s="9" t="str">
        <f t="shared" si="5"/>
        <v xml:space="preserve">   </v>
      </c>
      <c r="K42" s="10" t="str">
        <f t="shared" si="12"/>
        <v xml:space="preserve">   </v>
      </c>
      <c r="M42" s="13"/>
    </row>
    <row r="43" spans="2:13" x14ac:dyDescent="0.25">
      <c r="B43" t="str">
        <f t="shared" si="0"/>
        <v>"M&amp;M","open":"1,339.00","high":"1,362.00","low":"1,327.55","ltP":"1,334.00","ptsC":"-5.10","per":"-0.38","trdVol":"7.37","trdVolM":"0.74","ntP":"98.83","mVal":"0.99","wkhi":"1,442.05","wklo":"1,091.25","wkhicm_adj":"1,433.70","wklocm_adj":"846.60","xDt":"31-DEC-2999","cAct":"-","yPC":"9.09","mPC":"-1.47"</v>
      </c>
      <c r="C43" s="5" t="s">
        <v>40</v>
      </c>
      <c r="D43" s="6" t="str">
        <f t="shared" si="17"/>
        <v>1,339.00</v>
      </c>
      <c r="E43" s="6" t="str">
        <f t="shared" si="17"/>
        <v>1,362.00</v>
      </c>
      <c r="F43" s="6" t="str">
        <f t="shared" si="17"/>
        <v>1,327.55</v>
      </c>
      <c r="G43" s="6" t="str">
        <f t="shared" si="17"/>
        <v>1,334.00</v>
      </c>
      <c r="H43" s="7" t="str">
        <f t="shared" si="3"/>
        <v xml:space="preserve">   </v>
      </c>
      <c r="I43" s="8" t="str">
        <f t="shared" si="4"/>
        <v xml:space="preserve">   </v>
      </c>
      <c r="J43" s="9" t="str">
        <f t="shared" si="5"/>
        <v xml:space="preserve">   </v>
      </c>
      <c r="K43" s="10" t="str">
        <f t="shared" si="12"/>
        <v xml:space="preserve">   </v>
      </c>
      <c r="M43" s="13"/>
    </row>
    <row r="44" spans="2:13" x14ac:dyDescent="0.25">
      <c r="B44" t="str">
        <f t="shared" si="0"/>
        <v>"MARUTI","open":"4,114.70","high":"4,162.00","low":"4,091.05","ltP":"4,132.20","ptsC":"14.20","per":"0.34","trdVol":"8.81","trdVolM":"0.88","ntP":"364.43","mVal":"3.64","wkhi":"4,790.00","wklo":"3,193.25","wkhicm_adj":"3,432.00","wklocm_adj":"1,540.40","xDt":"31-DEC-2999","cAct":"-","yPC":"11.02","mPC":"6.73"</v>
      </c>
      <c r="C44" s="5" t="s">
        <v>41</v>
      </c>
      <c r="D44" s="6" t="str">
        <f t="shared" si="17"/>
        <v>4,114.70</v>
      </c>
      <c r="E44" s="6" t="str">
        <f t="shared" si="17"/>
        <v>4,162.00</v>
      </c>
      <c r="F44" s="6" t="str">
        <f t="shared" si="17"/>
        <v>4,091.05</v>
      </c>
      <c r="G44" s="6" t="str">
        <f t="shared" si="17"/>
        <v>4,132.20</v>
      </c>
      <c r="H44" s="7" t="str">
        <f t="shared" si="3"/>
        <v xml:space="preserve">   </v>
      </c>
      <c r="I44" s="8" t="str">
        <f t="shared" si="4"/>
        <v xml:space="preserve">   </v>
      </c>
      <c r="J44" s="9" t="str">
        <f t="shared" si="5"/>
        <v xml:space="preserve">   </v>
      </c>
      <c r="K44" s="10" t="str">
        <f t="shared" si="12"/>
        <v xml:space="preserve">   </v>
      </c>
      <c r="M44" s="13"/>
    </row>
    <row r="45" spans="2:13" x14ac:dyDescent="0.25">
      <c r="B45" t="str">
        <f t="shared" ref="B45:B60" si="22">MID($E$1,FIND(C45,$E$1)-1,FIND("}",$E$1,FIND(C45,$E$1))-FIND(C45,$E$1)+1)</f>
        <v>"NTPC","open":"141.50","high":"141.70","low":"139.40","ltP":"140.20","ptsC":"-1.00","per":"-0.71","trdVol":"26.61","trdVolM":"2.66","ntP":"37.28","mVal":"0.37","wkhi":"148.85","wklo":"107.10","wkhicm_adj":"168.90","wklocm_adj":"110.65","xDt":"31-DEC-2999","cAct":"-","yPC":"4.43","mPC":"0.00"</v>
      </c>
      <c r="C45" s="5" t="s">
        <v>42</v>
      </c>
      <c r="D45" s="6" t="str">
        <f t="shared" si="17"/>
        <v>141.50</v>
      </c>
      <c r="E45" s="6" t="str">
        <f t="shared" si="17"/>
        <v>141.70</v>
      </c>
      <c r="F45" s="6" t="str">
        <f t="shared" si="17"/>
        <v>139.40</v>
      </c>
      <c r="G45" s="6" t="str">
        <f t="shared" si="17"/>
        <v>140.20</v>
      </c>
      <c r="H45" s="7" t="str">
        <f t="shared" si="3"/>
        <v xml:space="preserve">   </v>
      </c>
      <c r="I45" s="8" t="str">
        <f t="shared" si="4"/>
        <v xml:space="preserve">   </v>
      </c>
      <c r="J45" s="9" t="str">
        <f t="shared" si="5"/>
        <v xml:space="preserve">   </v>
      </c>
      <c r="K45" s="10" t="str">
        <f t="shared" si="12"/>
        <v xml:space="preserve">   </v>
      </c>
      <c r="M45" s="13"/>
    </row>
    <row r="46" spans="2:13" x14ac:dyDescent="0.25">
      <c r="B46" t="str">
        <f t="shared" si="22"/>
        <v>"ONGC","open":"218.00","high":"218.90","low":"211.80","ltP":"212.60","ptsC":"-3.45","per":"-1.60","trdVol":"66.96","trdVolM":"6.70","ntP":"143.97","mVal":"1.44","wkhi":"337.20","wklo":"187.75","wkhicm_adj":"471.85","wklocm_adj":"264.15","xDt":"16-MAR-2016","cAct":"INTERIM DIVIDEND - RE 0.75\/- PER SHARE (PURPOSE REVISED)","yPC":"-35.96","mPC":"-0.79"</v>
      </c>
      <c r="C46" s="5" t="s">
        <v>43</v>
      </c>
      <c r="D46" s="6" t="str">
        <f t="shared" si="17"/>
        <v>218.00</v>
      </c>
      <c r="E46" s="6" t="str">
        <f t="shared" si="17"/>
        <v>218.90</v>
      </c>
      <c r="F46" s="6" t="str">
        <f t="shared" si="17"/>
        <v>211.80</v>
      </c>
      <c r="G46" s="6" t="str">
        <f t="shared" si="17"/>
        <v>212.60</v>
      </c>
      <c r="H46" s="7" t="str">
        <f t="shared" si="3"/>
        <v xml:space="preserve">   </v>
      </c>
      <c r="I46" s="8" t="str">
        <f t="shared" si="4"/>
        <v xml:space="preserve">   </v>
      </c>
      <c r="J46" s="9" t="str">
        <f t="shared" si="5"/>
        <v xml:space="preserve">   </v>
      </c>
      <c r="K46" s="10" t="str">
        <f t="shared" si="12"/>
        <v xml:space="preserve">   </v>
      </c>
      <c r="M46" s="13"/>
    </row>
    <row r="47" spans="2:13" x14ac:dyDescent="0.25">
      <c r="B47" t="str">
        <f t="shared" si="22"/>
        <v>"POWERGRID","open":"151.40","high":"152.40","low":"148.80","ltP":"150.30","ptsC":"-0.30","per":"-0.20","trdVol":"42.95","trdVolM":"4.29","ntP":"64.69","mVal":"0.65","wkhi":"152.40","wklo":"120.55","wkhicm_adj":"150.90","wklocm_adj":"91.65","xDt":"31-DEC-2999","cAct":"-","yPC":"4.96","mPC":"3.55"</v>
      </c>
      <c r="C47" s="5" t="s">
        <v>45</v>
      </c>
      <c r="D47" s="6" t="str">
        <f t="shared" si="17"/>
        <v>151.40</v>
      </c>
      <c r="E47" s="6" t="str">
        <f t="shared" si="17"/>
        <v>152.40</v>
      </c>
      <c r="F47" s="6" t="str">
        <f t="shared" si="17"/>
        <v>148.80</v>
      </c>
      <c r="G47" s="6" t="str">
        <f t="shared" si="17"/>
        <v>150.30</v>
      </c>
      <c r="H47" s="7" t="str">
        <f t="shared" si="3"/>
        <v xml:space="preserve">   </v>
      </c>
      <c r="I47" s="8" t="str">
        <f t="shared" si="4"/>
        <v xml:space="preserve">   </v>
      </c>
      <c r="J47" s="9" t="str">
        <f t="shared" si="5"/>
        <v xml:space="preserve">   </v>
      </c>
      <c r="K47" s="10" t="str">
        <f t="shared" si="12"/>
        <v xml:space="preserve">   </v>
      </c>
      <c r="M47" s="13"/>
    </row>
    <row r="48" spans="2:13" x14ac:dyDescent="0.25">
      <c r="B48" t="str">
        <f t="shared" si="22"/>
        <v>"RELIANCE","open":"949.05","high":"976.90","low":"948.75","ltP":"973.10","ptsC":"26.25","per":"2.77","trdVol":"30.63","trdVolM":"3.06","ntP":"296.17","mVal":"2.96","wkhi":"1,089.75","wklo":"818.00","wkhicm_adj":"1,145.25","wklocm_adj":"793.10","xDt":"17-MAR-2016","cAct":"INTERIM DIVIDEND - RS 10.50\/- PER SHARE (PURPOSE REVISED)","yPC":"9.92","mPC":"-4.31"</v>
      </c>
      <c r="C48" s="5" t="s">
        <v>46</v>
      </c>
      <c r="D48" s="6" t="str">
        <f t="shared" si="17"/>
        <v>949.05</v>
      </c>
      <c r="E48" s="6" t="str">
        <f t="shared" si="17"/>
        <v>976.90</v>
      </c>
      <c r="F48" s="6" t="str">
        <f t="shared" si="17"/>
        <v>948.75</v>
      </c>
      <c r="G48" s="6" t="str">
        <f t="shared" si="17"/>
        <v>973.10</v>
      </c>
      <c r="H48" s="7" t="str">
        <f t="shared" si="3"/>
        <v xml:space="preserve">   </v>
      </c>
      <c r="I48" s="8" t="str">
        <f t="shared" si="4"/>
        <v xml:space="preserve">   </v>
      </c>
      <c r="J48" s="9" t="str">
        <f t="shared" si="5"/>
        <v xml:space="preserve">   </v>
      </c>
      <c r="K48" s="10" t="str">
        <f t="shared" si="12"/>
        <v xml:space="preserve">   </v>
      </c>
      <c r="M48" s="13"/>
    </row>
    <row r="49" spans="2:13" x14ac:dyDescent="0.25">
      <c r="B49" t="str">
        <f t="shared" si="22"/>
        <v>"SBIN","open":"184.00","high":"202.40","low":"181.50","ltP":"201.30","ptsC":"17.15","per":"9.31","trdVol":"855.86","trdVolM":"85.59","ntP":"1,620.82","mVal":"16.21","wkhi":"291.80","wklo":"148.25","wkhicm_adj":"326.95","wklocm_adj":"145.51","xDt":"31-DEC-2999","cAct":"-","yPC":"-28.30","mPC":"0.17"</v>
      </c>
      <c r="C49" s="5" t="s">
        <v>47</v>
      </c>
      <c r="D49" s="6" t="str">
        <f t="shared" si="17"/>
        <v>184.00</v>
      </c>
      <c r="E49" s="6" t="str">
        <f t="shared" si="17"/>
        <v>202.40</v>
      </c>
      <c r="F49" s="6" t="str">
        <f t="shared" si="17"/>
        <v>181.50</v>
      </c>
      <c r="G49" s="6" t="str">
        <f t="shared" si="17"/>
        <v>201.30</v>
      </c>
      <c r="H49" s="7" t="str">
        <f t="shared" si="3"/>
        <v xml:space="preserve">   </v>
      </c>
      <c r="I49" s="8" t="str">
        <f t="shared" si="4"/>
        <v xml:space="preserve">   </v>
      </c>
      <c r="J49" s="9" t="str">
        <f t="shared" si="5"/>
        <v xml:space="preserve">   </v>
      </c>
      <c r="K49" s="10" t="str">
        <f t="shared" si="12"/>
        <v xml:space="preserve">   </v>
      </c>
      <c r="M49" s="13"/>
    </row>
    <row r="50" spans="2:13" x14ac:dyDescent="0.25">
      <c r="B50" t="str">
        <f t="shared" si="22"/>
        <v>"SUNPHARMA","open":"795.00","high":"828.00","low":"790.10","ltP":"828.00","ptsC":"48.65","per":"6.24","trdVol":"36.75","trdVolM":"3.68","ntP":"299.81","mVal":"3.00","wkhi":"1,004.00","wklo":"704.00","wkhicm_adj":"932.50","wklocm_adj":"552.55","xDt":"31-DEC-2999","cAct":"-","yPC":"-15.12","mPC":"1.67"</v>
      </c>
      <c r="C50" s="5" t="s">
        <v>48</v>
      </c>
      <c r="D50" s="6" t="str">
        <f t="shared" si="17"/>
        <v>795.00</v>
      </c>
      <c r="E50" s="6" t="str">
        <f t="shared" si="17"/>
        <v>828.00</v>
      </c>
      <c r="F50" s="6" t="str">
        <f t="shared" si="17"/>
        <v>790.10</v>
      </c>
      <c r="G50" s="6" t="str">
        <f t="shared" si="17"/>
        <v>828.00</v>
      </c>
      <c r="H50" s="7" t="str">
        <f t="shared" si="3"/>
        <v xml:space="preserve">   </v>
      </c>
      <c r="I50" s="8" t="str">
        <f t="shared" si="4"/>
        <v xml:space="preserve">   </v>
      </c>
      <c r="J50" s="9" t="str">
        <f t="shared" si="5"/>
        <v xml:space="preserve">   </v>
      </c>
      <c r="K50" s="10" t="str">
        <f t="shared" si="12"/>
        <v xml:space="preserve">   </v>
      </c>
      <c r="M50" s="13"/>
    </row>
    <row r="51" spans="2:13" x14ac:dyDescent="0.25">
      <c r="B51" t="str">
        <f t="shared" si="22"/>
        <v>"TATAMOTORS","open":"400.00","high":"405.00","low":"396.00","ltP":"403.10","ptsC":"3.85","per":"0.96","trdVol":"90.36","trdVolM":"9.04","ntP":"362.38","mVal":"3.62","wkhi":"490.25","wklo":"265.80","wkhicm_adj":"550.70","wklocm_adj":"332.10","xDt":"31-DEC-2999","cAct":"-","yPC":"-14.55","mPC":"-3.81"</v>
      </c>
      <c r="C51" s="5" t="s">
        <v>49</v>
      </c>
      <c r="D51" s="6" t="str">
        <f t="shared" si="17"/>
        <v>400.00</v>
      </c>
      <c r="E51" s="6" t="str">
        <f t="shared" si="17"/>
        <v>405.00</v>
      </c>
      <c r="F51" s="6" t="str">
        <f t="shared" si="17"/>
        <v>396.00</v>
      </c>
      <c r="G51" s="6" t="str">
        <f t="shared" si="17"/>
        <v>403.10</v>
      </c>
      <c r="H51" s="7" t="str">
        <f t="shared" si="3"/>
        <v xml:space="preserve">   </v>
      </c>
      <c r="I51" s="8" t="str">
        <f t="shared" si="4"/>
        <v xml:space="preserve">   </v>
      </c>
      <c r="J51" s="9" t="str">
        <f t="shared" si="5"/>
        <v xml:space="preserve">   </v>
      </c>
      <c r="K51" s="10" t="str">
        <f t="shared" si="12"/>
        <v xml:space="preserve">   </v>
      </c>
      <c r="M51" s="13"/>
    </row>
    <row r="52" spans="2:13" x14ac:dyDescent="0.25">
      <c r="B52" t="str">
        <f t="shared" ref="B52" si="23">MID($E$1,FIND(C52,$E$1)-1,FIND("}",$E$1,FIND(C52,$E$1))-FIND(C52,$E$1)+1)</f>
        <v>"TATAMTRDVR","open":"272.35","high":"273.25","low":"269.00","ltP":"271.10","ptsC":"1.50","per":"0.56","trdVol":"26.37","trdVolM":"2.64","ntP":"71.45","mVal":"0.71","wkhi":"311.90","wklo":"200.20","wkhicm_adj":"391.35","wklocm_adj":"168.25","xDt":"31-DEC-2999","cAct":"-","yPC":"-9.00","mPC":"-11.55"</v>
      </c>
      <c r="C52" s="5" t="s">
        <v>66</v>
      </c>
      <c r="D52" s="6" t="str">
        <f t="shared" si="17"/>
        <v>272.35</v>
      </c>
      <c r="E52" s="6" t="str">
        <f t="shared" si="17"/>
        <v>273.25</v>
      </c>
      <c r="F52" s="6" t="str">
        <f t="shared" si="17"/>
        <v>269.00</v>
      </c>
      <c r="G52" s="6" t="str">
        <f t="shared" si="17"/>
        <v>271.10</v>
      </c>
      <c r="H52" s="7" t="str">
        <f t="shared" si="3"/>
        <v xml:space="preserve">   </v>
      </c>
      <c r="I52" s="8" t="str">
        <f t="shared" ref="I52" si="24">IF(AND(E52=0,F52=0,D52=0),"  ",IF(D52=F52,ROUND(((SQRT(F52) +0.0833) ^2),0),IF(E52=D52,ROUND(((SQRT(E52) -0.0833) ^2),0),IF(E52&lt;&gt;F52&lt;&gt;D52,"   "))))</f>
        <v xml:space="preserve">   </v>
      </c>
      <c r="J52" s="9" t="str">
        <f t="shared" ref="J52" si="25">IF(AND(E52=0, F52=0, D52=0),"  ",IF(E52= D52,D52+0.005*D52,IF(F52= D52,D52-0.005*D52,IF(E52&lt;&gt; F52&lt;&gt; D52,"   "))))</f>
        <v xml:space="preserve">   </v>
      </c>
      <c r="K52" s="10" t="str">
        <f t="shared" ref="K52" si="26">IF(AND(E52=0, F52=0, D52=0),"  ",IF(E52= D52,(I52-G52)/I52,IF(F52= D52,(G52-I52)/I52,IF(E52&lt;&gt; F52&lt;&gt; D52,"   "))))</f>
        <v xml:space="preserve">   </v>
      </c>
      <c r="M52" s="13"/>
    </row>
    <row r="53" spans="2:13" x14ac:dyDescent="0.25">
      <c r="B53" t="str">
        <f t="shared" si="22"/>
        <v>"TATAPOWER","open":"73.65","high":"74.80","low":"72.40","ltP":"72.55","ptsC":"-1.10","per":"-1.49","trdVol":"43.08","trdVolM":"4.31","ntP":"31.66","mVal":"0.32","wkhi":"76.85","wklo":"55.00","wkhicm_adj":"115.60","wklocm_adj":"68.65","xDt":"31-DEC-2999","cAct":"-","yPC":"-4.35","mPC":"0.76"</v>
      </c>
      <c r="C53" s="5" t="s">
        <v>50</v>
      </c>
      <c r="D53" s="6" t="str">
        <f t="shared" ref="D53:G60" si="27">MID($B53,FIND(D$9,$B53)+LEN(D$9)+3,FIND(CHAR(34),$B53,FIND(D$9,$B53)+LEN(D$9)+3)-(FIND(D$9,$B53)+LEN(D$9)+3))</f>
        <v>73.65</v>
      </c>
      <c r="E53" s="6" t="str">
        <f t="shared" si="27"/>
        <v>74.80</v>
      </c>
      <c r="F53" s="6" t="str">
        <f t="shared" si="27"/>
        <v>72.40</v>
      </c>
      <c r="G53" s="6" t="str">
        <f t="shared" si="27"/>
        <v>72.55</v>
      </c>
      <c r="H53" s="7" t="str">
        <f t="shared" si="3"/>
        <v xml:space="preserve">   </v>
      </c>
      <c r="I53" s="8" t="str">
        <f t="shared" si="4"/>
        <v xml:space="preserve">   </v>
      </c>
      <c r="J53" s="9" t="str">
        <f t="shared" si="5"/>
        <v xml:space="preserve">   </v>
      </c>
      <c r="K53" s="10" t="str">
        <f t="shared" si="12"/>
        <v xml:space="preserve">   </v>
      </c>
      <c r="M53" s="13"/>
    </row>
    <row r="54" spans="2:13" x14ac:dyDescent="0.25">
      <c r="B54" t="str">
        <f t="shared" si="22"/>
        <v>"TATASTEEL","open":"326.00","high":"332.00","low":"324.55","ltP":"331.05","ptsC":"5.85","per":"1.80","trdVol":"44.04","trdVolM":"4.40","ntP":"144.44","mVal":"1.44","wkhi":"364.05","wklo":"199.70","wkhicm_adj":"579.90","wklocm_adj":"332.00","xDt":"31-DEC-2999","cAct":"-","yPC":"0.88","mPC":"-7.68"</v>
      </c>
      <c r="C54" s="5" t="s">
        <v>51</v>
      </c>
      <c r="D54" s="6" t="str">
        <f t="shared" si="27"/>
        <v>326.00</v>
      </c>
      <c r="E54" s="6" t="str">
        <f t="shared" si="27"/>
        <v>332.00</v>
      </c>
      <c r="F54" s="6" t="str">
        <f t="shared" si="27"/>
        <v>324.55</v>
      </c>
      <c r="G54" s="6" t="str">
        <f t="shared" si="27"/>
        <v>331.05</v>
      </c>
      <c r="H54" s="7" t="str">
        <f t="shared" si="3"/>
        <v xml:space="preserve">   </v>
      </c>
      <c r="I54" s="8" t="str">
        <f t="shared" si="4"/>
        <v xml:space="preserve">   </v>
      </c>
      <c r="J54" s="9" t="str">
        <f t="shared" si="5"/>
        <v xml:space="preserve">   </v>
      </c>
      <c r="K54" s="10" t="str">
        <f t="shared" si="12"/>
        <v xml:space="preserve">   </v>
      </c>
      <c r="M54" s="13"/>
    </row>
    <row r="55" spans="2:13" x14ac:dyDescent="0.25">
      <c r="B55" t="str">
        <f t="shared" si="22"/>
        <v>"TCS","open":"2,553.15","high":"2,579.85","low":"2,550.60","ltP":"2,577.00","ptsC":"28.30","per":"1.11","trdVol":"5.52","trdVolM":"0.55","ntP":"141.78","mVal":"1.42","wkhi":"2,770.00","wklo":"2,115.00","wkhicm_adj":"2,839.70","wklocm_adj":"1,970.00","xDt":"31-DEC-2999","cAct":"-","yPC":"-1.46","mPC":"3.50"</v>
      </c>
      <c r="C55" s="5" t="s">
        <v>52</v>
      </c>
      <c r="D55" s="6" t="str">
        <f t="shared" si="27"/>
        <v>2,553.15</v>
      </c>
      <c r="E55" s="6" t="str">
        <f t="shared" si="27"/>
        <v>2,579.85</v>
      </c>
      <c r="F55" s="6" t="str">
        <f t="shared" si="27"/>
        <v>2,550.60</v>
      </c>
      <c r="G55" s="6" t="str">
        <f t="shared" si="27"/>
        <v>2,577.00</v>
      </c>
      <c r="H55" s="7" t="str">
        <f t="shared" si="3"/>
        <v xml:space="preserve">   </v>
      </c>
      <c r="I55" s="8" t="str">
        <f t="shared" si="4"/>
        <v xml:space="preserve">   </v>
      </c>
      <c r="J55" s="9" t="str">
        <f t="shared" si="5"/>
        <v xml:space="preserve">   </v>
      </c>
      <c r="K55" s="10" t="str">
        <f t="shared" si="12"/>
        <v xml:space="preserve">   </v>
      </c>
      <c r="M55" s="13"/>
    </row>
    <row r="56" spans="2:13" x14ac:dyDescent="0.25">
      <c r="B56" t="str">
        <f t="shared" si="22"/>
        <v>"TECHM","open":"539.00","high":"541.00","low":"533.60","ltP":"535.00","ptsC":"-7.30","per":"-1.35","trdVol":"15.73","trdVolM":"1.57","ntP":"84.45","mVal":"0.84","wkhi":"582.00","wklo":"407.40","wkhicm_adj":"2,734.00","wklocm_adj":"1,662.00","xDt":"31-DEC-2999","cAct":"-","yPC":"-2.57","mPC":"12.51"</v>
      </c>
      <c r="C56" s="5" t="s">
        <v>53</v>
      </c>
      <c r="D56" s="6" t="str">
        <f t="shared" si="27"/>
        <v>539.00</v>
      </c>
      <c r="E56" s="6" t="str">
        <f t="shared" si="27"/>
        <v>541.00</v>
      </c>
      <c r="F56" s="6" t="str">
        <f t="shared" si="27"/>
        <v>533.60</v>
      </c>
      <c r="G56" s="6" t="str">
        <f t="shared" si="27"/>
        <v>535.00</v>
      </c>
      <c r="H56" s="7" t="str">
        <f t="shared" si="3"/>
        <v xml:space="preserve">   </v>
      </c>
      <c r="I56" s="8" t="str">
        <f t="shared" si="4"/>
        <v xml:space="preserve">   </v>
      </c>
      <c r="J56" s="9" t="str">
        <f t="shared" si="5"/>
        <v xml:space="preserve">   </v>
      </c>
      <c r="K56" s="10" t="str">
        <f t="shared" si="12"/>
        <v xml:space="preserve">   </v>
      </c>
      <c r="M56" s="13"/>
    </row>
    <row r="57" spans="2:13" x14ac:dyDescent="0.25">
      <c r="B57" t="str">
        <f t="shared" si="22"/>
        <v>"ULTRACEMCO","open":"3,216.00","high":"3,255.00","low":"3,216.00","ltP":"3,242.00","ptsC":"28.35","per":"0.88","trdVol":"2.35","trdVolM":"0.23","ntP":"75.93","mVal":"0.76","wkhi":"3,454.90","wklo":"2,579.00","wkhicm_adj":"2,872.00","wklocm_adj":"1,634.00","xDt":"31-DEC-2999","cAct":"-","yPC":"12.37","mPC":"-0.74"</v>
      </c>
      <c r="C57" s="5" t="s">
        <v>54</v>
      </c>
      <c r="D57" s="6" t="str">
        <f t="shared" si="27"/>
        <v>3,216.00</v>
      </c>
      <c r="E57" s="6" t="str">
        <f t="shared" si="27"/>
        <v>3,255.00</v>
      </c>
      <c r="F57" s="6" t="str">
        <f t="shared" si="27"/>
        <v>3,216.00</v>
      </c>
      <c r="G57" s="6" t="str">
        <f t="shared" si="27"/>
        <v>3,242.00</v>
      </c>
      <c r="H57" s="7" t="str">
        <f t="shared" si="3"/>
        <v xml:space="preserve">LONG </v>
      </c>
      <c r="I57" s="8">
        <f t="shared" si="4"/>
        <v>3225</v>
      </c>
      <c r="J57" s="9">
        <f t="shared" si="5"/>
        <v>3199.92</v>
      </c>
      <c r="K57" s="10">
        <f t="shared" si="12"/>
        <v>5.2713178294573641E-3</v>
      </c>
      <c r="M57" s="13"/>
    </row>
    <row r="58" spans="2:13" x14ac:dyDescent="0.25">
      <c r="B58" t="str">
        <f t="shared" si="22"/>
        <v>"WIPRO","open":"543.15","high":"551.00","low":"543.00","ltP":"545.35","ptsC":"0.40","per":"0.07","trdVol":"12.11","trdVolM":"1.21","ntP":"66.38","mVal":"0.66","wkhi":"613.30","wklo":"507.90","wkhicm_adj":"621.90","wklocm_adj":"466.65","xDt":"05-MAY-2016","cAct":"BUYBACK OF SHARES","yPC":"-1.27","mPC":"-1.64"</v>
      </c>
      <c r="C58" s="5" t="s">
        <v>56</v>
      </c>
      <c r="D58" s="6" t="str">
        <f t="shared" si="27"/>
        <v>543.15</v>
      </c>
      <c r="E58" s="6" t="str">
        <f t="shared" si="27"/>
        <v>551.00</v>
      </c>
      <c r="F58" s="6" t="str">
        <f t="shared" si="27"/>
        <v>543.00</v>
      </c>
      <c r="G58" s="6" t="str">
        <f t="shared" si="27"/>
        <v>545.35</v>
      </c>
      <c r="H58" s="7" t="str">
        <f t="shared" si="3"/>
        <v xml:space="preserve">   </v>
      </c>
      <c r="I58" s="8" t="str">
        <f t="shared" si="4"/>
        <v xml:space="preserve">   </v>
      </c>
      <c r="J58" s="9" t="str">
        <f t="shared" si="5"/>
        <v xml:space="preserve">   </v>
      </c>
      <c r="K58" s="10" t="str">
        <f t="shared" si="12"/>
        <v xml:space="preserve">   </v>
      </c>
      <c r="M58" s="13"/>
    </row>
    <row r="59" spans="2:13" x14ac:dyDescent="0.25">
      <c r="B59" t="str">
        <f t="shared" si="22"/>
        <v>"YESBANK","open":"1,025.00","high":"1,041.80","low":"1,018.00","ltP":"1,023.40","ptsC":"2.35","per":"0.23","trdVol":"36.98","trdVolM":"3.70","ntP":"380.77","mVal":"3.81","wkhi":"1,041.80","wklo":"595.00","wkhicm_adj":"719.90","wklocm_adj":"291.40","xDt":"31-DEC-2999","cAct":"-","yPC":"17.51","mPC":"12.38"</v>
      </c>
      <c r="C59" s="5" t="s">
        <v>57</v>
      </c>
      <c r="D59" s="6" t="str">
        <f t="shared" si="27"/>
        <v>1,025.00</v>
      </c>
      <c r="E59" s="6" t="str">
        <f t="shared" si="27"/>
        <v>1,041.80</v>
      </c>
      <c r="F59" s="6" t="str">
        <f t="shared" si="27"/>
        <v>1,018.00</v>
      </c>
      <c r="G59" s="6" t="str">
        <f t="shared" si="27"/>
        <v>1,023.40</v>
      </c>
      <c r="H59" s="7" t="str">
        <f t="shared" si="3"/>
        <v xml:space="preserve">   </v>
      </c>
      <c r="I59" s="8" t="str">
        <f t="shared" si="4"/>
        <v xml:space="preserve">   </v>
      </c>
      <c r="J59" s="9" t="str">
        <f t="shared" si="5"/>
        <v xml:space="preserve">   </v>
      </c>
      <c r="K59" s="10" t="str">
        <f t="shared" si="12"/>
        <v xml:space="preserve">   </v>
      </c>
      <c r="M59" s="13"/>
    </row>
    <row r="60" spans="2:13" x14ac:dyDescent="0.25">
      <c r="B60" t="str">
        <f t="shared" si="22"/>
        <v>"ZEEL","open":"445.95","high":"455.00","low":"443.00","ltP":"452.20","ptsC":"7.75","per":"1.74","trdVol":"16.75","trdVolM":"1.67","ntP":"75.70","mVal":"0.76","wkhi":"458.95","wklo":"316.15","wkhicm_adj":"402.40","wklocm_adj":"251.80","xDt":"31-DEC-2999","cAct":"-","yPC":"41.31","mPC":"9.36"</v>
      </c>
      <c r="C60" s="5" t="s">
        <v>58</v>
      </c>
      <c r="D60" s="6" t="str">
        <f t="shared" si="27"/>
        <v>445.95</v>
      </c>
      <c r="E60" s="6" t="str">
        <f t="shared" si="27"/>
        <v>455.00</v>
      </c>
      <c r="F60" s="6" t="str">
        <f t="shared" si="27"/>
        <v>443.00</v>
      </c>
      <c r="G60" s="6" t="str">
        <f t="shared" si="27"/>
        <v>452.20</v>
      </c>
      <c r="H60" s="7" t="str">
        <f t="shared" si="3"/>
        <v xml:space="preserve">   </v>
      </c>
      <c r="I60" s="8" t="str">
        <f t="shared" si="4"/>
        <v xml:space="preserve">   </v>
      </c>
      <c r="J60" s="9" t="str">
        <f t="shared" si="5"/>
        <v xml:space="preserve">   </v>
      </c>
      <c r="K60" s="10" t="str">
        <f t="shared" si="12"/>
        <v xml:space="preserve">   </v>
      </c>
      <c r="M60" s="13"/>
    </row>
    <row r="61" spans="2:13" x14ac:dyDescent="0.25">
      <c r="M61" s="13"/>
    </row>
    <row r="64" spans="2:13" x14ac:dyDescent="0.25">
      <c r="C64" s="15" t="s">
        <v>67</v>
      </c>
    </row>
    <row r="65" spans="2:11" x14ac:dyDescent="0.25">
      <c r="B65" t="s">
        <v>1</v>
      </c>
      <c r="C65" s="4" t="s">
        <v>2</v>
      </c>
      <c r="D65" s="4" t="s">
        <v>3</v>
      </c>
      <c r="E65" s="4" t="s">
        <v>4</v>
      </c>
      <c r="F65" s="4" t="s">
        <v>5</v>
      </c>
      <c r="G65" s="4" t="s">
        <v>6</v>
      </c>
      <c r="H65" s="4" t="s">
        <v>7</v>
      </c>
      <c r="I65" s="4" t="s">
        <v>8</v>
      </c>
      <c r="J65" s="4" t="s">
        <v>9</v>
      </c>
      <c r="K65" s="4" t="s">
        <v>59</v>
      </c>
    </row>
    <row r="66" spans="2:11" x14ac:dyDescent="0.25">
      <c r="B66" t="str">
        <f>MID($E$3,FIND(C66,$E$3)-1,FIND("}",$E$3,FIND(C66,$E$3))-FIND(C66,$E$3)+1)</f>
        <v>"ABB","open":"1,259.30","high":"1,259.30","low":"1,221.00","ltP":"1,232.25","ptsC":"-21.70","per":"-1.73","trdVol":"0.49","trdVolM":"0.05","ntP":"5.97","mVal":"0.06","wkhi":"1,445.00","wklo":"955.20","wkhicm_adj":"1,263.50","wklocm_adj":"566.95","xDt":"13-APR-2016","cAct":"ANNUAL GENERAL MEETING\/DIVIDEND - RS 3.70 PER SHARE","yPC":"-8.20","mPC":"-3.24"</v>
      </c>
      <c r="C66" s="14" t="s">
        <v>69</v>
      </c>
      <c r="D66" s="6" t="str">
        <f t="shared" ref="D66:G85" si="28">MID($B66,FIND(D$9,$B66)+LEN(D$9)+3,FIND(CHAR(34),$B66,FIND(D$9,$B66)+LEN(D$9)+3)-(FIND(D$9,$B66)+LEN(D$9)+3))</f>
        <v>1,259.30</v>
      </c>
      <c r="E66" s="6" t="str">
        <f t="shared" si="28"/>
        <v>1,259.30</v>
      </c>
      <c r="F66" s="6" t="str">
        <f t="shared" si="28"/>
        <v>1,221.00</v>
      </c>
      <c r="G66" s="6" t="str">
        <f t="shared" si="28"/>
        <v>1,232.25</v>
      </c>
      <c r="H66" s="7" t="str">
        <f t="shared" ref="H66" si="29">IF(AND(E66=0, F66=0, D66=0),"  ",IF(E66= D66,"SHORT ",IF(F66= D66,"LONG ",IF(E66&lt;&gt; F66&lt;&gt; D66,"   "))))</f>
        <v xml:space="preserve">SHORT </v>
      </c>
      <c r="I66" s="8">
        <f t="shared" ref="I66" si="30">IF(AND(E66=0,F66=0,D66=0),"  ",IF(D66=F66,ROUND(((SQRT(F66) +0.0833) ^2),0),IF(E66=D66,ROUND(((SQRT(E66) -0.0833) ^2),0),IF(E66&lt;&gt;F66&lt;&gt;D66,"   "))))</f>
        <v>1253</v>
      </c>
      <c r="J66" s="9">
        <f t="shared" ref="J66" si="31">IF(AND(E66=0, F66=0, D66=0),"  ",IF(E66= D66,D66+0.005*D66,IF(F66= D66,D66-0.005*D66,IF(E66&lt;&gt; F66&lt;&gt; D66,"   "))))</f>
        <v>1265.5964999999999</v>
      </c>
      <c r="K66" s="10">
        <f t="shared" ref="K66" si="32">IF(AND(E66=0, F66=0, D66=0),"  ",IF(E66= D66,(I66-G66)/I66,IF(F66= D66,(G66-I66)/I66,IF(E66&lt;&gt; F66&lt;&gt; D66,"   "))))</f>
        <v>1.6560255387071031E-2</v>
      </c>
    </row>
    <row r="67" spans="2:11" x14ac:dyDescent="0.25">
      <c r="B67" t="str">
        <f t="shared" ref="B67:B115" si="33">MID($E$3,FIND(C67,$E$3)-1,FIND("}",$E$3,FIND(C67,$E$3))-FIND(C67,$E$3)+1)</f>
        <v>"APOLLOHOSP","open":"1,348.75","high":"1,385.00","low":"1,348.20","ltP":"1,385.00","ptsC":"36.80","per":"2.73","trdVol":"1.78","trdVolM":"0.18","ntP":"24.44","mVal":"0.24","wkhi":"1,544.90","wklo":"1,150.00","wkhicm_adj":"1,246.50","wklocm_adj":"815.35","xDt":"22-MAR-2016","cAct":"INTERIM DIVIDEND - RS 6\/- PER SHARE (PURPOSE REVISED)","yPC":"13.32","mPC":"5.18"</v>
      </c>
      <c r="C67" s="14" t="s">
        <v>70</v>
      </c>
      <c r="D67" s="6" t="str">
        <f t="shared" si="28"/>
        <v>1,348.75</v>
      </c>
      <c r="E67" s="6" t="str">
        <f t="shared" si="28"/>
        <v>1,385.00</v>
      </c>
      <c r="F67" s="6" t="str">
        <f t="shared" si="28"/>
        <v>1,348.20</v>
      </c>
      <c r="G67" s="6" t="str">
        <f t="shared" si="28"/>
        <v>1,385.00</v>
      </c>
      <c r="H67" s="7" t="str">
        <f t="shared" ref="H67:H115" si="34">IF(AND(E67=0, F67=0, D67=0),"  ",IF(E67= D67,"SHORT ",IF(F67= D67,"LONG ",IF(E67&lt;&gt; F67&lt;&gt; D67,"   "))))</f>
        <v xml:space="preserve">   </v>
      </c>
      <c r="I67" s="8" t="str">
        <f t="shared" ref="I67:I115" si="35">IF(AND(E67=0,F67=0,D67=0),"  ",IF(D67=F67,ROUND(((SQRT(F67) +0.0833) ^2),0),IF(E67=D67,ROUND(((SQRT(E67) -0.0833) ^2),0),IF(E67&lt;&gt;F67&lt;&gt;D67,"   "))))</f>
        <v xml:space="preserve">   </v>
      </c>
      <c r="J67" s="9" t="str">
        <f t="shared" ref="J67:J115" si="36">IF(AND(E67=0, F67=0, D67=0),"  ",IF(E67= D67,D67+0.005*D67,IF(F67= D67,D67-0.005*D67,IF(E67&lt;&gt; F67&lt;&gt; D67,"   "))))</f>
        <v xml:space="preserve">   </v>
      </c>
      <c r="K67" s="10" t="str">
        <f t="shared" ref="K67:K115" si="37">IF(AND(E67=0, F67=0, D67=0),"  ",IF(E67= D67,(I67-G67)/I67,IF(F67= D67,(G67-I67)/I67,IF(E67&lt;&gt; F67&lt;&gt; D67,"   "))))</f>
        <v xml:space="preserve">   </v>
      </c>
    </row>
    <row r="68" spans="2:11" x14ac:dyDescent="0.25">
      <c r="B68" t="str">
        <f t="shared" si="33"/>
        <v>"ASHOKLEY","open":"107.30","high":"107.45","low":"105.10","ltP":"106.25","ptsC":"-0.55","per":"-0.51","trdVol":"54.09","trdVolM":"5.41","ntP":"57.37","mVal":"0.57","wkhi":"112.90","wklo":"64.00","wkhicm_adj":"56.20","wklocm_adj":"14.85","xDt":"31-DEC-2999","cAct":"-","yPC":"50.71","mPC":"-1.57"</v>
      </c>
      <c r="C68" s="14" t="s">
        <v>71</v>
      </c>
      <c r="D68" s="6" t="str">
        <f t="shared" si="28"/>
        <v>107.30</v>
      </c>
      <c r="E68" s="6" t="str">
        <f t="shared" si="28"/>
        <v>107.45</v>
      </c>
      <c r="F68" s="6" t="str">
        <f t="shared" si="28"/>
        <v>105.10</v>
      </c>
      <c r="G68" s="6" t="str">
        <f t="shared" si="28"/>
        <v>106.25</v>
      </c>
      <c r="H68" s="7" t="str">
        <f t="shared" si="34"/>
        <v xml:space="preserve">   </v>
      </c>
      <c r="I68" s="8" t="str">
        <f t="shared" si="35"/>
        <v xml:space="preserve">   </v>
      </c>
      <c r="J68" s="9" t="str">
        <f t="shared" si="36"/>
        <v xml:space="preserve">   </v>
      </c>
      <c r="K68" s="10" t="str">
        <f t="shared" si="37"/>
        <v xml:space="preserve">   </v>
      </c>
    </row>
    <row r="69" spans="2:11" x14ac:dyDescent="0.25">
      <c r="B69" t="str">
        <f t="shared" si="33"/>
        <v>"BAJAJFINSV","open":"1,838.00","high":"1,864.85","low":"1,828.25","ltP":"1,829.15","ptsC":"-6.55","per":"-0.36","trdVol":"0.34","trdVolM":"0.03","ntP":"6.29","mVal":"0.06","wkhi":"2,160.00","wklo":"1,435.15","wkhicm_adj":"1,173.95","wklocm_adj":"658.35","xDt":"16-MAR-2016","cAct":"INTERIM DIVIDEND - RS 1.75\/- PER SHARE (PURPOSE REVISED)","yPC":"19.56","mPC":"-2.68"</v>
      </c>
      <c r="C69" s="14" t="s">
        <v>72</v>
      </c>
      <c r="D69" s="6" t="str">
        <f t="shared" si="28"/>
        <v>1,838.00</v>
      </c>
      <c r="E69" s="6" t="str">
        <f t="shared" si="28"/>
        <v>1,864.85</v>
      </c>
      <c r="F69" s="6" t="str">
        <f t="shared" si="28"/>
        <v>1,828.25</v>
      </c>
      <c r="G69" s="6" t="str">
        <f t="shared" si="28"/>
        <v>1,829.15</v>
      </c>
      <c r="H69" s="7" t="str">
        <f t="shared" si="34"/>
        <v xml:space="preserve">   </v>
      </c>
      <c r="I69" s="8" t="str">
        <f t="shared" si="35"/>
        <v xml:space="preserve">   </v>
      </c>
      <c r="J69" s="9" t="str">
        <f t="shared" si="36"/>
        <v xml:space="preserve">   </v>
      </c>
      <c r="K69" s="10" t="str">
        <f t="shared" si="37"/>
        <v xml:space="preserve">   </v>
      </c>
    </row>
    <row r="70" spans="2:11" x14ac:dyDescent="0.25">
      <c r="B70" t="str">
        <f t="shared" si="33"/>
        <v>"BAJFINANCE","open":"7,700.00","high":"7,720.00","low":"7,559.40","ltP":"7,600.00","ptsC":"-67.90","per":"-0.89","trdVol":"0.36","trdVolM":"0.04","ntP":"27.56","mVal":"0.28","wkhi":"7,858.05","wklo":"4,115.70","wkhicm_adj":"3,385.00","wklocm_adj":"1,375.00","xDt":"16-MAR-2016","cAct":"INTERIM DIVIDEND - RS 18\/- PER SHARE (PURPOSE REVISED)","yPC":"71.78","mPC":"9.42"</v>
      </c>
      <c r="C70" s="14" t="s">
        <v>73</v>
      </c>
      <c r="D70" s="6" t="str">
        <f t="shared" si="28"/>
        <v>7,700.00</v>
      </c>
      <c r="E70" s="6" t="str">
        <f t="shared" si="28"/>
        <v>7,720.00</v>
      </c>
      <c r="F70" s="6" t="str">
        <f t="shared" si="28"/>
        <v>7,559.40</v>
      </c>
      <c r="G70" s="6" t="str">
        <f t="shared" si="28"/>
        <v>7,600.00</v>
      </c>
      <c r="H70" s="7" t="str">
        <f t="shared" si="34"/>
        <v xml:space="preserve">   </v>
      </c>
      <c r="I70" s="8" t="str">
        <f t="shared" si="35"/>
        <v xml:space="preserve">   </v>
      </c>
      <c r="J70" s="9" t="str">
        <f t="shared" si="36"/>
        <v xml:space="preserve">   </v>
      </c>
      <c r="K70" s="10" t="str">
        <f t="shared" si="37"/>
        <v xml:space="preserve">   </v>
      </c>
    </row>
    <row r="71" spans="2:11" x14ac:dyDescent="0.25">
      <c r="B71" t="str">
        <f t="shared" si="33"/>
        <v>"BEL","open":"1,195.00","high":"1,199.00","low":"1,170.00","ltP":"1,181.85","ptsC":"-1.20","per":"-0.10","trdVol":"1.92","trdVolM":"0.19","ntP":"22.80","mVal":"0.23","wkhi":"1,416.85","wklo":"984.00","wkhicm_adj":"2,375.00","wklocm_adj":"893.00","xDt":"31-DEC-2999","cAct":"-","yPC":"6.27","mPC":"-2.54"</v>
      </c>
      <c r="C71" s="14" t="s">
        <v>74</v>
      </c>
      <c r="D71" s="6" t="str">
        <f t="shared" si="28"/>
        <v>1,195.00</v>
      </c>
      <c r="E71" s="6" t="str">
        <f t="shared" si="28"/>
        <v>1,199.00</v>
      </c>
      <c r="F71" s="6" t="str">
        <f t="shared" si="28"/>
        <v>1,170.00</v>
      </c>
      <c r="G71" s="6" t="str">
        <f t="shared" si="28"/>
        <v>1,181.85</v>
      </c>
      <c r="H71" s="7" t="str">
        <f t="shared" si="34"/>
        <v xml:space="preserve">   </v>
      </c>
      <c r="I71" s="8" t="str">
        <f t="shared" si="35"/>
        <v xml:space="preserve">   </v>
      </c>
      <c r="J71" s="9" t="str">
        <f t="shared" si="36"/>
        <v xml:space="preserve">   </v>
      </c>
      <c r="K71" s="10" t="str">
        <f t="shared" si="37"/>
        <v xml:space="preserve">   </v>
      </c>
    </row>
    <row r="72" spans="2:11" x14ac:dyDescent="0.25">
      <c r="B72" t="str">
        <f t="shared" si="33"/>
        <v>"BHARATFORG","open":"751.50","high":"751.85","low":"735.50","ltP":"749.05","ptsC":"4.35","per":"0.58","trdVol":"2.54","trdVolM":"0.25","ntP":"18.85","mVal":"0.19","wkhi":"1,293.00","wklo":"704.90","wkhicm_adj":"979.00","wklocm_adj":"291.10","xDt":"18-MAR-2016","cAct":"INTERIM DIVIDEND - RS 4\/- PER SHARE (PURPOSE REVISED)","yPC":"-38.06","mPC":"-6.72"</v>
      </c>
      <c r="C72" s="14" t="s">
        <v>75</v>
      </c>
      <c r="D72" s="6" t="str">
        <f t="shared" si="28"/>
        <v>751.50</v>
      </c>
      <c r="E72" s="6" t="str">
        <f t="shared" si="28"/>
        <v>751.85</v>
      </c>
      <c r="F72" s="6" t="str">
        <f t="shared" si="28"/>
        <v>735.50</v>
      </c>
      <c r="G72" s="6" t="str">
        <f t="shared" si="28"/>
        <v>749.05</v>
      </c>
      <c r="H72" s="7" t="str">
        <f t="shared" si="34"/>
        <v xml:space="preserve">   </v>
      </c>
      <c r="I72" s="8" t="str">
        <f t="shared" si="35"/>
        <v xml:space="preserve">   </v>
      </c>
      <c r="J72" s="9" t="str">
        <f t="shared" si="36"/>
        <v xml:space="preserve">   </v>
      </c>
      <c r="K72" s="10" t="str">
        <f t="shared" si="37"/>
        <v xml:space="preserve">   </v>
      </c>
    </row>
    <row r="73" spans="2:11" x14ac:dyDescent="0.25">
      <c r="B73" t="str">
        <f t="shared" si="33"/>
        <v>"BRITANNIA","open":"2,720.00","high":"2,758.00","low":"2,720.00","ltP":"2,750.15","ptsC":"30.85","per":"1.13","trdVol":"0.65","trdVolM":"0.07","ntP":"17.84","mVal":"0.18","wkhi":"3,434.20","wklo":"2,424.00","wkhicm_adj":"1,729.80","wklocm_adj":"809.10","xDt":"31-DEC-2999","cAct":"-","yPC":"3.50","mPC":"-3.89"</v>
      </c>
      <c r="C73" s="14" t="s">
        <v>76</v>
      </c>
      <c r="D73" s="6" t="str">
        <f t="shared" si="28"/>
        <v>2,720.00</v>
      </c>
      <c r="E73" s="6" t="str">
        <f t="shared" si="28"/>
        <v>2,758.00</v>
      </c>
      <c r="F73" s="6" t="str">
        <f t="shared" si="28"/>
        <v>2,720.00</v>
      </c>
      <c r="G73" s="6" t="str">
        <f t="shared" si="28"/>
        <v>2,750.15</v>
      </c>
      <c r="H73" s="7" t="str">
        <f t="shared" si="34"/>
        <v xml:space="preserve">LONG </v>
      </c>
      <c r="I73" s="8">
        <f t="shared" si="35"/>
        <v>2729</v>
      </c>
      <c r="J73" s="9">
        <f t="shared" si="36"/>
        <v>2706.4</v>
      </c>
      <c r="K73" s="10">
        <f t="shared" si="37"/>
        <v>7.7500916086478897E-3</v>
      </c>
    </row>
    <row r="74" spans="2:11" x14ac:dyDescent="0.25">
      <c r="B74" t="str">
        <f t="shared" si="33"/>
        <v>"CADILAHC","open":"329.25","high":"333.95","low":"326.10","ltP":"332.65","ptsC":"5.45","per":"1.67","trdVol":"2.31","trdVolM":"0.23","ntP":"7.66","mVal":"0.08","wkhi":"453.30","wklo":"295.00","wkhicm_adj":"1,760.15","wklocm_adj":"723.20","xDt":"17-MAR-2016","cAct":"INTERIM DIVIDEND - RS 3.20\/- PER SHARE","yPC":"-10.88","mPC":"1.77"</v>
      </c>
      <c r="C74" s="14" t="s">
        <v>77</v>
      </c>
      <c r="D74" s="6" t="str">
        <f t="shared" si="28"/>
        <v>329.25</v>
      </c>
      <c r="E74" s="6" t="str">
        <f t="shared" si="28"/>
        <v>333.95</v>
      </c>
      <c r="F74" s="6" t="str">
        <f t="shared" si="28"/>
        <v>326.10</v>
      </c>
      <c r="G74" s="6" t="str">
        <f t="shared" si="28"/>
        <v>332.65</v>
      </c>
      <c r="H74" s="7" t="str">
        <f t="shared" si="34"/>
        <v xml:space="preserve">   </v>
      </c>
      <c r="I74" s="8" t="str">
        <f t="shared" si="35"/>
        <v xml:space="preserve">   </v>
      </c>
      <c r="J74" s="9" t="str">
        <f t="shared" si="36"/>
        <v xml:space="preserve">   </v>
      </c>
      <c r="K74" s="10" t="str">
        <f t="shared" si="37"/>
        <v xml:space="preserve">   </v>
      </c>
    </row>
    <row r="75" spans="2:11" x14ac:dyDescent="0.25">
      <c r="B75" t="str">
        <f t="shared" si="33"/>
        <v>"CAIRN","open":"139.20","high":"142.70","low":"139.20","ltP":"142.30","ptsC":"4.25","per":"3.08","trdVol":"10.62","trdVolM":"1.06","ntP":"14.98","mVal":"0.15","wkhi":"197.90","wklo":"106.50","wkhicm_adj":"386.00","wklocm_adj":"255.00","xDt":"31-DEC-2999","cAct":"-","yPC":"-25.48","mPC":"-3.30"</v>
      </c>
      <c r="C75" s="14" t="s">
        <v>20</v>
      </c>
      <c r="D75" s="6" t="str">
        <f t="shared" si="28"/>
        <v>139.20</v>
      </c>
      <c r="E75" s="6" t="str">
        <f t="shared" si="28"/>
        <v>142.70</v>
      </c>
      <c r="F75" s="6" t="str">
        <f t="shared" si="28"/>
        <v>139.20</v>
      </c>
      <c r="G75" s="6" t="str">
        <f t="shared" si="28"/>
        <v>142.30</v>
      </c>
      <c r="H75" s="7" t="str">
        <f t="shared" si="34"/>
        <v xml:space="preserve">LONG </v>
      </c>
      <c r="I75" s="8">
        <f t="shared" si="35"/>
        <v>141</v>
      </c>
      <c r="J75" s="9">
        <f t="shared" si="36"/>
        <v>138.50399999999999</v>
      </c>
      <c r="K75" s="10">
        <f t="shared" si="37"/>
        <v>9.2198581560284498E-3</v>
      </c>
    </row>
    <row r="76" spans="2:11" x14ac:dyDescent="0.25">
      <c r="B76" t="str">
        <f t="shared" si="33"/>
        <v>"CASTROLIND","open":"376.05","high":"379.45","low":"373.45","ltP":"375.00","ptsC":"-1.75","per":"-0.46","trdVol":"2.43","trdVolM":"0.24","ntP":"9.12","mVal":"0.09","wkhi":"513.80","wklo":"360.85","wkhicm_adj":"523.50","wklocm_adj":"283.10","xDt":"27-APR-2016","cAct":"ANNUAL GENERAL MEETING\/ DIVIDEND - RS 5\/- PER SHARE","yPC":"-20.46","mPC":"-3.75"</v>
      </c>
      <c r="C76" s="14" t="s">
        <v>78</v>
      </c>
      <c r="D76" s="6" t="str">
        <f t="shared" si="28"/>
        <v>376.05</v>
      </c>
      <c r="E76" s="6" t="str">
        <f t="shared" si="28"/>
        <v>379.45</v>
      </c>
      <c r="F76" s="6" t="str">
        <f t="shared" si="28"/>
        <v>373.45</v>
      </c>
      <c r="G76" s="6" t="str">
        <f t="shared" si="28"/>
        <v>375.00</v>
      </c>
      <c r="H76" s="7" t="str">
        <f t="shared" si="34"/>
        <v xml:space="preserve">   </v>
      </c>
      <c r="I76" s="8" t="str">
        <f t="shared" si="35"/>
        <v xml:space="preserve">   </v>
      </c>
      <c r="J76" s="9" t="str">
        <f t="shared" si="36"/>
        <v xml:space="preserve">   </v>
      </c>
      <c r="K76" s="10" t="str">
        <f t="shared" si="37"/>
        <v xml:space="preserve">   </v>
      </c>
    </row>
    <row r="77" spans="2:11" x14ac:dyDescent="0.25">
      <c r="B77" t="str">
        <f t="shared" si="33"/>
        <v>"COLPAL","open":"838.00","high":"846.40","low":"835.80","ltP":"845.00","ptsC":"5.70","per":"0.68","trdVol":"0.88","trdVolM":"0.09","ntP":"7.43","mVal":"0.07","wkhi":"1,050.00","wklo":"787.20","wkhicm_adj":"2,049.00","wklocm_adj":"1,235.20","xDt":"06-APR-2016","cAct":"INTERIM DIVIDEND - RS 3\/- PER SHARE (PURPOSE REVISED)","yPC":"-15.26","mPC":"-1.23"</v>
      </c>
      <c r="C77" s="14" t="s">
        <v>79</v>
      </c>
      <c r="D77" s="6" t="str">
        <f t="shared" si="28"/>
        <v>838.00</v>
      </c>
      <c r="E77" s="6" t="str">
        <f t="shared" si="28"/>
        <v>846.40</v>
      </c>
      <c r="F77" s="6" t="str">
        <f t="shared" si="28"/>
        <v>835.80</v>
      </c>
      <c r="G77" s="6" t="str">
        <f t="shared" si="28"/>
        <v>845.00</v>
      </c>
      <c r="H77" s="7" t="str">
        <f t="shared" si="34"/>
        <v xml:space="preserve">   </v>
      </c>
      <c r="I77" s="8" t="str">
        <f t="shared" si="35"/>
        <v xml:space="preserve">   </v>
      </c>
      <c r="J77" s="9" t="str">
        <f t="shared" si="36"/>
        <v xml:space="preserve">   </v>
      </c>
      <c r="K77" s="10" t="str">
        <f t="shared" si="37"/>
        <v xml:space="preserve">   </v>
      </c>
    </row>
    <row r="78" spans="2:11" x14ac:dyDescent="0.25">
      <c r="B78" t="str">
        <f t="shared" si="33"/>
        <v>"CONCOR","open":"1,385.05","high":"1,448.00","low":"1,385.05","ltP":"1,441.40","ptsC":"61.15","per":"4.43","trdVol":"1.90","trdVolM":"0.19","ntP":"27.16","mVal":"0.27","wkhi":"1,947.70","wklo":"1,051.00","wkhicm_adj":"1,504.70","wklocm_adj":"697.55","xDt":"31-DEC-2999","cAct":"-","yPC":"-14.62","mPC":"7.03"</v>
      </c>
      <c r="C78" s="14" t="s">
        <v>80</v>
      </c>
      <c r="D78" s="6" t="str">
        <f t="shared" si="28"/>
        <v>1,385.05</v>
      </c>
      <c r="E78" s="6" t="str">
        <f t="shared" si="28"/>
        <v>1,448.00</v>
      </c>
      <c r="F78" s="6" t="str">
        <f t="shared" si="28"/>
        <v>1,385.05</v>
      </c>
      <c r="G78" s="6" t="str">
        <f t="shared" si="28"/>
        <v>1,441.40</v>
      </c>
      <c r="H78" s="7" t="str">
        <f t="shared" si="34"/>
        <v xml:space="preserve">LONG </v>
      </c>
      <c r="I78" s="8">
        <f t="shared" si="35"/>
        <v>1391</v>
      </c>
      <c r="J78" s="9">
        <f t="shared" si="36"/>
        <v>1378.1247499999999</v>
      </c>
      <c r="K78" s="10">
        <f t="shared" si="37"/>
        <v>3.6232925952552189E-2</v>
      </c>
    </row>
    <row r="79" spans="2:11" x14ac:dyDescent="0.25">
      <c r="B79" t="str">
        <f t="shared" si="33"/>
        <v>"CUMMINSIND","open":"778.00","high":"793.90","low":"778.00","ltP":"786.95","ptsC":"3.05","per":"0.39","trdVol":"1.50","trdVolM":"0.15","ntP":"11.80","mVal":"0.12","wkhi":"1,247.65","wklo":"746.15","wkhicm_adj":"955.60","wklocm_adj":"417.70","xDt":"31-DEC-2999","cAct":"-","yPC":"-7.44","mPC":"-11.43"</v>
      </c>
      <c r="C79" s="14" t="s">
        <v>81</v>
      </c>
      <c r="D79" s="6" t="str">
        <f t="shared" si="28"/>
        <v>778.00</v>
      </c>
      <c r="E79" s="6" t="str">
        <f t="shared" si="28"/>
        <v>793.90</v>
      </c>
      <c r="F79" s="6" t="str">
        <f t="shared" si="28"/>
        <v>778.00</v>
      </c>
      <c r="G79" s="6" t="str">
        <f t="shared" si="28"/>
        <v>786.95</v>
      </c>
      <c r="H79" s="7" t="str">
        <f t="shared" si="34"/>
        <v xml:space="preserve">LONG </v>
      </c>
      <c r="I79" s="8">
        <f t="shared" si="35"/>
        <v>783</v>
      </c>
      <c r="J79" s="9">
        <f t="shared" si="36"/>
        <v>774.11</v>
      </c>
      <c r="K79" s="10">
        <f t="shared" si="37"/>
        <v>5.0446998722861371E-3</v>
      </c>
    </row>
    <row r="80" spans="2:11" x14ac:dyDescent="0.25">
      <c r="B80" t="str">
        <f t="shared" si="33"/>
        <v>"DABUR","open":"295.55","high":"297.80","low":"292.00","ltP":"297.40","ptsC":"1.60","per":"0.54","trdVol":"4.05","trdVolM":"0.41","ntP":"11.99","mVal":"0.12","wkhi":"316.40","wklo":"231.50","wkhicm_adj":"249.15","wklocm_adj":"159.50","xDt":"31-DEC-2999","cAct":"-","yPC":"9.46","mPC":"9.14"</v>
      </c>
      <c r="C80" s="14" t="s">
        <v>82</v>
      </c>
      <c r="D80" s="6" t="str">
        <f t="shared" si="28"/>
        <v>295.55</v>
      </c>
      <c r="E80" s="6" t="str">
        <f t="shared" si="28"/>
        <v>297.80</v>
      </c>
      <c r="F80" s="6" t="str">
        <f t="shared" si="28"/>
        <v>292.00</v>
      </c>
      <c r="G80" s="6" t="str">
        <f t="shared" si="28"/>
        <v>297.40</v>
      </c>
      <c r="H80" s="7" t="str">
        <f t="shared" si="34"/>
        <v xml:space="preserve">   </v>
      </c>
      <c r="I80" s="8" t="str">
        <f t="shared" si="35"/>
        <v xml:space="preserve">   </v>
      </c>
      <c r="J80" s="9" t="str">
        <f t="shared" si="36"/>
        <v xml:space="preserve">   </v>
      </c>
      <c r="K80" s="10" t="str">
        <f t="shared" si="37"/>
        <v xml:space="preserve">   </v>
      </c>
    </row>
    <row r="81" spans="2:11" x14ac:dyDescent="0.25">
      <c r="B81" t="str">
        <f t="shared" si="33"/>
        <v>"DIVISLAB","open":"1,120.65","high":"1,120.80","low":"1,081.00","ltP":"1,091.70","ptsC":"7.05","per":"0.65","trdVol":"4.62","trdVolM":"0.46","ntP":"50.59","mVal":"0.51","wkhi":"1,242.35","wklo":"863.90","wkhicm_adj":"1,888.05","wklocm_adj":"1,097.00","xDt":"17-MAR-2016","cAct":"INTERIM DIVIDEND - RS 10\/- PER SHARE (PURPOSE REVISED)","yPC":"-39.61","mPC":"4.74"</v>
      </c>
      <c r="C81" s="14" t="s">
        <v>83</v>
      </c>
      <c r="D81" s="6" t="str">
        <f t="shared" si="28"/>
        <v>1,120.65</v>
      </c>
      <c r="E81" s="6" t="str">
        <f t="shared" si="28"/>
        <v>1,120.80</v>
      </c>
      <c r="F81" s="6" t="str">
        <f t="shared" si="28"/>
        <v>1,081.00</v>
      </c>
      <c r="G81" s="6" t="str">
        <f t="shared" si="28"/>
        <v>1,091.70</v>
      </c>
      <c r="H81" s="7" t="str">
        <f t="shared" si="34"/>
        <v xml:space="preserve">   </v>
      </c>
      <c r="I81" s="8" t="str">
        <f t="shared" si="35"/>
        <v xml:space="preserve">   </v>
      </c>
      <c r="J81" s="9" t="str">
        <f t="shared" si="36"/>
        <v xml:space="preserve">   </v>
      </c>
      <c r="K81" s="10" t="str">
        <f t="shared" si="37"/>
        <v xml:space="preserve">   </v>
      </c>
    </row>
    <row r="82" spans="2:11" x14ac:dyDescent="0.25">
      <c r="B82" t="str">
        <f t="shared" si="33"/>
        <v>"DLF","open":"129.00","high":"133.90","low":"126.40","ltP":"127.70","ptsC":"-1.25","per":"-0.97","trdVol":"86.01","trdVolM":"8.60","ntP":"111.64","mVal":"1.12","wkhi":"142.90","wklo":"72.35","wkhicm_adj":"242.95","wklocm_adj":"100.10","xDt":"28-MAR-2016","cAct":"INTERIM DIVIDEND - RS 2\/- PER SHARE (PURPOSE REVISED)","yPC":"6.95","mPC":"3.57"</v>
      </c>
      <c r="C82" s="14" t="s">
        <v>84</v>
      </c>
      <c r="D82" s="6" t="str">
        <f t="shared" si="28"/>
        <v>129.00</v>
      </c>
      <c r="E82" s="6" t="str">
        <f t="shared" si="28"/>
        <v>133.90</v>
      </c>
      <c r="F82" s="6" t="str">
        <f t="shared" si="28"/>
        <v>126.40</v>
      </c>
      <c r="G82" s="6" t="str">
        <f t="shared" si="28"/>
        <v>127.70</v>
      </c>
      <c r="H82" s="7" t="str">
        <f t="shared" si="34"/>
        <v xml:space="preserve">   </v>
      </c>
      <c r="I82" s="8" t="str">
        <f t="shared" si="35"/>
        <v xml:space="preserve">   </v>
      </c>
      <c r="J82" s="9" t="str">
        <f t="shared" si="36"/>
        <v xml:space="preserve">   </v>
      </c>
      <c r="K82" s="10" t="str">
        <f t="shared" si="37"/>
        <v xml:space="preserve">   </v>
      </c>
    </row>
    <row r="83" spans="2:11" x14ac:dyDescent="0.25">
      <c r="B83" t="str">
        <f t="shared" si="33"/>
        <v>"EMAMILTD","open":"1,016.20","high":"1,032.00","low":"1,007.50","ltP":"1,024.95","ptsC":"10.05","per":"0.99","trdVol":"0.72","trdVolM":"0.07","ntP":"7.33","mVal":"0.07","wkhi":"1,365.00","wklo":"901.00","wkhicm_adj":"824.70","wklocm_adj":"420.00","xDt":"31-DEC-2999","cAct":"-","yPC":"-7.15","mPC":"1.74"</v>
      </c>
      <c r="C83" s="14" t="s">
        <v>85</v>
      </c>
      <c r="D83" s="6" t="str">
        <f t="shared" si="28"/>
        <v>1,016.20</v>
      </c>
      <c r="E83" s="6" t="str">
        <f t="shared" si="28"/>
        <v>1,032.00</v>
      </c>
      <c r="F83" s="6" t="str">
        <f t="shared" si="28"/>
        <v>1,007.50</v>
      </c>
      <c r="G83" s="6" t="str">
        <f t="shared" si="28"/>
        <v>1,024.95</v>
      </c>
      <c r="H83" s="7" t="str">
        <f t="shared" si="34"/>
        <v xml:space="preserve">   </v>
      </c>
      <c r="I83" s="8" t="str">
        <f t="shared" si="35"/>
        <v xml:space="preserve">   </v>
      </c>
      <c r="J83" s="9" t="str">
        <f t="shared" si="36"/>
        <v xml:space="preserve">   </v>
      </c>
      <c r="K83" s="10" t="str">
        <f t="shared" si="37"/>
        <v xml:space="preserve">   </v>
      </c>
    </row>
    <row r="84" spans="2:11" x14ac:dyDescent="0.25">
      <c r="B84" t="str">
        <f t="shared" si="33"/>
        <v>"GLAXO","open":"3,482.00","high":"3,557.95","low":"3,482.00","ltP":"3,528.00","ptsC":"-0.35","per":"-0.01","trdVol":"0.01","trdVolM":"0.00","ntP":"0.43","mVal":"0.00","wkhi":"3,872.00","wklo":"3,032.05","wkhicm_adj":"3,054.50","wklocm_adj":"2,365.00","xDt":"31-DEC-2999","cAct":"-","yPC":"10.22","mPC":"-6.39"</v>
      </c>
      <c r="C84" s="14" t="s">
        <v>86</v>
      </c>
      <c r="D84" s="6" t="str">
        <f t="shared" si="28"/>
        <v>3,482.00</v>
      </c>
      <c r="E84" s="6" t="str">
        <f t="shared" si="28"/>
        <v>3,557.95</v>
      </c>
      <c r="F84" s="6" t="str">
        <f t="shared" si="28"/>
        <v>3,482.00</v>
      </c>
      <c r="G84" s="6" t="str">
        <f t="shared" si="28"/>
        <v>3,528.00</v>
      </c>
      <c r="H84" s="7" t="str">
        <f t="shared" si="34"/>
        <v xml:space="preserve">LONG </v>
      </c>
      <c r="I84" s="8">
        <f t="shared" si="35"/>
        <v>3492</v>
      </c>
      <c r="J84" s="9">
        <f t="shared" si="36"/>
        <v>3464.59</v>
      </c>
      <c r="K84" s="10">
        <f t="shared" si="37"/>
        <v>1.0309278350515464E-2</v>
      </c>
    </row>
    <row r="85" spans="2:11" x14ac:dyDescent="0.25">
      <c r="B85" t="str">
        <f t="shared" si="33"/>
        <v>"GLENMARK","open":"876.50","high":"887.35","low":"875.25","ltP":"880.65","ptsC":"5.15","per":"0.59","trdVol":"1.45","trdVolM":"0.15","ntP":"12.81","mVal":"0.13","wkhi":"1,262.90","wklo":"671.10","wkhicm_adj":"841.00","wklocm_adj":"493.00","xDt":"31-DEC-2999","cAct":"-","yPC":"2.71","mPC":"6.53"</v>
      </c>
      <c r="C85" s="14" t="s">
        <v>87</v>
      </c>
      <c r="D85" s="6" t="str">
        <f t="shared" si="28"/>
        <v>876.50</v>
      </c>
      <c r="E85" s="6" t="str">
        <f t="shared" si="28"/>
        <v>887.35</v>
      </c>
      <c r="F85" s="6" t="str">
        <f t="shared" si="28"/>
        <v>875.25</v>
      </c>
      <c r="G85" s="6" t="str">
        <f t="shared" si="28"/>
        <v>880.65</v>
      </c>
      <c r="H85" s="7" t="str">
        <f t="shared" si="34"/>
        <v xml:space="preserve">   </v>
      </c>
      <c r="I85" s="8" t="str">
        <f t="shared" si="35"/>
        <v xml:space="preserve">   </v>
      </c>
      <c r="J85" s="9" t="str">
        <f t="shared" si="36"/>
        <v xml:space="preserve">   </v>
      </c>
      <c r="K85" s="10" t="str">
        <f t="shared" si="37"/>
        <v xml:space="preserve">   </v>
      </c>
    </row>
    <row r="86" spans="2:11" x14ac:dyDescent="0.25">
      <c r="B86" t="str">
        <f t="shared" si="33"/>
        <v>"GODREJCP","open":"1,527.10","high":"1,536.85","low":"1,512.00","ltP":"1,526.05","ptsC":"-0.40","per":"-0.03","trdVol":"1.07","trdVolM":"0.11","ntP":"16.28","mVal":"0.16","wkhi":"1,536.85","wklo":"1,037.00","wkhicm_adj":"1,119.00","wklocm_adj":"667.00","xDt":"10-MAY-2016","cAct":"INTERIM DIVIDEND - RS 2.75\/- PER SHARE (PURPOSE REVISED)","yPC":"39.20","mPC":"11.50"</v>
      </c>
      <c r="C86" s="14" t="s">
        <v>88</v>
      </c>
      <c r="D86" s="6" t="str">
        <f t="shared" ref="D86:G105" si="38">MID($B86,FIND(D$9,$B86)+LEN(D$9)+3,FIND(CHAR(34),$B86,FIND(D$9,$B86)+LEN(D$9)+3)-(FIND(D$9,$B86)+LEN(D$9)+3))</f>
        <v>1,527.10</v>
      </c>
      <c r="E86" s="6" t="str">
        <f t="shared" si="38"/>
        <v>1,536.85</v>
      </c>
      <c r="F86" s="6" t="str">
        <f t="shared" si="38"/>
        <v>1,512.00</v>
      </c>
      <c r="G86" s="6" t="str">
        <f t="shared" si="38"/>
        <v>1,526.05</v>
      </c>
      <c r="H86" s="7" t="str">
        <f t="shared" si="34"/>
        <v xml:space="preserve">   </v>
      </c>
      <c r="I86" s="8" t="str">
        <f t="shared" si="35"/>
        <v xml:space="preserve">   </v>
      </c>
      <c r="J86" s="9" t="str">
        <f t="shared" si="36"/>
        <v xml:space="preserve">   </v>
      </c>
      <c r="K86" s="10" t="str">
        <f t="shared" si="37"/>
        <v xml:space="preserve">   </v>
      </c>
    </row>
    <row r="87" spans="2:11" x14ac:dyDescent="0.25">
      <c r="B87" t="str">
        <f t="shared" si="33"/>
        <v>"GSKCONS","open":"5,919.00","high":"6,036.00","low":"5,880.00","ltP":"6,029.00","ptsC":"116.20","per":"1.97","trdVol":"0.04","trdVolM":"0.00","ntP":"2.37","mVal":"0.02","wkhi":"6,800.00","wklo":"5,405.00","wkhicm_adj":"5,999.00","wklocm_adj":"4,011.00","xDt":"31-DEC-2999","cAct":"-","yPC":"-5.45","mPC":"0.21"</v>
      </c>
      <c r="C87" s="14" t="s">
        <v>89</v>
      </c>
      <c r="D87" s="6" t="str">
        <f t="shared" si="38"/>
        <v>5,919.00</v>
      </c>
      <c r="E87" s="6" t="str">
        <f t="shared" si="38"/>
        <v>6,036.00</v>
      </c>
      <c r="F87" s="6" t="str">
        <f t="shared" si="38"/>
        <v>5,880.00</v>
      </c>
      <c r="G87" s="6" t="str">
        <f t="shared" si="38"/>
        <v>6,029.00</v>
      </c>
      <c r="H87" s="7" t="str">
        <f t="shared" si="34"/>
        <v xml:space="preserve">   </v>
      </c>
      <c r="I87" s="8" t="str">
        <f t="shared" si="35"/>
        <v xml:space="preserve">   </v>
      </c>
      <c r="J87" s="9" t="str">
        <f t="shared" si="36"/>
        <v xml:space="preserve">   </v>
      </c>
      <c r="K87" s="10" t="str">
        <f t="shared" si="37"/>
        <v xml:space="preserve">   </v>
      </c>
    </row>
    <row r="88" spans="2:11" x14ac:dyDescent="0.25">
      <c r="B88" t="str">
        <f t="shared" si="33"/>
        <v>"HINDPETRO","open":"938.00","high":"945.10","low":"910.05","ltP":"917.90","ptsC":"-13.75","per":"-1.48","trdVol":"13.86","trdVolM":"1.39","ntP":"127.68","mVal":"1.28","wkhi":"990.95","wklo":"625.70","wkhicm_adj":"627.80","wklocm_adj":"205.05","xDt":"17-MAR-2016","cAct":"INTERIM DIVIDEND - RS 7\/- PER SHARE (PURPOSE REVISED)","yPC":"44.36","mPC":"6.98"</v>
      </c>
      <c r="C88" s="14" t="s">
        <v>68</v>
      </c>
      <c r="D88" s="6" t="str">
        <f t="shared" si="38"/>
        <v>938.00</v>
      </c>
      <c r="E88" s="6" t="str">
        <f t="shared" si="38"/>
        <v>945.10</v>
      </c>
      <c r="F88" s="6" t="str">
        <f t="shared" si="38"/>
        <v>910.05</v>
      </c>
      <c r="G88" s="6" t="str">
        <f t="shared" si="38"/>
        <v>917.90</v>
      </c>
      <c r="H88" s="7" t="str">
        <f t="shared" si="34"/>
        <v xml:space="preserve">   </v>
      </c>
      <c r="I88" s="8" t="str">
        <f t="shared" si="35"/>
        <v xml:space="preserve">   </v>
      </c>
      <c r="J88" s="9" t="str">
        <f t="shared" si="36"/>
        <v xml:space="preserve">   </v>
      </c>
      <c r="K88" s="10" t="str">
        <f t="shared" si="37"/>
        <v xml:space="preserve">   </v>
      </c>
    </row>
    <row r="89" spans="2:11" x14ac:dyDescent="0.25">
      <c r="B89" t="str">
        <f t="shared" si="33"/>
        <v>"HINDZINC","open":"169.95","high":"170.35","low":"167.15","ltP":"168.85","ptsC":"0.35","per":"0.21","trdVol":"3.05","trdVolM":"0.31","ntP":"5.16","mVal":"0.05","wkhi":"196.80","wklo":"117.05","wkhicm_adj":"184.00","wklocm_adj":"114.80","xDt":"31-DEC-2999","cAct":"-","yPC":"-1.43","mPC":"-2.34"</v>
      </c>
      <c r="C89" s="14" t="s">
        <v>90</v>
      </c>
      <c r="D89" s="6" t="str">
        <f t="shared" si="38"/>
        <v>169.95</v>
      </c>
      <c r="E89" s="6" t="str">
        <f t="shared" si="38"/>
        <v>170.35</v>
      </c>
      <c r="F89" s="6" t="str">
        <f t="shared" si="38"/>
        <v>167.15</v>
      </c>
      <c r="G89" s="6" t="str">
        <f t="shared" si="38"/>
        <v>168.85</v>
      </c>
      <c r="H89" s="7" t="str">
        <f t="shared" si="34"/>
        <v xml:space="preserve">   </v>
      </c>
      <c r="I89" s="8" t="str">
        <f t="shared" si="35"/>
        <v xml:space="preserve">   </v>
      </c>
      <c r="J89" s="9" t="str">
        <f t="shared" si="36"/>
        <v xml:space="preserve">   </v>
      </c>
      <c r="K89" s="10" t="str">
        <f t="shared" si="37"/>
        <v xml:space="preserve">   </v>
      </c>
    </row>
    <row r="90" spans="2:11" x14ac:dyDescent="0.25">
      <c r="B90" t="str">
        <f t="shared" si="33"/>
        <v>"IBULHSGFIN","open":"750.00","high":"754.25","low":"740.25","ltP":"746.50","ptsC":"2.75","per":"0.37","trdVol":"4.47","trdVolM":"0.45","ntP":"33.39","mVal":"0.33","wkhi":"820.85","wklo":"541.50","wkhicm_adj":"484.95","wklocm_adj":"187.05","xDt":"18-MAR-2016","cAct":"INTERIM DIVIDEND - RS 9\/- PER SHARE","yPC":"25.87","mPC":"6.21"</v>
      </c>
      <c r="C90" s="14" t="s">
        <v>91</v>
      </c>
      <c r="D90" s="6" t="str">
        <f t="shared" si="38"/>
        <v>750.00</v>
      </c>
      <c r="E90" s="6" t="str">
        <f t="shared" si="38"/>
        <v>754.25</v>
      </c>
      <c r="F90" s="6" t="str">
        <f t="shared" si="38"/>
        <v>740.25</v>
      </c>
      <c r="G90" s="6" t="str">
        <f t="shared" si="38"/>
        <v>746.50</v>
      </c>
      <c r="H90" s="7" t="str">
        <f t="shared" si="34"/>
        <v xml:space="preserve">   </v>
      </c>
      <c r="I90" s="8" t="str">
        <f t="shared" si="35"/>
        <v xml:space="preserve">   </v>
      </c>
      <c r="J90" s="9" t="str">
        <f t="shared" si="36"/>
        <v xml:space="preserve">   </v>
      </c>
      <c r="K90" s="10" t="str">
        <f t="shared" si="37"/>
        <v xml:space="preserve">   </v>
      </c>
    </row>
    <row r="91" spans="2:11" x14ac:dyDescent="0.25">
      <c r="B91" t="str">
        <f t="shared" si="33"/>
        <v>"IOC","open":"412.00","high":"412.80","low":"404.10","ltP":"404.95","ptsC":"-8.00","per":"-1.94","trdVol":"11.25","trdVolM":"1.12","ntP":"45.81","mVal":"0.46","wkhi":"465.90","wklo":"336.20","wkhicm_adj":"411.20","wklocm_adj":"193.75","xDt":"31-DEC-2999","cAct":"-","yPC":"12.28","mPC":"-7.37"</v>
      </c>
      <c r="C91" s="14" t="s">
        <v>92</v>
      </c>
      <c r="D91" s="6" t="str">
        <f t="shared" si="38"/>
        <v>412.00</v>
      </c>
      <c r="E91" s="6" t="str">
        <f t="shared" si="38"/>
        <v>412.80</v>
      </c>
      <c r="F91" s="6" t="str">
        <f t="shared" si="38"/>
        <v>404.10</v>
      </c>
      <c r="G91" s="6" t="str">
        <f t="shared" si="38"/>
        <v>404.95</v>
      </c>
      <c r="H91" s="7" t="str">
        <f t="shared" si="34"/>
        <v xml:space="preserve">   </v>
      </c>
      <c r="I91" s="8" t="str">
        <f t="shared" si="35"/>
        <v xml:space="preserve">   </v>
      </c>
      <c r="J91" s="9" t="str">
        <f t="shared" si="36"/>
        <v xml:space="preserve">   </v>
      </c>
      <c r="K91" s="10" t="str">
        <f t="shared" si="37"/>
        <v xml:space="preserve">   </v>
      </c>
    </row>
    <row r="92" spans="2:11" x14ac:dyDescent="0.25">
      <c r="B92" t="str">
        <f t="shared" si="33"/>
        <v>"JSWSTEEL","open":"1,378.00","high":"1,393.00","low":"1,357.80","ltP":"1,383.00","ptsC":"7.35","per":"0.53","trdVol":"3.76","trdVolM":"0.38","ntP":"51.70","mVal":"0.52","wkhi":"1,393.00","wklo":"800.00","wkhicm_adj":"1,366.50","wklocm_adj":"804.00","xDt":"31-DEC-2999","cAct":"-","yPC":"50.97","mPC":"1.50"</v>
      </c>
      <c r="C92" s="14" t="s">
        <v>93</v>
      </c>
      <c r="D92" s="6" t="str">
        <f t="shared" si="38"/>
        <v>1,378.00</v>
      </c>
      <c r="E92" s="6" t="str">
        <f t="shared" si="38"/>
        <v>1,393.00</v>
      </c>
      <c r="F92" s="6" t="str">
        <f t="shared" si="38"/>
        <v>1,357.80</v>
      </c>
      <c r="G92" s="6" t="str">
        <f t="shared" si="38"/>
        <v>1,383.00</v>
      </c>
      <c r="H92" s="7" t="str">
        <f t="shared" si="34"/>
        <v xml:space="preserve">   </v>
      </c>
      <c r="I92" s="8" t="str">
        <f t="shared" si="35"/>
        <v xml:space="preserve">   </v>
      </c>
      <c r="J92" s="9" t="str">
        <f t="shared" si="36"/>
        <v xml:space="preserve">   </v>
      </c>
      <c r="K92" s="10" t="str">
        <f t="shared" si="37"/>
        <v xml:space="preserve">   </v>
      </c>
    </row>
    <row r="93" spans="2:11" x14ac:dyDescent="0.25">
      <c r="B93" t="str">
        <f t="shared" si="33"/>
        <v>"LICHSGFIN","open":"463.90","high":"468.00","low":"460.55","ltP":"466.75","ptsC":"4.80","per":"1.04","trdVol":"8.93","trdVolM":"0.89","ntP":"41.51","mVal":"0.42","wkhi":"523.95","wklo":"388.65","wkhicm_adj":"429.50","wklocm_adj":"187.05","xDt":"31-DEC-2999","cAct":"-","yPC":"13.51","mPC":"0.91"</v>
      </c>
      <c r="C93" s="14" t="s">
        <v>94</v>
      </c>
      <c r="D93" s="6" t="str">
        <f t="shared" si="38"/>
        <v>463.90</v>
      </c>
      <c r="E93" s="6" t="str">
        <f t="shared" si="38"/>
        <v>468.00</v>
      </c>
      <c r="F93" s="6" t="str">
        <f t="shared" si="38"/>
        <v>460.55</v>
      </c>
      <c r="G93" s="6" t="str">
        <f t="shared" si="38"/>
        <v>466.75</v>
      </c>
      <c r="H93" s="7" t="str">
        <f t="shared" si="34"/>
        <v xml:space="preserve">   </v>
      </c>
      <c r="I93" s="8" t="str">
        <f t="shared" si="35"/>
        <v xml:space="preserve">   </v>
      </c>
      <c r="J93" s="9" t="str">
        <f t="shared" si="36"/>
        <v xml:space="preserve">   </v>
      </c>
      <c r="K93" s="10" t="str">
        <f t="shared" si="37"/>
        <v xml:space="preserve">   </v>
      </c>
    </row>
    <row r="94" spans="2:11" x14ac:dyDescent="0.25">
      <c r="B94" t="str">
        <f t="shared" si="33"/>
        <v>"MARICO","open":"257.00","high":"260.45","low":"254.10","ltP":"254.90","ptsC":"-2.40","per":"-0.93","trdVol":"3.19","trdVolM":"0.32","ntP":"8.21","mVal":"0.08","wkhi":"269.25","wklo":"189.30","wkhicm_adj":"350.20","wklocm_adj":"200.05","xDt":"17-MAR-2016","cAct":"INTERIM DIVIDEND - RE 1\/- PER SHARE (PURPOSE REVISED)","yPC":"-37.80","mPC":"1.96"</v>
      </c>
      <c r="C94" s="14" t="s">
        <v>95</v>
      </c>
      <c r="D94" s="6" t="str">
        <f t="shared" si="38"/>
        <v>257.00</v>
      </c>
      <c r="E94" s="6" t="str">
        <f t="shared" si="38"/>
        <v>260.45</v>
      </c>
      <c r="F94" s="6" t="str">
        <f t="shared" si="38"/>
        <v>254.10</v>
      </c>
      <c r="G94" s="6" t="str">
        <f t="shared" si="38"/>
        <v>254.90</v>
      </c>
      <c r="H94" s="7" t="str">
        <f t="shared" si="34"/>
        <v xml:space="preserve">   </v>
      </c>
      <c r="I94" s="8" t="str">
        <f t="shared" si="35"/>
        <v xml:space="preserve">   </v>
      </c>
      <c r="J94" s="9" t="str">
        <f t="shared" si="36"/>
        <v xml:space="preserve">   </v>
      </c>
      <c r="K94" s="10" t="str">
        <f t="shared" si="37"/>
        <v xml:space="preserve">   </v>
      </c>
    </row>
    <row r="95" spans="2:11" x14ac:dyDescent="0.25">
      <c r="B95" t="str">
        <f t="shared" si="33"/>
        <v>"MCDOWELL-N","open":"2,505.00","high":"2,507.00","low":"2,464.10","ltP":"2,481.45","ptsC":"0.30","per":"0.01","trdVol":"0.86","trdVolM":"0.09","ntP":"21.33","mVal":"0.21","wkhi":"3,837.90","wklo":"2,225.45","wkhicm_adj":"2,940.80","wklocm_adj":"2,225.00","xDt":"31-DEC-2999","cAct":"-","yPC":"-27.59","mPC":"4.99"</v>
      </c>
      <c r="C95" s="14" t="s">
        <v>96</v>
      </c>
      <c r="D95" s="6" t="str">
        <f t="shared" si="38"/>
        <v>2,505.00</v>
      </c>
      <c r="E95" s="6" t="str">
        <f t="shared" si="38"/>
        <v>2,507.00</v>
      </c>
      <c r="F95" s="6" t="str">
        <f t="shared" si="38"/>
        <v>2,464.10</v>
      </c>
      <c r="G95" s="6" t="str">
        <f t="shared" si="38"/>
        <v>2,481.45</v>
      </c>
      <c r="H95" s="7" t="str">
        <f t="shared" si="34"/>
        <v xml:space="preserve">   </v>
      </c>
      <c r="I95" s="8" t="str">
        <f t="shared" si="35"/>
        <v xml:space="preserve">   </v>
      </c>
      <c r="J95" s="9" t="str">
        <f t="shared" si="36"/>
        <v xml:space="preserve">   </v>
      </c>
      <c r="K95" s="10" t="str">
        <f t="shared" si="37"/>
        <v xml:space="preserve">   </v>
      </c>
    </row>
    <row r="96" spans="2:11" x14ac:dyDescent="0.25">
      <c r="B96" t="str">
        <f t="shared" si="33"/>
        <v>"MOTHERSUMI","open":"278.10","high":"286.75","low":"276.00","ltP":"286.05","ptsC":"6.80","per":"2.44","trdVol":"18.57","trdVolM":"1.86","ntP":"52.41","mVal":"0.52","wkhi":"396.00","wklo":"205.90","wkhicm_adj":"450.70","wklocm_adj":"178.25","xDt":"22-MAR-2016","cAct":"INTERIM DIVIDEND - RS 2.50\/- PER SHARE (PURPOSE REVISED)","yPC":"-39.62","mPC":"8.76"</v>
      </c>
      <c r="C96" s="14" t="s">
        <v>97</v>
      </c>
      <c r="D96" s="6" t="str">
        <f t="shared" si="38"/>
        <v>278.10</v>
      </c>
      <c r="E96" s="6" t="str">
        <f t="shared" si="38"/>
        <v>286.75</v>
      </c>
      <c r="F96" s="6" t="str">
        <f t="shared" si="38"/>
        <v>276.00</v>
      </c>
      <c r="G96" s="6" t="str">
        <f t="shared" si="38"/>
        <v>286.05</v>
      </c>
      <c r="H96" s="7" t="str">
        <f t="shared" si="34"/>
        <v xml:space="preserve">   </v>
      </c>
      <c r="I96" s="8" t="str">
        <f t="shared" si="35"/>
        <v xml:space="preserve">   </v>
      </c>
      <c r="J96" s="9" t="str">
        <f t="shared" si="36"/>
        <v xml:space="preserve">   </v>
      </c>
      <c r="K96" s="10" t="str">
        <f t="shared" si="37"/>
        <v xml:space="preserve">   </v>
      </c>
    </row>
    <row r="97" spans="2:11" x14ac:dyDescent="0.25">
      <c r="B97" t="str">
        <f t="shared" si="33"/>
        <v>"NHPC","open":"22.80","high":"23.95","low":"22.05","ltP":"22.95","ptsC":"-0.15","per":"-0.65","trdVol":"102.07","trdVolM":"10.21","ntP":"23.38","mVal":"0.23","wkhi":"24.45","wklo":"15.55","wkhicm_adj":"29.60","wklocm_adj":"17.35","xDt":"31-DEC-2999","cAct":"-","yPC":"13.61","mPC":"6.50"</v>
      </c>
      <c r="C97" s="14" t="s">
        <v>98</v>
      </c>
      <c r="D97" s="6" t="str">
        <f t="shared" si="38"/>
        <v>22.80</v>
      </c>
      <c r="E97" s="6" t="str">
        <f t="shared" si="38"/>
        <v>23.95</v>
      </c>
      <c r="F97" s="6" t="str">
        <f t="shared" si="38"/>
        <v>22.05</v>
      </c>
      <c r="G97" s="6" t="str">
        <f t="shared" si="38"/>
        <v>22.95</v>
      </c>
      <c r="H97" s="7" t="str">
        <f t="shared" si="34"/>
        <v xml:space="preserve">   </v>
      </c>
      <c r="I97" s="8" t="str">
        <f t="shared" si="35"/>
        <v xml:space="preserve">   </v>
      </c>
      <c r="J97" s="9" t="str">
        <f t="shared" si="36"/>
        <v xml:space="preserve">   </v>
      </c>
      <c r="K97" s="10" t="str">
        <f t="shared" si="37"/>
        <v xml:space="preserve">   </v>
      </c>
    </row>
    <row r="98" spans="2:11" x14ac:dyDescent="0.25">
      <c r="B98" t="str">
        <f t="shared" si="33"/>
        <v>"NMDC","open":"93.05","high":"93.25","low":"89.40","ltP":"89.50","ptsC":"-3.20","per":"-3.45","trdVol":"16.27","trdVolM":"1.63","ntP":"14.82","mVal":"0.15","wkhi":"133.50","wklo":"75.15","wkhicm_adj":"196.00","wklocm_adj":"123.10","xDt":"30-MAR-2016","cAct":"INTERIM DIVIDEND - RS 1.50\/- PER SHARE (PURPOSE REVISED)","yPC":"-31.86","mPC":"-9.37"</v>
      </c>
      <c r="C98" s="14" t="s">
        <v>60</v>
      </c>
      <c r="D98" s="6" t="str">
        <f t="shared" si="38"/>
        <v>93.05</v>
      </c>
      <c r="E98" s="6" t="str">
        <f t="shared" si="38"/>
        <v>93.25</v>
      </c>
      <c r="F98" s="6" t="str">
        <f t="shared" si="38"/>
        <v>89.40</v>
      </c>
      <c r="G98" s="6" t="str">
        <f t="shared" si="38"/>
        <v>89.50</v>
      </c>
      <c r="H98" s="7" t="str">
        <f t="shared" si="34"/>
        <v xml:space="preserve">   </v>
      </c>
      <c r="I98" s="8" t="str">
        <f t="shared" si="35"/>
        <v xml:space="preserve">   </v>
      </c>
      <c r="J98" s="9" t="str">
        <f t="shared" si="36"/>
        <v xml:space="preserve">   </v>
      </c>
      <c r="K98" s="10" t="str">
        <f t="shared" si="37"/>
        <v xml:space="preserve">   </v>
      </c>
    </row>
    <row r="99" spans="2:11" x14ac:dyDescent="0.25">
      <c r="B99" t="str">
        <f t="shared" si="33"/>
        <v>"OFSS","open":"3,524.00","high":"3,524.00","low":"3,462.70","ltP":"3,485.85","ptsC":"-0.90","per":"-0.03","trdVol":"0.09","trdVolM":"0.01","ntP":"3.17","mVal":"0.03","wkhi":"4,444.00","wklo":"3,100.00","wkhicm_adj":"4,180.00","wklocm_adj":"2,770.00","xDt":"31-DEC-2999","cAct":"-","yPC":"-3.96","mPC":"-1.87"</v>
      </c>
      <c r="C99" s="14" t="s">
        <v>99</v>
      </c>
      <c r="D99" s="6" t="str">
        <f t="shared" si="38"/>
        <v>3,524.00</v>
      </c>
      <c r="E99" s="6" t="str">
        <f t="shared" si="38"/>
        <v>3,524.00</v>
      </c>
      <c r="F99" s="6" t="str">
        <f t="shared" si="38"/>
        <v>3,462.70</v>
      </c>
      <c r="G99" s="6" t="str">
        <f t="shared" si="38"/>
        <v>3,485.85</v>
      </c>
      <c r="H99" s="7" t="str">
        <f t="shared" si="34"/>
        <v xml:space="preserve">SHORT </v>
      </c>
      <c r="I99" s="8">
        <f t="shared" si="35"/>
        <v>3514</v>
      </c>
      <c r="J99" s="9">
        <f t="shared" si="36"/>
        <v>3541.62</v>
      </c>
      <c r="K99" s="10">
        <f t="shared" si="37"/>
        <v>8.0108138873079375E-3</v>
      </c>
    </row>
    <row r="100" spans="2:11" x14ac:dyDescent="0.25">
      <c r="B100" t="str">
        <f t="shared" si="33"/>
        <v>"OIL","open":"351.90","high":"354.95","low":"343.10","ltP":"347.25","ptsC":"-1.45","per":"-0.42","trdVol":"1.86","trdVolM":"0.19","ntP":"6.49","mVal":"0.06","wkhi":"487.55","wklo":"300.35","wkhicm_adj":"669.95","wklocm_adj":"438.00","xDt":"31-DEC-2999","cAct":"-","yPC":"-27.06","mPC":"5.90"</v>
      </c>
      <c r="C100" s="14" t="s">
        <v>100</v>
      </c>
      <c r="D100" s="6" t="str">
        <f t="shared" si="38"/>
        <v>351.90</v>
      </c>
      <c r="E100" s="6" t="str">
        <f t="shared" si="38"/>
        <v>354.95</v>
      </c>
      <c r="F100" s="6" t="str">
        <f t="shared" si="38"/>
        <v>343.10</v>
      </c>
      <c r="G100" s="6" t="str">
        <f t="shared" si="38"/>
        <v>347.25</v>
      </c>
      <c r="H100" s="7" t="str">
        <f t="shared" si="34"/>
        <v xml:space="preserve">   </v>
      </c>
      <c r="I100" s="8" t="str">
        <f t="shared" si="35"/>
        <v xml:space="preserve">   </v>
      </c>
      <c r="J100" s="9" t="str">
        <f t="shared" si="36"/>
        <v xml:space="preserve">   </v>
      </c>
      <c r="K100" s="10" t="str">
        <f t="shared" si="37"/>
        <v xml:space="preserve">   </v>
      </c>
    </row>
    <row r="101" spans="2:11" x14ac:dyDescent="0.25">
      <c r="B101" t="str">
        <f t="shared" si="33"/>
        <v>"PFC","open":"166.55","high":"170.90","low":"165.80","ltP":"167.70","ptsC":"1.40","per":"0.84","trdVol":"11.88","trdVolM":"1.19","ntP":"19.93","mVal":"0.20","wkhi":"283.40","wklo":"140.25","wkhicm_adj":"344.75","wklocm_adj":"128.75","xDt":"31-DEC-2999","cAct":"-","yPC":"-40.19","mPC":"-6.47"</v>
      </c>
      <c r="C101" s="14" t="s">
        <v>101</v>
      </c>
      <c r="D101" s="6" t="str">
        <f t="shared" si="38"/>
        <v>166.55</v>
      </c>
      <c r="E101" s="6" t="str">
        <f t="shared" si="38"/>
        <v>170.90</v>
      </c>
      <c r="F101" s="6" t="str">
        <f t="shared" si="38"/>
        <v>165.80</v>
      </c>
      <c r="G101" s="6" t="str">
        <f t="shared" si="38"/>
        <v>167.70</v>
      </c>
      <c r="H101" s="7" t="str">
        <f t="shared" si="34"/>
        <v xml:space="preserve">   </v>
      </c>
      <c r="I101" s="8" t="str">
        <f t="shared" si="35"/>
        <v xml:space="preserve">   </v>
      </c>
      <c r="J101" s="9" t="str">
        <f t="shared" si="36"/>
        <v xml:space="preserve">   </v>
      </c>
      <c r="K101" s="10" t="str">
        <f t="shared" si="37"/>
        <v xml:space="preserve">   </v>
      </c>
    </row>
    <row r="102" spans="2:11" x14ac:dyDescent="0.25">
      <c r="B102" t="str">
        <f t="shared" si="33"/>
        <v>"PGHH","open":"6,289.00","high":"6,294.70","low":"6,177.10","ltP":"6,180.20","ptsC":"-109.35","per":"-1.74","trdVol":"0.01","trdVolM":"0.00","ntP":"0.70","mVal":"0.01","wkhi":"6,995.00","wklo":"5,178.65","wkhicm_adj":"5,949.00","wklocm_adj":"2,752.00","xDt":"31-DEC-2999","cAct":"-","yPC":"-3.78","mPC":"-3.79"</v>
      </c>
      <c r="C102" s="14" t="s">
        <v>102</v>
      </c>
      <c r="D102" s="6" t="str">
        <f t="shared" si="38"/>
        <v>6,289.00</v>
      </c>
      <c r="E102" s="6" t="str">
        <f t="shared" si="38"/>
        <v>6,294.70</v>
      </c>
      <c r="F102" s="6" t="str">
        <f t="shared" si="38"/>
        <v>6,177.10</v>
      </c>
      <c r="G102" s="6" t="str">
        <f t="shared" si="38"/>
        <v>6,180.20</v>
      </c>
      <c r="H102" s="7" t="str">
        <f t="shared" si="34"/>
        <v xml:space="preserve">   </v>
      </c>
      <c r="I102" s="8" t="str">
        <f t="shared" si="35"/>
        <v xml:space="preserve">   </v>
      </c>
      <c r="J102" s="9" t="str">
        <f t="shared" si="36"/>
        <v xml:space="preserve">   </v>
      </c>
      <c r="K102" s="10" t="str">
        <f t="shared" si="37"/>
        <v xml:space="preserve">   </v>
      </c>
    </row>
    <row r="103" spans="2:11" x14ac:dyDescent="0.25">
      <c r="B103" t="str">
        <f t="shared" si="33"/>
        <v>"PIDILITIND","open":"698.50","high":"708.65","low":"691.35","ltP":"699.15","ptsC":"4.50","per":"0.65","trdVol":"2.44","trdVolM":"0.24","ntP":"17.06","mVal":"0.17","wkhi":"709.00","wklo":"507.30","wkhicm_adj":"505.90","wklocm_adj":"269.60","xDt":"18-MAR-2016","cAct":"INTERIM DIVIDEND - RS 3.65\/- PER SHARE (PURPOSE REVISED)","yPC":"26.78","mPC":"15.30"</v>
      </c>
      <c r="C103" s="14" t="s">
        <v>103</v>
      </c>
      <c r="D103" s="6" t="str">
        <f t="shared" si="38"/>
        <v>698.50</v>
      </c>
      <c r="E103" s="6" t="str">
        <f t="shared" si="38"/>
        <v>708.65</v>
      </c>
      <c r="F103" s="6" t="str">
        <f t="shared" si="38"/>
        <v>691.35</v>
      </c>
      <c r="G103" s="6" t="str">
        <f t="shared" si="38"/>
        <v>699.15</v>
      </c>
      <c r="H103" s="7" t="str">
        <f t="shared" si="34"/>
        <v xml:space="preserve">   </v>
      </c>
      <c r="I103" s="8" t="str">
        <f t="shared" si="35"/>
        <v xml:space="preserve">   </v>
      </c>
      <c r="J103" s="9" t="str">
        <f t="shared" si="36"/>
        <v xml:space="preserve">   </v>
      </c>
      <c r="K103" s="10" t="str">
        <f t="shared" si="37"/>
        <v xml:space="preserve">   </v>
      </c>
    </row>
    <row r="104" spans="2:11" x14ac:dyDescent="0.25">
      <c r="B104" t="str">
        <f t="shared" si="33"/>
        <v>"PNB","open":"78.00","high":"78.90","low":"76.40","ltP":"77.40","ptsC":"0.80","per":"1.04","trdVol":"64.75","trdVolM":"6.47","ntP":"50.33","mVal":"0.50","wkhi":"180.55","wklo":"69.25","wkhicm_adj":"1,096.50","wklocm_adj":"509.15","xDt":"31-DEC-2999","cAct":"-","yPC":"-50.46","mPC":"-14.10"</v>
      </c>
      <c r="C104" s="14" t="s">
        <v>44</v>
      </c>
      <c r="D104" s="6" t="str">
        <f t="shared" si="38"/>
        <v>78.00</v>
      </c>
      <c r="E104" s="6" t="str">
        <f t="shared" si="38"/>
        <v>78.90</v>
      </c>
      <c r="F104" s="6" t="str">
        <f t="shared" si="38"/>
        <v>76.40</v>
      </c>
      <c r="G104" s="6" t="str">
        <f t="shared" si="38"/>
        <v>77.40</v>
      </c>
      <c r="H104" s="7" t="str">
        <f t="shared" si="34"/>
        <v xml:space="preserve">   </v>
      </c>
      <c r="I104" s="8" t="str">
        <f t="shared" si="35"/>
        <v xml:space="preserve">   </v>
      </c>
      <c r="J104" s="9" t="str">
        <f t="shared" si="36"/>
        <v xml:space="preserve">   </v>
      </c>
      <c r="K104" s="10" t="str">
        <f t="shared" si="37"/>
        <v xml:space="preserve">   </v>
      </c>
    </row>
    <row r="105" spans="2:11" x14ac:dyDescent="0.25">
      <c r="B105" t="str">
        <f t="shared" si="33"/>
        <v>"RCOM","open":"49.30","high":"50.65","low":"48.90","ltP":"49.65","ptsC":"0.70","per":"1.43","trdVol":"138.66","trdVolM":"13.87","ntP":"69.07","mVal":"0.69","wkhi":"91.75","wklo":"45.50","wkhicm_adj":"157.25","wklocm_adj":"93.05","xDt":"31-DEC-2999","cAct":"-","yPC":"-23.08","mPC":"-16.41"</v>
      </c>
      <c r="C105" s="14" t="s">
        <v>104</v>
      </c>
      <c r="D105" s="6" t="str">
        <f t="shared" si="38"/>
        <v>49.30</v>
      </c>
      <c r="E105" s="6" t="str">
        <f t="shared" si="38"/>
        <v>50.65</v>
      </c>
      <c r="F105" s="6" t="str">
        <f t="shared" si="38"/>
        <v>48.90</v>
      </c>
      <c r="G105" s="6" t="str">
        <f t="shared" si="38"/>
        <v>49.65</v>
      </c>
      <c r="H105" s="7" t="str">
        <f t="shared" si="34"/>
        <v xml:space="preserve">   </v>
      </c>
      <c r="I105" s="8" t="str">
        <f t="shared" si="35"/>
        <v xml:space="preserve">   </v>
      </c>
      <c r="J105" s="9" t="str">
        <f t="shared" si="36"/>
        <v xml:space="preserve">   </v>
      </c>
      <c r="K105" s="10" t="str">
        <f t="shared" si="37"/>
        <v xml:space="preserve">   </v>
      </c>
    </row>
    <row r="106" spans="2:11" x14ac:dyDescent="0.25">
      <c r="B106" t="str">
        <f t="shared" si="33"/>
        <v>"RECLTD","open":"159.50","high":"163.50","low":"159.50","ltP":"162.00","ptsC":"6.60","per":"4.25","trdVol":"41.43","trdVolM":"4.14","ntP":"66.95","mVal":"0.67","wkhi":"304.90","wklo":"152.25","wkhicm_adj":"383.40","wklocm_adj":"166.50","xDt":"31-DEC-2999","cAct":"-","yPC":"-46.30","mPC":"-11.14"</v>
      </c>
      <c r="C106" s="14" t="s">
        <v>105</v>
      </c>
      <c r="D106" s="6" t="str">
        <f t="shared" ref="D106:G115" si="39">MID($B106,FIND(D$9,$B106)+LEN(D$9)+3,FIND(CHAR(34),$B106,FIND(D$9,$B106)+LEN(D$9)+3)-(FIND(D$9,$B106)+LEN(D$9)+3))</f>
        <v>159.50</v>
      </c>
      <c r="E106" s="6" t="str">
        <f t="shared" si="39"/>
        <v>163.50</v>
      </c>
      <c r="F106" s="6" t="str">
        <f t="shared" si="39"/>
        <v>159.50</v>
      </c>
      <c r="G106" s="6" t="str">
        <f t="shared" si="39"/>
        <v>162.00</v>
      </c>
      <c r="H106" s="7" t="str">
        <f t="shared" si="34"/>
        <v xml:space="preserve">LONG </v>
      </c>
      <c r="I106" s="8">
        <f t="shared" si="35"/>
        <v>162</v>
      </c>
      <c r="J106" s="9">
        <f t="shared" si="36"/>
        <v>158.70249999999999</v>
      </c>
      <c r="K106" s="10">
        <f t="shared" si="37"/>
        <v>0</v>
      </c>
    </row>
    <row r="107" spans="2:11" x14ac:dyDescent="0.25">
      <c r="B107" t="str">
        <f t="shared" si="33"/>
        <v>"SAIL","open":"43.00","high":"43.65","low":"42.35","ltP":"43.10","ptsC":"0.40","per":"0.94","trdVol":"39.49","trdVolM":"3.95","ntP":"17.03","mVal":"0.17","wkhi":"67.30","wklo":"33.50","wkhicm_adj":"112.95","wklocm_adj":"54.05","xDt":"31-DEC-2999","cAct":"-","yPC":"-34.50","mPC":"-6.20"</v>
      </c>
      <c r="C107" s="14" t="s">
        <v>106</v>
      </c>
      <c r="D107" s="6" t="str">
        <f t="shared" si="39"/>
        <v>43.00</v>
      </c>
      <c r="E107" s="6" t="str">
        <f t="shared" si="39"/>
        <v>43.65</v>
      </c>
      <c r="F107" s="6" t="str">
        <f t="shared" si="39"/>
        <v>42.35</v>
      </c>
      <c r="G107" s="6" t="str">
        <f t="shared" si="39"/>
        <v>43.10</v>
      </c>
      <c r="H107" s="7" t="str">
        <f t="shared" si="34"/>
        <v xml:space="preserve">   </v>
      </c>
      <c r="I107" s="8" t="str">
        <f t="shared" si="35"/>
        <v xml:space="preserve">   </v>
      </c>
      <c r="J107" s="9" t="str">
        <f t="shared" si="36"/>
        <v xml:space="preserve">   </v>
      </c>
      <c r="K107" s="10" t="str">
        <f t="shared" si="37"/>
        <v xml:space="preserve">   </v>
      </c>
    </row>
    <row r="108" spans="2:11" x14ac:dyDescent="0.25">
      <c r="B108" t="str">
        <f t="shared" si="33"/>
        <v>"SHREECEM","open":"13,142.00","high":"13,450.00","low":"13,140.00","ltP":"13,400.00","ptsC":"259.95","per":"1.98","trdVol":"0.04","trdVolM":"0.00","ntP":"5.66","mVal":"0.06","wkhi":"13,888.00","wklo":"9,399.95","wkhicm_adj":"9,297.70","wklocm_adj":"4,100.10","xDt":"17-MAR-2016","cAct":"INTERIM DIVIDEND - RS 12\/- PER SHARE (PUPOSE REVISED)","yPC":"22.90","mPC":"5.30"</v>
      </c>
      <c r="C108" s="14" t="s">
        <v>107</v>
      </c>
      <c r="D108" s="6" t="str">
        <f t="shared" si="39"/>
        <v>13,142.00</v>
      </c>
      <c r="E108" s="6" t="str">
        <f t="shared" si="39"/>
        <v>13,450.00</v>
      </c>
      <c r="F108" s="6" t="str">
        <f t="shared" si="39"/>
        <v>13,140.00</v>
      </c>
      <c r="G108" s="6" t="str">
        <f t="shared" si="39"/>
        <v>13,400.00</v>
      </c>
      <c r="H108" s="7" t="str">
        <f t="shared" si="34"/>
        <v xml:space="preserve">   </v>
      </c>
      <c r="I108" s="8" t="str">
        <f t="shared" si="35"/>
        <v xml:space="preserve">   </v>
      </c>
      <c r="J108" s="9" t="str">
        <f t="shared" si="36"/>
        <v xml:space="preserve">   </v>
      </c>
      <c r="K108" s="10" t="str">
        <f t="shared" si="37"/>
        <v xml:space="preserve">   </v>
      </c>
    </row>
    <row r="109" spans="2:11" x14ac:dyDescent="0.25">
      <c r="B109" t="str">
        <f t="shared" si="33"/>
        <v>"SIEMENS","open":"1,202.80","high":"1,231.00","low":"1,198.10","ltP":"1,224.00","ptsC":"21.25","per":"1.77","trdVol":"2.30","trdVolM":"0.23","ntP":"28.05","mVal":"0.28","wkhi":"1,559.70","wklo":"968.60","wkhicm_adj":"1,010.00","wklocm_adj":"513.00","xDt":"31-DEC-2999","cAct":"-","yPC":"-11.76","mPC":"3.52"</v>
      </c>
      <c r="C109" s="14" t="s">
        <v>108</v>
      </c>
      <c r="D109" s="6" t="str">
        <f t="shared" si="39"/>
        <v>1,202.80</v>
      </c>
      <c r="E109" s="6" t="str">
        <f t="shared" si="39"/>
        <v>1,231.00</v>
      </c>
      <c r="F109" s="6" t="str">
        <f t="shared" si="39"/>
        <v>1,198.10</v>
      </c>
      <c r="G109" s="6" t="str">
        <f t="shared" si="39"/>
        <v>1,224.00</v>
      </c>
      <c r="H109" s="7" t="str">
        <f t="shared" si="34"/>
        <v xml:space="preserve">   </v>
      </c>
      <c r="I109" s="8" t="str">
        <f t="shared" si="35"/>
        <v xml:space="preserve">   </v>
      </c>
      <c r="J109" s="9" t="str">
        <f t="shared" si="36"/>
        <v xml:space="preserve">   </v>
      </c>
      <c r="K109" s="10" t="str">
        <f t="shared" si="37"/>
        <v xml:space="preserve">   </v>
      </c>
    </row>
    <row r="110" spans="2:11" x14ac:dyDescent="0.25">
      <c r="B110" t="str">
        <f t="shared" si="33"/>
        <v>"SRTRANSFIN","open":"1,190.15","high":"1,219.80","low":"1,175.65","ltP":"1,206.00","ptsC":"11.95","per":"1.00","trdVol":"3.59","trdVolM":"0.36","ntP":"42.89","mVal":"0.43","wkhi":"1,219.80","wklo":"736.95","wkhicm_adj":"1,139.00","wklocm_adj":"548.70","xDt":"31-DEC-2999","cAct":"-","yPC":"44.79","mPC":"21.28"</v>
      </c>
      <c r="C110" s="14" t="s">
        <v>109</v>
      </c>
      <c r="D110" s="6" t="str">
        <f t="shared" si="39"/>
        <v>1,190.15</v>
      </c>
      <c r="E110" s="6" t="str">
        <f t="shared" si="39"/>
        <v>1,219.80</v>
      </c>
      <c r="F110" s="6" t="str">
        <f t="shared" si="39"/>
        <v>1,175.65</v>
      </c>
      <c r="G110" s="6" t="str">
        <f t="shared" si="39"/>
        <v>1,206.00</v>
      </c>
      <c r="H110" s="7" t="str">
        <f t="shared" si="34"/>
        <v xml:space="preserve">   </v>
      </c>
      <c r="I110" s="8" t="str">
        <f t="shared" si="35"/>
        <v xml:space="preserve">   </v>
      </c>
      <c r="J110" s="9" t="str">
        <f t="shared" si="36"/>
        <v xml:space="preserve">   </v>
      </c>
      <c r="K110" s="10" t="str">
        <f t="shared" si="37"/>
        <v xml:space="preserve">   </v>
      </c>
    </row>
    <row r="111" spans="2:11" x14ac:dyDescent="0.25">
      <c r="B111" t="str">
        <f t="shared" si="33"/>
        <v>"TITAN","open":"361.10","high":"363.20","low":"354.25","ltP":"355.45","ptsC":"-5.00","per":"-1.39","trdVol":"11.32","trdVolM":"1.13","ntP":"40.48","mVal":"0.40","wkhi":"392.40","wklo":"301.70","wkhicm_adj":"425.00","wklocm_adj":"202.45","xDt":"22-MAR-2016","cAct":"INTERIM DIVIDEND - RS 2.20\/- PER SHARE (PURPOSE REVISED)","yPC":"-6.52","mPC":"-4.32"</v>
      </c>
      <c r="C111" s="14" t="s">
        <v>110</v>
      </c>
      <c r="D111" s="6" t="str">
        <f t="shared" si="39"/>
        <v>361.10</v>
      </c>
      <c r="E111" s="6" t="str">
        <f t="shared" si="39"/>
        <v>363.20</v>
      </c>
      <c r="F111" s="6" t="str">
        <f t="shared" si="39"/>
        <v>354.25</v>
      </c>
      <c r="G111" s="6" t="str">
        <f t="shared" si="39"/>
        <v>355.45</v>
      </c>
      <c r="H111" s="7" t="str">
        <f t="shared" si="34"/>
        <v xml:space="preserve">   </v>
      </c>
      <c r="I111" s="8" t="str">
        <f t="shared" si="35"/>
        <v xml:space="preserve">   </v>
      </c>
      <c r="J111" s="9" t="str">
        <f t="shared" si="36"/>
        <v xml:space="preserve">   </v>
      </c>
      <c r="K111" s="10" t="str">
        <f t="shared" si="37"/>
        <v xml:space="preserve">   </v>
      </c>
    </row>
    <row r="112" spans="2:11" x14ac:dyDescent="0.25">
      <c r="B112" t="str">
        <f t="shared" si="33"/>
        <v>"TORNTPHARM","open":"1,379.00","high":"1,384.80","low":"1,353.25","ltP":"1,367.00","ptsC":"-11.50","per":"-0.83","trdVol":"0.34","trdVolM":"0.03","ntP":"4.66","mVal":"0.05","wkhi":"1,718.40","wklo":"1,169.05","wkhicm_adj":"1,135.00","wklocm_adj":"458.00","xDt":"16-MAR-2016","cAct":"INTERIM DIVIDEND - RS 15\/- PER SHARE (PURPOSE REVISED)","yPC":"10.34","mPC":"-5.26"</v>
      </c>
      <c r="C112" s="14" t="s">
        <v>111</v>
      </c>
      <c r="D112" s="6" t="str">
        <f t="shared" si="39"/>
        <v>1,379.00</v>
      </c>
      <c r="E112" s="6" t="str">
        <f t="shared" si="39"/>
        <v>1,384.80</v>
      </c>
      <c r="F112" s="6" t="str">
        <f t="shared" si="39"/>
        <v>1,353.25</v>
      </c>
      <c r="G112" s="6" t="str">
        <f t="shared" si="39"/>
        <v>1,367.00</v>
      </c>
      <c r="H112" s="7" t="str">
        <f t="shared" si="34"/>
        <v xml:space="preserve">   </v>
      </c>
      <c r="I112" s="8" t="str">
        <f t="shared" si="35"/>
        <v xml:space="preserve">   </v>
      </c>
      <c r="J112" s="9" t="str">
        <f t="shared" si="36"/>
        <v xml:space="preserve">   </v>
      </c>
      <c r="K112" s="10" t="str">
        <f t="shared" si="37"/>
        <v xml:space="preserve">   </v>
      </c>
    </row>
    <row r="113" spans="2:11" x14ac:dyDescent="0.25">
      <c r="B113" t="str">
        <f t="shared" si="33"/>
        <v>"UBL","open":"726.80","high":"727.90","low":"715.00","ltP":"717.05","ptsC":"-5.25","per":"-0.73","trdVol":"1.32","trdVolM":"0.13","ntP":"9.50","mVal":"0.10","wkhi":"1,074.95","wklo":"690.00","wkhicm_adj":"859.00","wklocm_adj":"615.65","xDt":"31-DEC-2999","cAct":"-","yPC":"-24.70","mPC":"-5.39"</v>
      </c>
      <c r="C113" s="14" t="s">
        <v>112</v>
      </c>
      <c r="D113" s="6" t="str">
        <f t="shared" si="39"/>
        <v>726.80</v>
      </c>
      <c r="E113" s="6" t="str">
        <f t="shared" si="39"/>
        <v>727.90</v>
      </c>
      <c r="F113" s="6" t="str">
        <f t="shared" si="39"/>
        <v>715.00</v>
      </c>
      <c r="G113" s="6" t="str">
        <f t="shared" si="39"/>
        <v>717.05</v>
      </c>
      <c r="H113" s="7" t="str">
        <f t="shared" si="34"/>
        <v xml:space="preserve">   </v>
      </c>
      <c r="I113" s="8" t="str">
        <f t="shared" si="35"/>
        <v xml:space="preserve">   </v>
      </c>
      <c r="J113" s="9" t="str">
        <f t="shared" si="36"/>
        <v xml:space="preserve">   </v>
      </c>
      <c r="K113" s="10" t="str">
        <f t="shared" si="37"/>
        <v xml:space="preserve">   </v>
      </c>
    </row>
    <row r="114" spans="2:11" x14ac:dyDescent="0.25">
      <c r="B114" t="str">
        <f t="shared" si="33"/>
        <v>"UPL","open":"597.90","high":"602.60","low":"586.40","ltP":"593.80","ptsC":"-1.60","per":"-0.27","trdVol":"6.94","trdVolM":"0.69","ntP":"41.24","mVal":"0.41","wkhi":"612.95","wklo":"367.25","wkhicm_adj":"388.70","wklocm_adj":"161.10","xDt":"31-DEC-2999","cAct":"-","yPC":"14.43","mPC":"15.31"</v>
      </c>
      <c r="C114" s="14" t="s">
        <v>113</v>
      </c>
      <c r="D114" s="6" t="str">
        <f t="shared" si="39"/>
        <v>597.90</v>
      </c>
      <c r="E114" s="6" t="str">
        <f t="shared" si="39"/>
        <v>602.60</v>
      </c>
      <c r="F114" s="6" t="str">
        <f t="shared" si="39"/>
        <v>586.40</v>
      </c>
      <c r="G114" s="6" t="str">
        <f t="shared" si="39"/>
        <v>593.80</v>
      </c>
      <c r="H114" s="7" t="str">
        <f t="shared" si="34"/>
        <v xml:space="preserve">   </v>
      </c>
      <c r="I114" s="8" t="str">
        <f t="shared" si="35"/>
        <v xml:space="preserve">   </v>
      </c>
      <c r="J114" s="9" t="str">
        <f t="shared" si="36"/>
        <v xml:space="preserve">   </v>
      </c>
      <c r="K114" s="10" t="str">
        <f t="shared" si="37"/>
        <v xml:space="preserve">   </v>
      </c>
    </row>
    <row r="115" spans="2:11" x14ac:dyDescent="0.25">
      <c r="B115" t="str">
        <f t="shared" si="33"/>
        <v>"VEDL","open":"104.50","high":"107.45","low":"104.15","ltP":"106.35","ptsC":"3.55","per":"3.45","trdVol":"90.93","trdVolM":"9.09","ntP":"96.16","mVal":"0.96","wkhi":"204.00","wklo":"58.15","wkhicm_adj":"318.30","wklocm_adj":"168.85","xDt":"31-DEC-2999","cAct":"-","yPC":"-45.95","mPC":"1.43"</v>
      </c>
      <c r="C115" s="14" t="s">
        <v>55</v>
      </c>
      <c r="D115" s="6" t="str">
        <f t="shared" si="39"/>
        <v>104.50</v>
      </c>
      <c r="E115" s="6" t="str">
        <f t="shared" si="39"/>
        <v>107.45</v>
      </c>
      <c r="F115" s="6" t="str">
        <f t="shared" si="39"/>
        <v>104.15</v>
      </c>
      <c r="G115" s="6" t="str">
        <f t="shared" si="39"/>
        <v>106.35</v>
      </c>
      <c r="H115" s="7" t="str">
        <f t="shared" si="34"/>
        <v xml:space="preserve">   </v>
      </c>
      <c r="I115" s="8" t="str">
        <f t="shared" si="35"/>
        <v xml:space="preserve">   </v>
      </c>
      <c r="J115" s="9" t="str">
        <f t="shared" si="36"/>
        <v xml:space="preserve">   </v>
      </c>
      <c r="K115" s="10" t="str">
        <f t="shared" si="37"/>
        <v xml:space="preserve">   </v>
      </c>
    </row>
    <row r="119" spans="2:11" x14ac:dyDescent="0.25">
      <c r="C119" s="15" t="s">
        <v>114</v>
      </c>
    </row>
    <row r="120" spans="2:11" x14ac:dyDescent="0.25">
      <c r="B120" t="s">
        <v>1</v>
      </c>
      <c r="C120" s="4" t="s">
        <v>2</v>
      </c>
      <c r="D120" s="4" t="s">
        <v>3</v>
      </c>
      <c r="E120" s="4" t="s">
        <v>4</v>
      </c>
      <c r="F120" s="4" t="s">
        <v>5</v>
      </c>
      <c r="G120" s="4" t="s">
        <v>6</v>
      </c>
      <c r="H120" s="4" t="s">
        <v>7</v>
      </c>
      <c r="I120" s="4" t="s">
        <v>8</v>
      </c>
      <c r="J120" s="4" t="s">
        <v>9</v>
      </c>
      <c r="K120" s="4" t="s">
        <v>59</v>
      </c>
    </row>
    <row r="121" spans="2:11" x14ac:dyDescent="0.25">
      <c r="B121" t="str">
        <f>MID($E$6,FIND(C121,$E$6)-1,FIND("}",$E$6,FIND(C121,$E$6))-FIND(C121,$E$6)+1)</f>
        <v>"ADANIENT","open":"73.90","high":"74.65","low":"72.75","ltP":"73.95","ptsC":"0.60","per":"0.82","trdVol":"7.21","trdVolM":"0.72","ntP":"5.31","mVal":"0.05","wkhi":"791.00","wklo":"58.20","wkhicm_adj":"585.00","wklocm_adj":"210.10","xDt":"22-MAR-2016","cAct":"INTERIM DIVIDEND - RE 0.40\/- PER SHARE (PURPOSE REVISED)","yPC":"-89.93","mPC":"-13.76"</v>
      </c>
      <c r="C121" s="14" t="s">
        <v>115</v>
      </c>
      <c r="D121" s="6" t="str">
        <f>MID($B121,FIND(D$9,$B121)+LEN(D$9)+3,FIND(CHAR(34),$B121,FIND(D$9,$B121)+LEN(D$9)+3)-(FIND(D$9,$B121)+LEN(D$9)+3))</f>
        <v>73.90</v>
      </c>
      <c r="E121" s="6" t="str">
        <f>MID($B121,FIND(E$9,$B121)+LEN(E$9)+3,FIND(CHAR(34),$B121,FIND(E$9,$B121)+LEN(E$9)+3)-(FIND(E$9,$B121)+LEN(E$9)+3))</f>
        <v>74.65</v>
      </c>
      <c r="F121" s="6" t="str">
        <f>MID($B121,FIND(F$9,$B121)+LEN(F$9)+3,FIND(CHAR(34),$B121,FIND(F$9,$B121)+LEN(F$9)+3)-(FIND(F$9,$B121)+LEN(F$9)+3))</f>
        <v>72.75</v>
      </c>
      <c r="G121" s="6" t="str">
        <f>MID($B121,FIND(G$9,$B121)+LEN(G$9)+3,FIND(CHAR(34),$B121,FIND(G$9,$B121)+LEN(G$9)+3)-(FIND(G$9,$B121)+LEN(G$9)+3))</f>
        <v>73.95</v>
      </c>
      <c r="H121" s="7" t="str">
        <f t="shared" ref="H121" si="40">IF(AND(E121=0, F121=0, D121=0),"  ",IF(E121= D121,"SHORT ",IF(F121= D121,"LONG ",IF(E121&lt;&gt; F121&lt;&gt; D121,"   "))))</f>
        <v xml:space="preserve">   </v>
      </c>
      <c r="I121" s="8" t="str">
        <f t="shared" ref="I121" si="41">IF(AND(E121=0,F121=0,D121=0),"  ",IF(D121=F121,ROUND(((SQRT(F121) +0.0833) ^2),0),IF(E121=D121,ROUND(((SQRT(E121) -0.0833) ^2),0),IF(E121&lt;&gt;F121&lt;&gt;D121,"   "))))</f>
        <v xml:space="preserve">   </v>
      </c>
      <c r="J121" s="9" t="str">
        <f t="shared" ref="J121" si="42">IF(AND(E121=0, F121=0, D121=0),"  ",IF(E121= D121,D121+0.005*D121,IF(F121= D121,D121-0.005*D121,IF(E121&lt;&gt; F121&lt;&gt; D121,"   "))))</f>
        <v xml:space="preserve">   </v>
      </c>
      <c r="K121" s="10" t="str">
        <f t="shared" ref="K121" si="43">IF(AND(E121=0, F121=0, D121=0),"  ",IF(E121= D121,(I121-G121)/I121,IF(F121= D121,(G121-I121)/I121,IF(E121&lt;&gt; F121&lt;&gt; D121,"   "))))</f>
        <v xml:space="preserve">   </v>
      </c>
    </row>
    <row r="122" spans="2:11" x14ac:dyDescent="0.25">
      <c r="B122" t="str">
        <f t="shared" ref="B122:B170" si="44">MID($E$6,FIND(C122,$E$6)-1,FIND("}",$E$6,FIND(C122,$E$6))-FIND(C122,$E$6)+1)</f>
        <v>"ADANIPOWER","open":"30.25","high":"30.50","low":"29.75","ltP":"30.00","ptsC":"-0.05","per":"-0.17","trdVol":"21.33","trdVolM":"2.13","ntP":"6.42","mVal":"0.06","wkhi":"40.15","wklo":"19.60","wkhicm_adj":"68.35","wklocm_adj":"31.80","xDt":"31-DEC-2999","cAct":"-","yPC":"-22.18","mPC":"-7.12"</v>
      </c>
      <c r="C122" s="14" t="s">
        <v>116</v>
      </c>
      <c r="D122" s="6" t="str">
        <f t="shared" ref="D122:G158" si="45">MID($B122,FIND(D$9,$B122)+LEN(D$9)+3,FIND(CHAR(34),$B122,FIND(D$9,$B122)+LEN(D$9)+3)-(FIND(D$9,$B122)+LEN(D$9)+3))</f>
        <v>30.25</v>
      </c>
      <c r="E122" s="6" t="str">
        <f t="shared" si="45"/>
        <v>30.50</v>
      </c>
      <c r="F122" s="6" t="str">
        <f t="shared" si="45"/>
        <v>29.75</v>
      </c>
      <c r="G122" s="6" t="str">
        <f t="shared" si="45"/>
        <v>30.00</v>
      </c>
      <c r="H122" s="7" t="str">
        <f t="shared" ref="H122:H157" si="46">IF(AND(E122=0, F122=0, D122=0),"  ",IF(E122= D122,"SHORT ",IF(F122= D122,"LONG ",IF(E122&lt;&gt; F122&lt;&gt; D122,"   "))))</f>
        <v xml:space="preserve">   </v>
      </c>
      <c r="I122" s="8" t="str">
        <f t="shared" ref="I122:I157" si="47">IF(AND(E122=0,F122=0,D122=0),"  ",IF(D122=F122,ROUND(((SQRT(F122) +0.0833) ^2),0),IF(E122=D122,ROUND(((SQRT(E122) -0.0833) ^2),0),IF(E122&lt;&gt;F122&lt;&gt;D122,"   "))))</f>
        <v xml:space="preserve">   </v>
      </c>
      <c r="J122" s="9" t="str">
        <f t="shared" ref="J122:J157" si="48">IF(AND(E122=0, F122=0, D122=0),"  ",IF(E122= D122,D122+0.005*D122,IF(F122= D122,D122-0.005*D122,IF(E122&lt;&gt; F122&lt;&gt; D122,"   "))))</f>
        <v xml:space="preserve">   </v>
      </c>
      <c r="K122" s="10" t="str">
        <f t="shared" ref="K122:K157" si="49">IF(AND(E122=0, F122=0, D122=0),"  ",IF(E122= D122,(I122-G122)/I122,IF(F122= D122,(G122-I122)/I122,IF(E122&lt;&gt; F122&lt;&gt; D122,"   "))))</f>
        <v xml:space="preserve">   </v>
      </c>
    </row>
    <row r="123" spans="2:11" x14ac:dyDescent="0.25">
      <c r="B123" t="str">
        <f t="shared" si="44"/>
        <v>"AJANTPHARM","open":"1,524.05","high":"1,555.00","low":"1,524.05","ltP":"1,539.70","ptsC":"9.50","per":"0.62","trdVol":"0.50","trdVolM":"0.05","ntP":"7.78","mVal":"0.08","wkhi":"1,720.00","wklo":"1,101.05","wkhicm_adj":"2,526.95","wklocm_adj":"776.65","xDt":"31-DEC-2999","cAct":"-","yPC":"6.09","mPC":"0.48"</v>
      </c>
      <c r="C123" s="14" t="s">
        <v>117</v>
      </c>
      <c r="D123" s="6" t="str">
        <f t="shared" si="45"/>
        <v>1,524.05</v>
      </c>
      <c r="E123" s="6" t="str">
        <f t="shared" si="45"/>
        <v>1,555.00</v>
      </c>
      <c r="F123" s="6" t="str">
        <f t="shared" si="45"/>
        <v>1,524.05</v>
      </c>
      <c r="G123" s="6" t="str">
        <f t="shared" si="45"/>
        <v>1,539.70</v>
      </c>
      <c r="H123" s="7" t="str">
        <f t="shared" si="46"/>
        <v xml:space="preserve">LONG </v>
      </c>
      <c r="I123" s="8">
        <f t="shared" si="47"/>
        <v>1531</v>
      </c>
      <c r="J123" s="9">
        <f t="shared" si="48"/>
        <v>1516.42975</v>
      </c>
      <c r="K123" s="10">
        <f t="shared" si="49"/>
        <v>5.682560418027463E-3</v>
      </c>
    </row>
    <row r="124" spans="2:11" x14ac:dyDescent="0.25">
      <c r="B124" t="str">
        <f t="shared" si="44"/>
        <v>"ALBK","open":"53.60","high":"54.00","low":"52.20","ltP":"53.00","ptsC":"0.30","per":"0.57","trdVol":"12.09","trdVolM":"1.21","ntP":"6.41","mVal":"0.06","wkhi":"108.25","wklo":"39.40","wkhicm_adj":"150.00","wklocm_adj":"72.20","xDt":"31-DEC-2999","cAct":"-","yPC":"-49.74","mPC":"-11.07"</v>
      </c>
      <c r="C124" s="14" t="s">
        <v>118</v>
      </c>
      <c r="D124" s="6" t="str">
        <f t="shared" si="45"/>
        <v>53.60</v>
      </c>
      <c r="E124" s="6" t="str">
        <f t="shared" si="45"/>
        <v>54.00</v>
      </c>
      <c r="F124" s="6" t="str">
        <f t="shared" si="45"/>
        <v>52.20</v>
      </c>
      <c r="G124" s="6" t="str">
        <f t="shared" si="45"/>
        <v>53.00</v>
      </c>
      <c r="H124" s="7" t="str">
        <f t="shared" si="46"/>
        <v xml:space="preserve">   </v>
      </c>
      <c r="I124" s="8" t="str">
        <f t="shared" si="47"/>
        <v xml:space="preserve">   </v>
      </c>
      <c r="J124" s="9" t="str">
        <f t="shared" si="48"/>
        <v xml:space="preserve">   </v>
      </c>
      <c r="K124" s="10" t="str">
        <f t="shared" si="49"/>
        <v xml:space="preserve">   </v>
      </c>
    </row>
    <row r="125" spans="2:11" x14ac:dyDescent="0.25">
      <c r="B125" t="str">
        <f t="shared" si="44"/>
        <v>"AMARAJABAT","open":"865.35","high":"866.90","low":"850.00","ltP":"854.50","ptsC":"-6.70","per":"-0.78","trdVol":"1.08","trdVolM":"0.11","ntP":"9.20","mVal":"0.09","wkhi":"1,128.00","wklo":"774.15","wkhicm_adj":"794.00","wklocm_adj":"315.05","xDt":"22-MAR-2016","cAct":"INTERIM DIVIDEND - RS 4.25\/- PER SHARE (PURPOSE REVISED)","yPC":"-1.10","mPC":"-9.20"</v>
      </c>
      <c r="C125" s="14" t="s">
        <v>119</v>
      </c>
      <c r="D125" s="6" t="str">
        <f t="shared" si="45"/>
        <v>865.35</v>
      </c>
      <c r="E125" s="6" t="str">
        <f t="shared" si="45"/>
        <v>866.90</v>
      </c>
      <c r="F125" s="6" t="str">
        <f t="shared" si="45"/>
        <v>850.00</v>
      </c>
      <c r="G125" s="6" t="str">
        <f t="shared" si="45"/>
        <v>854.50</v>
      </c>
      <c r="H125" s="7" t="str">
        <f t="shared" si="46"/>
        <v xml:space="preserve">   </v>
      </c>
      <c r="I125" s="8" t="str">
        <f t="shared" si="47"/>
        <v xml:space="preserve">   </v>
      </c>
      <c r="J125" s="9" t="str">
        <f t="shared" si="48"/>
        <v xml:space="preserve">   </v>
      </c>
      <c r="K125" s="10" t="str">
        <f t="shared" si="49"/>
        <v xml:space="preserve">   </v>
      </c>
    </row>
    <row r="126" spans="2:11" x14ac:dyDescent="0.25">
      <c r="B126" t="str">
        <f t="shared" si="44"/>
        <v>"APOLLOTYRE","open":"157.90","high":"159.10","low":"154.30","ltP":"156.75","ptsC":"-0.10","per":"-0.06","trdVol":"4.95","trdVolM":"0.50","ntP":"7.75","mVal":"0.08","wkhi":"223.40","wklo":"127.05","wkhicm_adj":"242.95","wklocm_adj":"77.50","xDt":"31-DEC-2999","cAct":"-","yPC":"-13.92","mPC":"-5.83"</v>
      </c>
      <c r="C126" s="14" t="s">
        <v>120</v>
      </c>
      <c r="D126" s="6" t="str">
        <f t="shared" si="45"/>
        <v>157.90</v>
      </c>
      <c r="E126" s="6" t="str">
        <f t="shared" si="45"/>
        <v>159.10</v>
      </c>
      <c r="F126" s="6" t="str">
        <f t="shared" si="45"/>
        <v>154.30</v>
      </c>
      <c r="G126" s="6" t="str">
        <f t="shared" si="45"/>
        <v>156.75</v>
      </c>
      <c r="H126" s="7" t="str">
        <f t="shared" si="46"/>
        <v xml:space="preserve">   </v>
      </c>
      <c r="I126" s="8" t="str">
        <f t="shared" si="47"/>
        <v xml:space="preserve">   </v>
      </c>
      <c r="J126" s="9" t="str">
        <f t="shared" si="48"/>
        <v xml:space="preserve">   </v>
      </c>
      <c r="K126" s="10" t="str">
        <f t="shared" si="49"/>
        <v xml:space="preserve">   </v>
      </c>
    </row>
    <row r="127" spans="2:11" x14ac:dyDescent="0.25">
      <c r="B127" t="str">
        <f t="shared" si="44"/>
        <v>"ARVIND","open":"315.50","high":"318.00","low":"313.35","ltP":"314.40","ptsC":"-0.95","per":"-0.30","trdVol":"5.09","trdVolM":"0.51","ntP":"16.05","mVal":"0.16","wkhi":"365.70","wklo":"216.30","wkhicm_adj":"341.50","wklocm_adj":"119.00","xDt":"31-DEC-2999","cAct":"-","yPC":"31.99","mPC":"7.95"</v>
      </c>
      <c r="C127" s="14" t="s">
        <v>121</v>
      </c>
      <c r="D127" s="6" t="str">
        <f t="shared" si="45"/>
        <v>315.50</v>
      </c>
      <c r="E127" s="6" t="str">
        <f t="shared" si="45"/>
        <v>318.00</v>
      </c>
      <c r="F127" s="6" t="str">
        <f t="shared" si="45"/>
        <v>313.35</v>
      </c>
      <c r="G127" s="6" t="str">
        <f t="shared" si="45"/>
        <v>314.40</v>
      </c>
      <c r="H127" s="7" t="str">
        <f t="shared" si="46"/>
        <v xml:space="preserve">   </v>
      </c>
      <c r="I127" s="8" t="str">
        <f t="shared" si="47"/>
        <v xml:space="preserve">   </v>
      </c>
      <c r="J127" s="9" t="str">
        <f t="shared" si="48"/>
        <v xml:space="preserve">   </v>
      </c>
      <c r="K127" s="10" t="str">
        <f t="shared" si="49"/>
        <v xml:space="preserve">   </v>
      </c>
    </row>
    <row r="128" spans="2:11" x14ac:dyDescent="0.25">
      <c r="B128" t="str">
        <f t="shared" si="44"/>
        <v>"BANKINDIA","open":"87.55","high":"88.45","low":"85.50","ltP":"86.75","ptsC":"-0.20","per":"-0.23","trdVol":"19.75","trdVolM":"1.98","ntP":"17.10","mVal":"0.17","wkhi":"205.00","wklo":"78.40","wkhicm_adj":"357.00","wklocm_adj":"165.55","xDt":"31-DEC-2999","cAct":"-","yPC":"-54.78","mPC":"-10.38"</v>
      </c>
      <c r="C128" s="14" t="s">
        <v>122</v>
      </c>
      <c r="D128" s="6" t="str">
        <f t="shared" si="45"/>
        <v>87.55</v>
      </c>
      <c r="E128" s="6" t="str">
        <f t="shared" si="45"/>
        <v>88.45</v>
      </c>
      <c r="F128" s="6" t="str">
        <f t="shared" si="45"/>
        <v>85.50</v>
      </c>
      <c r="G128" s="6" t="str">
        <f t="shared" si="45"/>
        <v>86.75</v>
      </c>
      <c r="H128" s="7" t="str">
        <f t="shared" si="46"/>
        <v xml:space="preserve">   </v>
      </c>
      <c r="I128" s="8" t="str">
        <f t="shared" si="47"/>
        <v xml:space="preserve">   </v>
      </c>
      <c r="J128" s="9" t="str">
        <f t="shared" si="48"/>
        <v xml:space="preserve">   </v>
      </c>
      <c r="K128" s="10" t="str">
        <f t="shared" si="49"/>
        <v xml:space="preserve">   </v>
      </c>
    </row>
    <row r="129" spans="2:11" x14ac:dyDescent="0.25">
      <c r="B129" t="str">
        <f t="shared" si="44"/>
        <v>"BATAINDIA","open":"558.65","high":"571.30","low":"557.50","ltP":"569.80","ptsC":"12.50","per":"2.24","trdVol":"4.69","trdVolM":"0.47","ntP":"26.60","mVal":"0.27","wkhi":"622.00","wklo":"438.00","wkhicm_adj":"1,413.40","wklocm_adj":"894.55","xDt":"31-DEC-2999","cAct":"-","yPC":"-45.91","mPC":"0.96"</v>
      </c>
      <c r="C129" s="14" t="s">
        <v>123</v>
      </c>
      <c r="D129" s="6" t="str">
        <f t="shared" si="45"/>
        <v>558.65</v>
      </c>
      <c r="E129" s="6" t="str">
        <f t="shared" si="45"/>
        <v>571.30</v>
      </c>
      <c r="F129" s="6" t="str">
        <f t="shared" si="45"/>
        <v>557.50</v>
      </c>
      <c r="G129" s="6" t="str">
        <f t="shared" si="45"/>
        <v>569.80</v>
      </c>
      <c r="H129" s="7" t="str">
        <f t="shared" si="46"/>
        <v xml:space="preserve">   </v>
      </c>
      <c r="I129" s="8" t="str">
        <f t="shared" si="47"/>
        <v xml:space="preserve">   </v>
      </c>
      <c r="J129" s="9" t="str">
        <f t="shared" si="48"/>
        <v xml:space="preserve">   </v>
      </c>
      <c r="K129" s="10" t="str">
        <f t="shared" si="49"/>
        <v xml:space="preserve">   </v>
      </c>
    </row>
    <row r="130" spans="2:11" x14ac:dyDescent="0.25">
      <c r="B130" t="str">
        <f t="shared" si="44"/>
        <v>"BIOCON","open":"703.90","high":"707.50","low":"686.55","ltP":"688.75","ptsC":"-10.70","per":"-1.53","trdVol":"3.97","trdVolM":"0.40","ntP":"27.58","mVal":"0.28","wkhi":"717.00","wklo":"395.30","wkhicm_adj":"553.60","wklocm_adj":"378.65","xDt":"17-MAR-2016","cAct":"INTERIM DIVIDEND - RS 5\/- PER SHARE (PURPOSE REVISED)","yPC":"55.72","mPC":"20.43"</v>
      </c>
      <c r="C130" s="14" t="s">
        <v>124</v>
      </c>
      <c r="D130" s="6" t="str">
        <f t="shared" si="45"/>
        <v>703.90</v>
      </c>
      <c r="E130" s="6" t="str">
        <f t="shared" si="45"/>
        <v>707.50</v>
      </c>
      <c r="F130" s="6" t="str">
        <f t="shared" si="45"/>
        <v>686.55</v>
      </c>
      <c r="G130" s="6" t="str">
        <f t="shared" si="45"/>
        <v>688.75</v>
      </c>
      <c r="H130" s="7" t="str">
        <f t="shared" si="46"/>
        <v xml:space="preserve">   </v>
      </c>
      <c r="I130" s="8" t="str">
        <f t="shared" si="47"/>
        <v xml:space="preserve">   </v>
      </c>
      <c r="J130" s="9" t="str">
        <f t="shared" si="48"/>
        <v xml:space="preserve">   </v>
      </c>
      <c r="K130" s="10" t="str">
        <f t="shared" si="49"/>
        <v xml:space="preserve">   </v>
      </c>
    </row>
    <row r="131" spans="2:11" x14ac:dyDescent="0.25">
      <c r="B131" t="str">
        <f t="shared" si="44"/>
        <v>"CANBK","open":"194.05","high":"195.65","low":"188.70","ltP":"193.60","ptsC":"0.95","per":"0.49","trdVol":"26.00","trdVolM":"2.60","ntP":"49.95","mVal":"0.50","wkhi":"360.45","wklo":"156.00","wkhicm_adj":"498.00","wklocm_adj":"209.00","xDt":"31-DEC-2999","cAct":"-","yPC":"-43.31","mPC":"-8.64"</v>
      </c>
      <c r="C131" s="14" t="s">
        <v>125</v>
      </c>
      <c r="D131" s="6" t="str">
        <f t="shared" si="45"/>
        <v>194.05</v>
      </c>
      <c r="E131" s="6" t="str">
        <f t="shared" si="45"/>
        <v>195.65</v>
      </c>
      <c r="F131" s="6" t="str">
        <f t="shared" si="45"/>
        <v>188.70</v>
      </c>
      <c r="G131" s="6" t="str">
        <f t="shared" si="45"/>
        <v>193.60</v>
      </c>
      <c r="H131" s="7" t="str">
        <f t="shared" si="46"/>
        <v xml:space="preserve">   </v>
      </c>
      <c r="I131" s="8" t="str">
        <f t="shared" si="47"/>
        <v xml:space="preserve">   </v>
      </c>
      <c r="J131" s="9" t="str">
        <f t="shared" si="48"/>
        <v xml:space="preserve">   </v>
      </c>
      <c r="K131" s="10" t="str">
        <f t="shared" si="49"/>
        <v xml:space="preserve">   </v>
      </c>
    </row>
    <row r="132" spans="2:11" x14ac:dyDescent="0.25">
      <c r="B132" t="str">
        <f t="shared" si="44"/>
        <v>"CENTURYTEX","open":"627.40","high":"628.90","low":"616.85","ltP":"620.80","ptsC":"-2.40","per":"-0.39","trdVol":"2.61","trdVolM":"0.26","ntP":"16.23","mVal":"0.16","wkhi":"748.60","wklo":"403.00","wkhicm_adj":"664.40","wklocm_adj":"248.25","xDt":"31-DEC-2999","cAct":"-","yPC":"-6.44","mPC":"-1.36"</v>
      </c>
      <c r="C132" s="14" t="s">
        <v>126</v>
      </c>
      <c r="D132" s="6" t="str">
        <f t="shared" si="45"/>
        <v>627.40</v>
      </c>
      <c r="E132" s="6" t="str">
        <f t="shared" si="45"/>
        <v>628.90</v>
      </c>
      <c r="F132" s="6" t="str">
        <f t="shared" si="45"/>
        <v>616.85</v>
      </c>
      <c r="G132" s="6" t="str">
        <f t="shared" si="45"/>
        <v>620.80</v>
      </c>
      <c r="H132" s="7" t="str">
        <f t="shared" si="46"/>
        <v xml:space="preserve">   </v>
      </c>
      <c r="I132" s="8" t="str">
        <f t="shared" si="47"/>
        <v xml:space="preserve">   </v>
      </c>
      <c r="J132" s="9" t="str">
        <f t="shared" si="48"/>
        <v xml:space="preserve">   </v>
      </c>
      <c r="K132" s="10" t="str">
        <f t="shared" si="49"/>
        <v xml:space="preserve">   </v>
      </c>
    </row>
    <row r="133" spans="2:11" x14ac:dyDescent="0.25">
      <c r="B133" t="str">
        <f t="shared" si="44"/>
        <v>"CESC","open":"563.70","high":"563.70","low":"552.35","ltP":"557.75","ptsC":"-4.60","per":"-0.82","trdVol":"1.00","trdVolM":"0.10","ntP":"5.60","mVal":"0.06","wkhi":"624.30","wklo":"404.55","wkhicm_adj":"827.45","wklocm_adj":"374.40","xDt":"17-MAR-2016","cAct":"INTERIM DIVIDEND - RS 10\/- PER SHARE (PURPOSE REVISED)","yPC":"1.85","mPC":"0.80"</v>
      </c>
      <c r="C133" s="14" t="s">
        <v>127</v>
      </c>
      <c r="D133" s="6" t="str">
        <f t="shared" si="45"/>
        <v>563.70</v>
      </c>
      <c r="E133" s="6" t="str">
        <f t="shared" si="45"/>
        <v>563.70</v>
      </c>
      <c r="F133" s="6" t="str">
        <f t="shared" si="45"/>
        <v>552.35</v>
      </c>
      <c r="G133" s="6" t="str">
        <f t="shared" si="45"/>
        <v>557.75</v>
      </c>
      <c r="H133" s="7" t="str">
        <f t="shared" si="46"/>
        <v xml:space="preserve">SHORT </v>
      </c>
      <c r="I133" s="8">
        <f t="shared" si="47"/>
        <v>560</v>
      </c>
      <c r="J133" s="9">
        <f t="shared" si="48"/>
        <v>566.51850000000002</v>
      </c>
      <c r="K133" s="10">
        <f t="shared" si="49"/>
        <v>4.0178571428571425E-3</v>
      </c>
    </row>
    <row r="134" spans="2:11" x14ac:dyDescent="0.25">
      <c r="B134" t="str">
        <f t="shared" si="44"/>
        <v>"DISHTV","open":"87.00","high":"87.80","low":"85.40","ltP":"87.30","ptsC":"0.60","per":"0.69","trdVol":"20.98","trdVolM":"2.10","ntP":"18.20","mVal":"0.18","wkhi":"121.65","wklo":"65.20","wkhicm_adj":"65.90","wklocm_adj":"43.15","xDt":"31-DEC-2999","cAct":"-","yPC":"-10.05","mPC":"-3.96"</v>
      </c>
      <c r="C134" s="14" t="s">
        <v>128</v>
      </c>
      <c r="D134" s="6" t="str">
        <f t="shared" si="45"/>
        <v>87.00</v>
      </c>
      <c r="E134" s="6" t="str">
        <f t="shared" si="45"/>
        <v>87.80</v>
      </c>
      <c r="F134" s="6" t="str">
        <f t="shared" si="45"/>
        <v>85.40</v>
      </c>
      <c r="G134" s="6" t="str">
        <f t="shared" si="45"/>
        <v>87.30</v>
      </c>
      <c r="H134" s="7" t="str">
        <f t="shared" si="46"/>
        <v xml:space="preserve">   </v>
      </c>
      <c r="I134" s="8" t="str">
        <f t="shared" si="47"/>
        <v xml:space="preserve">   </v>
      </c>
      <c r="J134" s="9" t="str">
        <f t="shared" si="48"/>
        <v xml:space="preserve">   </v>
      </c>
      <c r="K134" s="10" t="str">
        <f t="shared" si="49"/>
        <v xml:space="preserve">   </v>
      </c>
    </row>
    <row r="135" spans="2:11" x14ac:dyDescent="0.25">
      <c r="B135" t="str">
        <f t="shared" si="44"/>
        <v>"ENGINERSIN","open":"180.30","high":"184.90","low":"178.40","ltP":"184.00","ptsC":"3.55","per":"1.97","trdVol":"4.16","trdVolM":"0.42","ntP":"7.55","mVal":"0.08","wkhi":"252.20","wklo":"143.10","wkhicm_adj":"331.70","wklocm_adj":"142.50","xDt":"08-MAR-2016","cAct":"INTERIM DIVIDEND - RS 2\/- PER SHARE (PURPOSE REVISED)","yPC":"-7.95","mPC":"-0.38"</v>
      </c>
      <c r="C135" s="14" t="s">
        <v>129</v>
      </c>
      <c r="D135" s="6" t="str">
        <f t="shared" si="45"/>
        <v>180.30</v>
      </c>
      <c r="E135" s="6" t="str">
        <f t="shared" si="45"/>
        <v>184.90</v>
      </c>
      <c r="F135" s="6" t="str">
        <f t="shared" si="45"/>
        <v>178.40</v>
      </c>
      <c r="G135" s="6" t="str">
        <f t="shared" si="45"/>
        <v>184.00</v>
      </c>
      <c r="H135" s="7" t="str">
        <f t="shared" si="46"/>
        <v xml:space="preserve">   </v>
      </c>
      <c r="I135" s="8" t="str">
        <f t="shared" si="47"/>
        <v xml:space="preserve">   </v>
      </c>
      <c r="J135" s="9" t="str">
        <f t="shared" si="48"/>
        <v xml:space="preserve">   </v>
      </c>
      <c r="K135" s="10" t="str">
        <f t="shared" si="49"/>
        <v xml:space="preserve">   </v>
      </c>
    </row>
    <row r="136" spans="2:11" x14ac:dyDescent="0.25">
      <c r="B136" t="str">
        <f t="shared" si="44"/>
        <v>"EXIDEIND","open":"158.00","high":"160.00","low":"156.80","ltP":"158.90","ptsC":"1.35","per":"0.86","trdVol":"3.56","trdVolM":"0.36","ntP":"5.64","mVal":"0.06","wkhi":"168.60","wklo":"116.00","wkhicm_adj":"183.40","wklocm_adj":"99.00","xDt":"31-DEC-2999","cAct":"-","yPC":"3.18","mPC":"6.29"</v>
      </c>
      <c r="C136" s="14" t="s">
        <v>130</v>
      </c>
      <c r="D136" s="6" t="str">
        <f t="shared" si="45"/>
        <v>158.00</v>
      </c>
      <c r="E136" s="6" t="str">
        <f t="shared" si="45"/>
        <v>160.00</v>
      </c>
      <c r="F136" s="6" t="str">
        <f t="shared" si="45"/>
        <v>156.80</v>
      </c>
      <c r="G136" s="6" t="str">
        <f t="shared" si="45"/>
        <v>158.90</v>
      </c>
      <c r="H136" s="7" t="str">
        <f t="shared" si="46"/>
        <v xml:space="preserve">   </v>
      </c>
      <c r="I136" s="8" t="str">
        <f t="shared" si="47"/>
        <v xml:space="preserve">   </v>
      </c>
      <c r="J136" s="9" t="str">
        <f t="shared" si="48"/>
        <v xml:space="preserve">   </v>
      </c>
      <c r="K136" s="10" t="str">
        <f t="shared" si="49"/>
        <v xml:space="preserve">   </v>
      </c>
    </row>
    <row r="137" spans="2:11" x14ac:dyDescent="0.25">
      <c r="B137" t="str">
        <f t="shared" si="44"/>
        <v>"FEDERALBNK","open":"53.00","high":"53.30","low":"52.30","ltP":"52.95","ptsC":"0.40","per":"0.76","trdVol":"21.27","trdVolM":"2.13","ntP":"11.22","mVal":"0.11","wkhi":"79.80","wklo":"41.35","wkhicm_adj":"152.95","wklocm_adj":"72.35","xDt":"31-DEC-2999","cAct":"-","yPC":"-25.87","mPC":"10.31"</v>
      </c>
      <c r="C137" s="14" t="s">
        <v>131</v>
      </c>
      <c r="D137" s="6" t="str">
        <f t="shared" si="45"/>
        <v>53.00</v>
      </c>
      <c r="E137" s="6" t="str">
        <f t="shared" si="45"/>
        <v>53.30</v>
      </c>
      <c r="F137" s="6" t="str">
        <f t="shared" si="45"/>
        <v>52.30</v>
      </c>
      <c r="G137" s="6" t="str">
        <f t="shared" si="45"/>
        <v>52.95</v>
      </c>
      <c r="H137" s="7" t="str">
        <f t="shared" si="46"/>
        <v xml:space="preserve">   </v>
      </c>
      <c r="I137" s="8" t="str">
        <f t="shared" si="47"/>
        <v xml:space="preserve">   </v>
      </c>
      <c r="J137" s="9" t="str">
        <f t="shared" si="48"/>
        <v xml:space="preserve">   </v>
      </c>
      <c r="K137" s="10" t="str">
        <f t="shared" si="49"/>
        <v xml:space="preserve">   </v>
      </c>
    </row>
    <row r="138" spans="2:11" x14ac:dyDescent="0.25">
      <c r="B138" t="str">
        <f t="shared" si="44"/>
        <v>"GMRINFRA","open":"11.60","high":"11.65","low":"11.35","ltP":"11.55","ptsC":"0.10","per":"0.87","trdVol":"34.46","trdVolM":"3.45","ntP":"3.97","mVal":"0.04","wkhi":"18.55","wklo":"9.75","wkhicm_adj":"38.25","wklocm_adj":"17.15","xDt":"31-DEC-2999","cAct":"-","yPC":"-20.07","mPC":"-7.23"</v>
      </c>
      <c r="C138" s="14" t="s">
        <v>132</v>
      </c>
      <c r="D138" s="6" t="str">
        <f t="shared" si="45"/>
        <v>11.60</v>
      </c>
      <c r="E138" s="6" t="str">
        <f t="shared" si="45"/>
        <v>11.65</v>
      </c>
      <c r="F138" s="6" t="str">
        <f t="shared" si="45"/>
        <v>11.35</v>
      </c>
      <c r="G138" s="6" t="str">
        <f t="shared" si="45"/>
        <v>11.55</v>
      </c>
      <c r="H138" s="7" t="str">
        <f t="shared" si="46"/>
        <v xml:space="preserve">   </v>
      </c>
      <c r="I138" s="8" t="str">
        <f t="shared" si="47"/>
        <v xml:space="preserve">   </v>
      </c>
      <c r="J138" s="9" t="str">
        <f t="shared" si="48"/>
        <v xml:space="preserve">   </v>
      </c>
      <c r="K138" s="10" t="str">
        <f t="shared" si="49"/>
        <v xml:space="preserve">   </v>
      </c>
    </row>
    <row r="139" spans="2:11" x14ac:dyDescent="0.25">
      <c r="B139" t="str">
        <f t="shared" si="44"/>
        <v>"GODREJIND","open":"348.00","high":"356.95","low":"346.15","ltP":"351.35","ptsC":"3.50","per":"1.01","trdVol":"2.19","trdVolM":"0.22","ntP":"7.72","mVal":"0.08","wkhi":"412.00","wklo":"290.00","wkhicm_adj":"372.80","wklocm_adj":"248.50","xDt":"15-MAR-2016","cAct":"INTERIM DIVIDEND - RE 1.75 PER SHARE (PURPOSE REVISED)","yPC":"-6.93","mPC":"-1.21"</v>
      </c>
      <c r="C139" s="14" t="s">
        <v>133</v>
      </c>
      <c r="D139" s="6" t="str">
        <f t="shared" si="45"/>
        <v>348.00</v>
      </c>
      <c r="E139" s="6" t="str">
        <f t="shared" si="45"/>
        <v>356.95</v>
      </c>
      <c r="F139" s="6" t="str">
        <f t="shared" si="45"/>
        <v>346.15</v>
      </c>
      <c r="G139" s="6" t="str">
        <f t="shared" si="45"/>
        <v>351.35</v>
      </c>
      <c r="H139" s="7" t="str">
        <f t="shared" si="46"/>
        <v xml:space="preserve">   </v>
      </c>
      <c r="I139" s="8" t="str">
        <f t="shared" si="47"/>
        <v xml:space="preserve">   </v>
      </c>
      <c r="J139" s="9" t="str">
        <f t="shared" si="48"/>
        <v xml:space="preserve">   </v>
      </c>
      <c r="K139" s="10" t="str">
        <f t="shared" si="49"/>
        <v xml:space="preserve">   </v>
      </c>
    </row>
    <row r="140" spans="2:11" x14ac:dyDescent="0.25">
      <c r="B140" t="str">
        <f t="shared" si="44"/>
        <v>"HAVELLS","open":"374.50","high":"377.80","low":"370.35","ltP":"371.50","ptsC":"-3.40","per":"-0.91","trdVol":"7.57","trdVolM":"0.76","ntP":"28.25","mVal":"0.28","wkhi":"378.40","wklo":"235.30","wkhicm_adj":"326.50","wklocm_adj":"143.57","xDt":"31-DEC-2999","cAct":"-","yPC":"36.91","mPC":"7.93"</v>
      </c>
      <c r="C140" s="14" t="s">
        <v>134</v>
      </c>
      <c r="D140" s="6" t="str">
        <f t="shared" si="45"/>
        <v>374.50</v>
      </c>
      <c r="E140" s="6" t="str">
        <f t="shared" si="45"/>
        <v>377.80</v>
      </c>
      <c r="F140" s="6" t="str">
        <f t="shared" si="45"/>
        <v>370.35</v>
      </c>
      <c r="G140" s="6" t="str">
        <f t="shared" si="45"/>
        <v>371.50</v>
      </c>
      <c r="H140" s="7" t="str">
        <f t="shared" si="46"/>
        <v xml:space="preserve">   </v>
      </c>
      <c r="I140" s="8" t="str">
        <f t="shared" si="47"/>
        <v xml:space="preserve">   </v>
      </c>
      <c r="J140" s="9" t="str">
        <f t="shared" si="48"/>
        <v xml:space="preserve">   </v>
      </c>
      <c r="K140" s="10" t="str">
        <f t="shared" si="49"/>
        <v xml:space="preserve">   </v>
      </c>
    </row>
    <row r="141" spans="2:11" x14ac:dyDescent="0.25">
      <c r="B141" t="str">
        <f t="shared" si="44"/>
        <v>"HEXAWARE","open":"216.90","high":"218.75","low":"215.20","ltP":"217.15","ptsC":"1.45","per":"0.67","trdVol":"5.15","trdVolM":"0.52","ntP":"11.20","mVal":"0.11","wkhi":"298.50","wklo":"201.50","wkhicm_adj":"226.25","wklocm_adj":"111.90","xDt":"13-MAY-2016","cAct":"INTERIM DIVIDEND - RS 2.50\/- PER SHARE","yPC":"-23.31","mPC":"-11.04"</v>
      </c>
      <c r="C141" s="14" t="s">
        <v>135</v>
      </c>
      <c r="D141" s="6" t="str">
        <f t="shared" si="45"/>
        <v>216.90</v>
      </c>
      <c r="E141" s="6" t="str">
        <f t="shared" si="45"/>
        <v>218.75</v>
      </c>
      <c r="F141" s="6" t="str">
        <f t="shared" si="45"/>
        <v>215.20</v>
      </c>
      <c r="G141" s="6" t="str">
        <f t="shared" si="45"/>
        <v>217.15</v>
      </c>
      <c r="H141" s="7" t="str">
        <f t="shared" si="46"/>
        <v xml:space="preserve">   </v>
      </c>
      <c r="I141" s="8" t="str">
        <f t="shared" si="47"/>
        <v xml:space="preserve">   </v>
      </c>
      <c r="J141" s="9" t="str">
        <f t="shared" si="48"/>
        <v xml:space="preserve">   </v>
      </c>
      <c r="K141" s="10" t="str">
        <f t="shared" si="49"/>
        <v xml:space="preserve">   </v>
      </c>
    </row>
    <row r="142" spans="2:11" x14ac:dyDescent="0.25">
      <c r="B142" t="str">
        <f t="shared" si="44"/>
        <v>"IDBI","open":"68.20","high":"68.70","low":"66.60","ltP":"67.85","ptsC":"0.40","per":"0.59","trdVol":"17.74","trdVolM":"1.77","ntP":"11.99","mVal":"0.12","wkhi":"95.70","wklo":"47.25","wkhicm_adj":"116.40","wklocm_adj":"52.90","xDt":"31-DEC-2999","cAct":"-","yPC":"-3.96","mPC":"-4.30"</v>
      </c>
      <c r="C142" s="14" t="s">
        <v>136</v>
      </c>
      <c r="D142" s="6" t="str">
        <f t="shared" si="45"/>
        <v>68.20</v>
      </c>
      <c r="E142" s="6" t="str">
        <f t="shared" si="45"/>
        <v>68.70</v>
      </c>
      <c r="F142" s="6" t="str">
        <f t="shared" si="45"/>
        <v>66.60</v>
      </c>
      <c r="G142" s="6" t="str">
        <f t="shared" si="45"/>
        <v>67.85</v>
      </c>
      <c r="H142" s="7" t="str">
        <f t="shared" si="46"/>
        <v xml:space="preserve">   </v>
      </c>
      <c r="I142" s="8" t="str">
        <f t="shared" si="47"/>
        <v xml:space="preserve">   </v>
      </c>
      <c r="J142" s="9" t="str">
        <f t="shared" si="48"/>
        <v xml:space="preserve">   </v>
      </c>
      <c r="K142" s="10" t="str">
        <f t="shared" si="49"/>
        <v xml:space="preserve">   </v>
      </c>
    </row>
    <row r="143" spans="2:11" x14ac:dyDescent="0.25">
      <c r="B143" t="str">
        <f t="shared" si="44"/>
        <v>"IDFC","open":"50.35","high":"53.50","low":"49.25","ltP":"51.95","ptsC":"2.30","per":"4.63","trdVol":"60.45","trdVolM":"6.04","ntP":"31.36","mVal":"0.31","wkhi":"163.60","wklo":"34.80","wkhicm_adj":"166.65","wklocm_adj":"88.05","xDt":"31-DEC-2999","cAct":"-","yPC":"-66.06","mPC":"11.84"</v>
      </c>
      <c r="C143" s="14" t="s">
        <v>137</v>
      </c>
      <c r="D143" s="6" t="str">
        <f t="shared" si="45"/>
        <v>50.35</v>
      </c>
      <c r="E143" s="6" t="str">
        <f t="shared" si="45"/>
        <v>53.50</v>
      </c>
      <c r="F143" s="6" t="str">
        <f t="shared" si="45"/>
        <v>49.25</v>
      </c>
      <c r="G143" s="6" t="str">
        <f t="shared" si="45"/>
        <v>51.95</v>
      </c>
      <c r="H143" s="7" t="str">
        <f t="shared" si="46"/>
        <v xml:space="preserve">   </v>
      </c>
      <c r="I143" s="8" t="str">
        <f t="shared" si="47"/>
        <v xml:space="preserve">   </v>
      </c>
      <c r="J143" s="9" t="str">
        <f t="shared" si="48"/>
        <v xml:space="preserve">   </v>
      </c>
      <c r="K143" s="10" t="str">
        <f t="shared" si="49"/>
        <v xml:space="preserve">   </v>
      </c>
    </row>
    <row r="144" spans="2:11" x14ac:dyDescent="0.25">
      <c r="B144" t="str">
        <f t="shared" si="44"/>
        <v>"IGL","open":"574.00","high":"575.60","low":"565.30","ltP":"566.15","ptsC":"-8.15","per":"-1.42","trdVol":"1.32","trdVolM":"0.13","ntP":"7.51","mVal":"0.08","wkhi":"608.00","wklo":"375.35","wkhicm_adj":"458.80","wklocm_adj":"238.05","xDt":"31-DEC-2999","cAct":"-","yPC":"41.48","mPC":"-1.02"</v>
      </c>
      <c r="C144" s="14" t="s">
        <v>138</v>
      </c>
      <c r="D144" s="6" t="str">
        <f t="shared" si="45"/>
        <v>574.00</v>
      </c>
      <c r="E144" s="6" t="str">
        <f t="shared" si="45"/>
        <v>575.60</v>
      </c>
      <c r="F144" s="6" t="str">
        <f t="shared" si="45"/>
        <v>565.30</v>
      </c>
      <c r="G144" s="6" t="str">
        <f t="shared" si="45"/>
        <v>566.15</v>
      </c>
      <c r="H144" s="7" t="str">
        <f t="shared" si="46"/>
        <v xml:space="preserve">   </v>
      </c>
      <c r="I144" s="8" t="str">
        <f t="shared" si="47"/>
        <v xml:space="preserve">   </v>
      </c>
      <c r="J144" s="9" t="str">
        <f t="shared" si="48"/>
        <v xml:space="preserve">   </v>
      </c>
      <c r="K144" s="10" t="str">
        <f t="shared" si="49"/>
        <v xml:space="preserve">   </v>
      </c>
    </row>
    <row r="145" spans="2:11" x14ac:dyDescent="0.25">
      <c r="B145" t="str">
        <f t="shared" si="44"/>
        <v>"IRB","open":"219.95","high":"221.70","low":"216.70","ltP":"219.50","ptsC":"0.60","per":"0.27","trdVol":"4.88","trdVolM":"0.49","ntP":"10.70","mVal":"0.11","wkhi":"272.00","wklo":"197.10","wkhicm_adj":"289.65","wklocm_adj":"67.20","xDt":"16-MAR-2016","cAct":"INTERIM DIVIDEND - RS 2\/- PER SHARE (PURPOSE REVISED)","yPC":"-10.97","mPC":"1.74"</v>
      </c>
      <c r="C145" s="14" t="s">
        <v>139</v>
      </c>
      <c r="D145" s="6" t="str">
        <f t="shared" si="45"/>
        <v>219.95</v>
      </c>
      <c r="E145" s="6" t="str">
        <f t="shared" si="45"/>
        <v>221.70</v>
      </c>
      <c r="F145" s="6" t="str">
        <f t="shared" si="45"/>
        <v>216.70</v>
      </c>
      <c r="G145" s="6" t="str">
        <f t="shared" si="45"/>
        <v>219.50</v>
      </c>
      <c r="H145" s="7" t="str">
        <f t="shared" si="46"/>
        <v xml:space="preserve">   </v>
      </c>
      <c r="I145" s="8" t="str">
        <f t="shared" si="47"/>
        <v xml:space="preserve">   </v>
      </c>
      <c r="J145" s="9" t="str">
        <f t="shared" si="48"/>
        <v xml:space="preserve">   </v>
      </c>
      <c r="K145" s="10" t="str">
        <f t="shared" si="49"/>
        <v xml:space="preserve">   </v>
      </c>
    </row>
    <row r="146" spans="2:11" x14ac:dyDescent="0.25">
      <c r="B146" t="str">
        <f t="shared" si="44"/>
        <v>"JINDALSTEL","open":"62.60","high":"63.25","low":"61.40","ltP":"62.30","ptsC":"0.70","per":"1.14","trdVol":"33.99","trdVolM":"3.40","ntP":"21.17","mVal":"0.21","wkhi":"128.70","wklo":"48.10","wkhicm_adj":"351.00","wklocm_adj":"127.70","xDt":"31-DEC-2999","cAct":"-","yPC":"-47.27","mPC":"-18.88"</v>
      </c>
      <c r="C146" s="14" t="s">
        <v>140</v>
      </c>
      <c r="D146" s="6" t="str">
        <f t="shared" si="45"/>
        <v>62.60</v>
      </c>
      <c r="E146" s="6" t="str">
        <f t="shared" si="45"/>
        <v>63.25</v>
      </c>
      <c r="F146" s="6" t="str">
        <f t="shared" si="45"/>
        <v>61.40</v>
      </c>
      <c r="G146" s="6" t="str">
        <f t="shared" si="45"/>
        <v>62.30</v>
      </c>
      <c r="H146" s="7" t="str">
        <f t="shared" si="46"/>
        <v xml:space="preserve">   </v>
      </c>
      <c r="I146" s="8" t="str">
        <f t="shared" si="47"/>
        <v xml:space="preserve">   </v>
      </c>
      <c r="J146" s="9" t="str">
        <f t="shared" si="48"/>
        <v xml:space="preserve">   </v>
      </c>
      <c r="K146" s="10" t="str">
        <f t="shared" si="49"/>
        <v xml:space="preserve">   </v>
      </c>
    </row>
    <row r="147" spans="2:11" x14ac:dyDescent="0.25">
      <c r="B147" t="str">
        <f t="shared" si="44"/>
        <v>"JSWENERGY","open":"72.50","high":"74.40","low":"70.65","ltP":"72.00","ptsC":"0.30","per":"0.42","trdVol":"14.28","trdVolM":"1.43","ntP":"10.33","mVal":"0.10","wkhi":"114.30","wklo":"59.00","wkhicm_adj":"97.40","wklocm_adj":"39.85","xDt":"31-DEC-2999","cAct":"-","yPC":"-35.60","mPC":"6.12"</v>
      </c>
      <c r="C147" s="14" t="s">
        <v>141</v>
      </c>
      <c r="D147" s="6" t="str">
        <f t="shared" si="45"/>
        <v>72.50</v>
      </c>
      <c r="E147" s="6" t="str">
        <f t="shared" si="45"/>
        <v>74.40</v>
      </c>
      <c r="F147" s="6" t="str">
        <f t="shared" si="45"/>
        <v>70.65</v>
      </c>
      <c r="G147" s="6" t="str">
        <f t="shared" si="45"/>
        <v>72.00</v>
      </c>
      <c r="H147" s="7" t="str">
        <f t="shared" si="46"/>
        <v xml:space="preserve">   </v>
      </c>
      <c r="I147" s="8" t="str">
        <f t="shared" si="47"/>
        <v xml:space="preserve">   </v>
      </c>
      <c r="J147" s="9" t="str">
        <f t="shared" si="48"/>
        <v xml:space="preserve">   </v>
      </c>
      <c r="K147" s="10" t="str">
        <f t="shared" si="49"/>
        <v xml:space="preserve">   </v>
      </c>
    </row>
    <row r="148" spans="2:11" x14ac:dyDescent="0.25">
      <c r="B148" t="str">
        <f t="shared" si="44"/>
        <v>"JUBLFOOD","open":"1,094.00","high":"1,094.00","low":"1,011.10","ltP":"1,025.50","ptsC":"-86.45","per":"-7.77","trdVol":"13.42","trdVolM":"1.34","ntP":"141.15","mVal":"1.41","wkhi":"1,959.50","wklo":"887.35","wkhicm_adj":"1,497.40","wklocm_adj":"937.70","xDt":"31-DEC-2999","cAct":"-","yPC":"-41.64","mPC":"-23.03"</v>
      </c>
      <c r="C148" s="14" t="s">
        <v>142</v>
      </c>
      <c r="D148" s="6" t="str">
        <f t="shared" si="45"/>
        <v>1,094.00</v>
      </c>
      <c r="E148" s="6" t="str">
        <f t="shared" si="45"/>
        <v>1,094.00</v>
      </c>
      <c r="F148" s="6" t="str">
        <f t="shared" si="45"/>
        <v>1,011.10</v>
      </c>
      <c r="G148" s="6" t="str">
        <f t="shared" si="45"/>
        <v>1,025.50</v>
      </c>
      <c r="H148" s="7" t="str">
        <f t="shared" si="46"/>
        <v xml:space="preserve">SHORT </v>
      </c>
      <c r="I148" s="8">
        <f t="shared" si="47"/>
        <v>1088</v>
      </c>
      <c r="J148" s="9">
        <f t="shared" si="48"/>
        <v>1099.47</v>
      </c>
      <c r="K148" s="10">
        <f t="shared" si="49"/>
        <v>5.7444852941176468E-2</v>
      </c>
    </row>
    <row r="149" spans="2:11" x14ac:dyDescent="0.25">
      <c r="B149" t="str">
        <f t="shared" si="44"/>
        <v>"JUSTDIAL","open":"656.00","high":"661.95","low":"641.20","ltP":"646.80","ptsC":"-7.45","per":"-1.14","trdVol":"6.86","trdVolM":"0.69","ntP":"44.56","mVal":"0.45","wkhi":"1,290.00","wklo":"375.70","wkhicm_adj":"1,894.40","wklocm_adj":"982.60","xDt":"31-DEC-2999","cAct":"-","yPC":"-42.49","mPC":"-23.87"</v>
      </c>
      <c r="C149" s="14" t="s">
        <v>143</v>
      </c>
      <c r="D149" s="6" t="str">
        <f t="shared" si="45"/>
        <v>656.00</v>
      </c>
      <c r="E149" s="6" t="str">
        <f t="shared" si="45"/>
        <v>661.95</v>
      </c>
      <c r="F149" s="6" t="str">
        <f t="shared" si="45"/>
        <v>641.20</v>
      </c>
      <c r="G149" s="6" t="str">
        <f t="shared" si="45"/>
        <v>646.80</v>
      </c>
      <c r="H149" s="7" t="str">
        <f t="shared" si="46"/>
        <v xml:space="preserve">   </v>
      </c>
      <c r="I149" s="8" t="str">
        <f t="shared" si="47"/>
        <v xml:space="preserve">   </v>
      </c>
      <c r="J149" s="9" t="str">
        <f t="shared" si="48"/>
        <v xml:space="preserve">   </v>
      </c>
      <c r="K149" s="10" t="str">
        <f t="shared" si="49"/>
        <v xml:space="preserve">   </v>
      </c>
    </row>
    <row r="150" spans="2:11" x14ac:dyDescent="0.25">
      <c r="B150" t="str">
        <f t="shared" si="44"/>
        <v>"L&amp;TFH","open":"74.00","high":"74.25","low":"72.95","ltP":"73.80","ptsC":"0.05","per":"0.07","trdVol":"12.12","trdVolM":"1.21","ntP":"8.91","mVal":"0.09","wkhi":"77.00","wklo":"48.25","wkhicm_adj":"88.25","wklocm_adj":"62.30","xDt":"31-DEC-2999","cAct":"-","yPC":"15.86","mPC":"2.93"</v>
      </c>
      <c r="C150" s="14" t="s">
        <v>144</v>
      </c>
      <c r="D150" s="6" t="str">
        <f t="shared" si="45"/>
        <v>74.00</v>
      </c>
      <c r="E150" s="6" t="str">
        <f t="shared" si="45"/>
        <v>74.25</v>
      </c>
      <c r="F150" s="6" t="str">
        <f t="shared" si="45"/>
        <v>72.95</v>
      </c>
      <c r="G150" s="6" t="str">
        <f t="shared" si="45"/>
        <v>73.80</v>
      </c>
      <c r="H150" s="7" t="str">
        <f t="shared" si="46"/>
        <v xml:space="preserve">   </v>
      </c>
      <c r="I150" s="8" t="str">
        <f t="shared" si="47"/>
        <v xml:space="preserve">   </v>
      </c>
      <c r="J150" s="9" t="str">
        <f t="shared" si="48"/>
        <v xml:space="preserve">   </v>
      </c>
      <c r="K150" s="10" t="str">
        <f t="shared" si="49"/>
        <v xml:space="preserve">   </v>
      </c>
    </row>
    <row r="151" spans="2:11" x14ac:dyDescent="0.25">
      <c r="B151" t="str">
        <f t="shared" si="44"/>
        <v>"M&amp;MFIN","open":"324.80","high":"330.45","low":"321.95","ltP":"324.85","ptsC":"0.00","per":"0.00","trdVol":"4.26","trdVolM":"0.43","ntP":"13.88","mVal":"0.14","wkhi":"330.45","wklo":"173.10","wkhicm_adj":"356.50","wklocm_adj":"229.25","xDt":"31-DEC-2999","cAct":"-","yPC":"21.89","mPC":"5.92"</v>
      </c>
      <c r="C151" s="14" t="s">
        <v>145</v>
      </c>
      <c r="D151" s="6" t="str">
        <f t="shared" si="45"/>
        <v>324.80</v>
      </c>
      <c r="E151" s="6" t="str">
        <f t="shared" si="45"/>
        <v>330.45</v>
      </c>
      <c r="F151" s="6" t="str">
        <f t="shared" si="45"/>
        <v>321.95</v>
      </c>
      <c r="G151" s="6" t="str">
        <f t="shared" si="45"/>
        <v>324.85</v>
      </c>
      <c r="H151" s="7" t="str">
        <f t="shared" si="46"/>
        <v xml:space="preserve">   </v>
      </c>
      <c r="I151" s="8" t="str">
        <f t="shared" si="47"/>
        <v xml:space="preserve">   </v>
      </c>
      <c r="J151" s="9" t="str">
        <f t="shared" si="48"/>
        <v xml:space="preserve">   </v>
      </c>
      <c r="K151" s="10" t="str">
        <f t="shared" si="49"/>
        <v xml:space="preserve">   </v>
      </c>
    </row>
    <row r="152" spans="2:11" x14ac:dyDescent="0.25">
      <c r="B152" t="str">
        <f t="shared" si="44"/>
        <v>"MINDTREE","open":"667.60","high":"681.80","low":"667.60","ltP":"676.00","ptsC":"8.40","per":"1.26","trdVol":"2.07","trdVolM":"0.21","ntP":"13.98","mVal":"0.14","wkhi":"804.50","wklo":"594.03","wkhicm_adj":"1,268.30","wklocm_adj":"648.75","xDt":"11-APR-2016","cAct":"INTERIM DIVIDEND - RS 2\/- PER SHARE (PURPOSE REVISED)","yPC":"-6.69","mPC":"-3.39"</v>
      </c>
      <c r="C152" s="14" t="s">
        <v>146</v>
      </c>
      <c r="D152" s="6" t="str">
        <f t="shared" si="45"/>
        <v>667.60</v>
      </c>
      <c r="E152" s="6" t="str">
        <f t="shared" si="45"/>
        <v>681.80</v>
      </c>
      <c r="F152" s="6" t="str">
        <f t="shared" si="45"/>
        <v>667.60</v>
      </c>
      <c r="G152" s="6" t="str">
        <f t="shared" si="45"/>
        <v>676.00</v>
      </c>
      <c r="H152" s="7" t="str">
        <f t="shared" si="46"/>
        <v xml:space="preserve">LONG </v>
      </c>
      <c r="I152" s="8">
        <f t="shared" si="47"/>
        <v>672</v>
      </c>
      <c r="J152" s="9">
        <f t="shared" si="48"/>
        <v>664.26200000000006</v>
      </c>
      <c r="K152" s="10">
        <f t="shared" si="49"/>
        <v>5.9523809523809521E-3</v>
      </c>
    </row>
    <row r="153" spans="2:11" x14ac:dyDescent="0.25">
      <c r="B153" t="str">
        <f t="shared" si="44"/>
        <v>"MRF","open":"33,719.00","high":"33,840.00","low":"33,222.10","ltP":"33,360.00","ptsC":"-182.20","per":"-0.54","trdVol":"0.02","trdVolM":"0.00","ntP":"5.98","mVal":"0.06","wkhi":"46,399.00","wklo":"31,002.00","wkhicm_adj":"33,980.00","wklocm_adj":"17,070.00","xDt":"31-DEC-2999","cAct":"-","yPC":"-5.71","mPC":"-4.10"</v>
      </c>
      <c r="C153" s="14" t="s">
        <v>147</v>
      </c>
      <c r="D153" s="6" t="str">
        <f t="shared" si="45"/>
        <v>33,719.00</v>
      </c>
      <c r="E153" s="6" t="str">
        <f t="shared" si="45"/>
        <v>33,840.00</v>
      </c>
      <c r="F153" s="6" t="str">
        <f t="shared" si="45"/>
        <v>33,222.10</v>
      </c>
      <c r="G153" s="6" t="str">
        <f t="shared" si="45"/>
        <v>33,360.00</v>
      </c>
      <c r="H153" s="7" t="str">
        <f t="shared" si="46"/>
        <v xml:space="preserve">   </v>
      </c>
      <c r="I153" s="8" t="str">
        <f t="shared" si="47"/>
        <v xml:space="preserve">   </v>
      </c>
      <c r="J153" s="9" t="str">
        <f t="shared" si="48"/>
        <v xml:space="preserve">   </v>
      </c>
      <c r="K153" s="10" t="str">
        <f t="shared" si="49"/>
        <v xml:space="preserve">   </v>
      </c>
    </row>
    <row r="154" spans="2:11" x14ac:dyDescent="0.25">
      <c r="B154" t="str">
        <f t="shared" si="44"/>
        <v>"PAGEIND","open":"13,500.00","high":"14,021.00","low":"13,500.00","ltP":"13,948.55","ptsC":"476.30","per":"3.54","trdVol":"0.11","trdVolM":"0.01","ntP":"15.37","mVal":"0.15","wkhi":"17,000.00","wklo":"9,752.35","wkhicm_adj":"10,390.00","wklocm_adj":"5,010.00","xDt":"31-DEC-2999","cAct":"-","yPC":"-8.31","mPC":"7.47"</v>
      </c>
      <c r="C154" s="14" t="s">
        <v>148</v>
      </c>
      <c r="D154" s="6" t="str">
        <f t="shared" si="45"/>
        <v>13,500.00</v>
      </c>
      <c r="E154" s="6" t="str">
        <f t="shared" si="45"/>
        <v>14,021.00</v>
      </c>
      <c r="F154" s="6" t="str">
        <f t="shared" si="45"/>
        <v>13,500.00</v>
      </c>
      <c r="G154" s="6" t="str">
        <f t="shared" si="45"/>
        <v>13,948.55</v>
      </c>
      <c r="H154" s="7" t="str">
        <f t="shared" si="46"/>
        <v xml:space="preserve">LONG </v>
      </c>
      <c r="I154" s="8">
        <f t="shared" si="47"/>
        <v>13519</v>
      </c>
      <c r="J154" s="9">
        <f t="shared" si="48"/>
        <v>13432.5</v>
      </c>
      <c r="K154" s="10">
        <f t="shared" si="49"/>
        <v>3.1773799837266019E-2</v>
      </c>
    </row>
    <row r="155" spans="2:11" x14ac:dyDescent="0.25">
      <c r="B155" t="str">
        <f t="shared" si="44"/>
        <v>"PCJEWELLER","open":"368.00","high":"370.00","low":"361.65","ltP":"364.05","ptsC":"-4.05","per":"-1.10","trdVol":"0.70","trdVolM":"0.07","ntP":"2.55","mVal":"0.03","wkhi":"493.40","wklo":"295.80","wkhicm_adj":"278.00","wklocm_adj":"72.00","xDt":"31-DEC-2999","cAct":"-","yPC":"-1.75","mPC":"-0.30"</v>
      </c>
      <c r="C155" s="14" t="s">
        <v>149</v>
      </c>
      <c r="D155" s="6" t="str">
        <f t="shared" si="45"/>
        <v>368.00</v>
      </c>
      <c r="E155" s="6" t="str">
        <f t="shared" si="45"/>
        <v>370.00</v>
      </c>
      <c r="F155" s="6" t="str">
        <f t="shared" si="45"/>
        <v>361.65</v>
      </c>
      <c r="G155" s="6" t="str">
        <f t="shared" si="45"/>
        <v>364.05</v>
      </c>
      <c r="H155" s="7" t="str">
        <f t="shared" si="46"/>
        <v xml:space="preserve">   </v>
      </c>
      <c r="I155" s="8" t="str">
        <f t="shared" si="47"/>
        <v xml:space="preserve">   </v>
      </c>
      <c r="J155" s="9" t="str">
        <f t="shared" si="48"/>
        <v xml:space="preserve">   </v>
      </c>
      <c r="K155" s="10" t="str">
        <f t="shared" si="49"/>
        <v xml:space="preserve">   </v>
      </c>
    </row>
    <row r="156" spans="2:11" x14ac:dyDescent="0.25">
      <c r="B156" t="str">
        <f t="shared" si="44"/>
        <v>"PETRONET","open":"274.80","high":"274.80","low":"270.20","ltP":"273.30","ptsC":"0.15","per":"0.05","trdVol":"2.08","trdVolM":"0.21","ntP":"5.66","mVal":"0.06","wkhi":"284.80","wklo":"163.55","wkhicm_adj":"208.80","wklocm_adj":"102.60","xDt":"31-DEC-2999","cAct":"-","yPC":"48.86","mPC":"3.70"</v>
      </c>
      <c r="C156" s="14" t="s">
        <v>150</v>
      </c>
      <c r="D156" s="6" t="str">
        <f t="shared" si="45"/>
        <v>274.80</v>
      </c>
      <c r="E156" s="6" t="str">
        <f t="shared" si="45"/>
        <v>274.80</v>
      </c>
      <c r="F156" s="6" t="str">
        <f t="shared" si="45"/>
        <v>270.20</v>
      </c>
      <c r="G156" s="6" t="str">
        <f t="shared" si="45"/>
        <v>273.30</v>
      </c>
      <c r="H156" s="7" t="str">
        <f t="shared" si="46"/>
        <v xml:space="preserve">SHORT </v>
      </c>
      <c r="I156" s="8">
        <f t="shared" si="47"/>
        <v>272</v>
      </c>
      <c r="J156" s="9">
        <f t="shared" si="48"/>
        <v>276.17400000000004</v>
      </c>
      <c r="K156" s="10">
        <f t="shared" si="49"/>
        <v>-4.7794117647059244E-3</v>
      </c>
    </row>
    <row r="157" spans="2:11" x14ac:dyDescent="0.25">
      <c r="B157" t="str">
        <f>MID($E$6,FIND(C157,$E$6)-1,FIND("}",$E$6,FIND(C157,$E$6))-FIND(C157,$E$6)+1)</f>
        <v>"RELCAPITAL","open":"417.75","high":"420.90","low":"412.10","ltP":"414.10","ptsC":"0.10","per":"0.02","trdVol":"16.03","trdVolM":"1.60","ntP":"66.82","mVal":"0.67","wkhi":"471.00","wklo":"246.35","wkhicm_adj":"669.90","wklocm_adj":"304.50","xDt":"31-DEC-2999","cAct":"-","yPC":"7.00","mPC":"2.53"</v>
      </c>
      <c r="C157" s="14" t="s">
        <v>151</v>
      </c>
      <c r="D157" s="6" t="str">
        <f>MID($B157,FIND(D$9,$B157)+LEN(D$9)+3,FIND(CHAR(34),$B157,FIND(D$9,$B157)+LEN(D$9)+3)-(FIND(D$9,$B157)+LEN(D$9)+3))</f>
        <v>417.75</v>
      </c>
      <c r="E157" s="6" t="str">
        <f>MID($B157,FIND(E$9,$B157)+LEN(E$9)+3,FIND(CHAR(34),$B157,FIND(E$9,$B157)+LEN(E$9)+3)-(FIND(E$9,$B157)+LEN(E$9)+3))</f>
        <v>420.90</v>
      </c>
      <c r="F157" s="6" t="str">
        <f>MID($B157,FIND(F$9,$B157)+LEN(F$9)+3,FIND(CHAR(34),$B157,FIND(F$9,$B157)+LEN(F$9)+3)-(FIND(F$9,$B157)+LEN(F$9)+3))</f>
        <v>412.10</v>
      </c>
      <c r="G157" s="6" t="str">
        <f>MID($B157,FIND(G$9,$B157)+LEN(G$9)+3,FIND(CHAR(34),$B157,FIND(G$9,$B157)+LEN(G$9)+3)-(FIND(G$9,$B157)+LEN(G$9)+3))</f>
        <v>414.10</v>
      </c>
      <c r="H157" s="7" t="str">
        <f t="shared" si="46"/>
        <v xml:space="preserve">   </v>
      </c>
      <c r="I157" s="8" t="str">
        <f t="shared" si="47"/>
        <v xml:space="preserve">   </v>
      </c>
      <c r="J157" s="9" t="str">
        <f t="shared" si="48"/>
        <v xml:space="preserve">   </v>
      </c>
      <c r="K157" s="10" t="str">
        <f t="shared" si="49"/>
        <v xml:space="preserve">   </v>
      </c>
    </row>
    <row r="158" spans="2:11" x14ac:dyDescent="0.25">
      <c r="B158" t="str">
        <f t="shared" si="44"/>
        <v>"RELINFRA","open":"550.00","high":"552.90","low":"541.00","ltP":"544.50","ptsC":"2.80","per":"0.52","trdVol":"18.87","trdVolM":"1.89","ntP":"103.38","mVal":"1.03","wkhi":"621.90","wklo":"281.55","wkhicm_adj":"819.90","wklocm_adj":"350.30","xDt":"31-DEC-2999","cAct":"-","yPC":"30.67","mPC":"-1.02"</v>
      </c>
      <c r="C158" s="14" t="s">
        <v>152</v>
      </c>
      <c r="D158" s="6" t="str">
        <f t="shared" si="45"/>
        <v>550.00</v>
      </c>
      <c r="E158" s="6" t="str">
        <f t="shared" si="45"/>
        <v>552.90</v>
      </c>
      <c r="F158" s="6" t="str">
        <f t="shared" si="45"/>
        <v>541.00</v>
      </c>
      <c r="G158" s="6" t="str">
        <f t="shared" si="45"/>
        <v>544.50</v>
      </c>
      <c r="H158" s="7" t="str">
        <f t="shared" ref="H158:H170" si="50">IF(AND(E158=0, F158=0, D158=0),"  ",IF(E158= D158,"SHORT ",IF(F158= D158,"LONG ",IF(E158&lt;&gt; F158&lt;&gt; D158,"   "))))</f>
        <v xml:space="preserve">   </v>
      </c>
      <c r="I158" s="8" t="str">
        <f t="shared" ref="I158:I170" si="51">IF(AND(E158=0,F158=0,D158=0),"  ",IF(D158=F158,ROUND(((SQRT(F158) +0.0833) ^2),0),IF(E158=D158,ROUND(((SQRT(E158) -0.0833) ^2),0),IF(E158&lt;&gt;F158&lt;&gt;D158,"   "))))</f>
        <v xml:space="preserve">   </v>
      </c>
      <c r="J158" s="9" t="str">
        <f t="shared" ref="J158:J170" si="52">IF(AND(E158=0, F158=0, D158=0),"  ",IF(E158= D158,D158+0.005*D158,IF(F158= D158,D158-0.005*D158,IF(E158&lt;&gt; F158&lt;&gt; D158,"   "))))</f>
        <v xml:space="preserve">   </v>
      </c>
      <c r="K158" s="10" t="str">
        <f t="shared" ref="K158:K170" si="53">IF(AND(E158=0, F158=0, D158=0),"  ",IF(E158= D158,(I158-G158)/I158,IF(F158= D158,(G158-I158)/I158,IF(E158&lt;&gt; F158&lt;&gt; D158,"   "))))</f>
        <v xml:space="preserve">   </v>
      </c>
    </row>
    <row r="159" spans="2:11" x14ac:dyDescent="0.25">
      <c r="B159" t="str">
        <f t="shared" si="44"/>
        <v>"RPOWER","open":"53.05","high":"53.50","low":"52.10","ltP":"52.55","ptsC":"0.30","per":"0.57","trdVol":"21.07","trdVolM":"2.11","ntP":"11.10","mVal":"0.11","wkhi":"61.25","wklo":"33.10","wkhicm_adj":"113.30","wklocm_adj":"60.00","xDt":"31-DEC-2999","cAct":"-","yPC":"-0.85","mPC":"-1.41"</v>
      </c>
      <c r="C159" s="14" t="s">
        <v>153</v>
      </c>
      <c r="D159" s="6" t="str">
        <f t="shared" ref="D159:G163" si="54">MID($B159,FIND(D$9,$B159)+LEN(D$9)+3,FIND(CHAR(34),$B159,FIND(D$9,$B159)+LEN(D$9)+3)-(FIND(D$9,$B159)+LEN(D$9)+3))</f>
        <v>53.05</v>
      </c>
      <c r="E159" s="6" t="str">
        <f t="shared" si="54"/>
        <v>53.50</v>
      </c>
      <c r="F159" s="6" t="str">
        <f t="shared" si="54"/>
        <v>52.10</v>
      </c>
      <c r="G159" s="6" t="str">
        <f t="shared" si="54"/>
        <v>52.55</v>
      </c>
      <c r="H159" s="7" t="str">
        <f t="shared" si="50"/>
        <v xml:space="preserve">   </v>
      </c>
      <c r="I159" s="8" t="str">
        <f t="shared" si="51"/>
        <v xml:space="preserve">   </v>
      </c>
      <c r="J159" s="9" t="str">
        <f t="shared" si="52"/>
        <v xml:space="preserve">   </v>
      </c>
      <c r="K159" s="10" t="str">
        <f t="shared" si="53"/>
        <v xml:space="preserve">   </v>
      </c>
    </row>
    <row r="160" spans="2:11" x14ac:dyDescent="0.25">
      <c r="B160" t="str">
        <f t="shared" si="44"/>
        <v>"SRF","open":"1,270.00","high":"1,294.90","low":"1,265.65","ltP":"1,292.50","ptsC":"31.95","per":"2.53","trdVol":"1.54","trdVolM":"0.15","ntP":"19.80","mVal":"0.20","wkhi":"1,498.85","wklo":"990.00","wkhicm_adj":"958.80","wklocm_adj":"170.00","xDt":"31-DEC-2999","cAct":"-","yPC":"27.92","mPC":"-4.67"</v>
      </c>
      <c r="C160" s="14" t="s">
        <v>154</v>
      </c>
      <c r="D160" s="6" t="str">
        <f t="shared" si="54"/>
        <v>1,270.00</v>
      </c>
      <c r="E160" s="6" t="str">
        <f t="shared" si="54"/>
        <v>1,294.90</v>
      </c>
      <c r="F160" s="6" t="str">
        <f t="shared" si="54"/>
        <v>1,265.65</v>
      </c>
      <c r="G160" s="6" t="str">
        <f t="shared" si="54"/>
        <v>1,292.50</v>
      </c>
      <c r="H160" s="7" t="str">
        <f t="shared" si="50"/>
        <v xml:space="preserve">   </v>
      </c>
      <c r="I160" s="8" t="str">
        <f t="shared" si="51"/>
        <v xml:space="preserve">   </v>
      </c>
      <c r="J160" s="9" t="str">
        <f t="shared" si="52"/>
        <v xml:space="preserve">   </v>
      </c>
      <c r="K160" s="10" t="str">
        <f t="shared" si="53"/>
        <v xml:space="preserve">   </v>
      </c>
    </row>
    <row r="161" spans="2:11" x14ac:dyDescent="0.25">
      <c r="B161" t="str">
        <f t="shared" si="44"/>
        <v>"STAR","open":"1,128.50","high":"1,130.00","low":"1,100.10","ltP":"1,113.75","ptsC":"-7.10","per":"-0.63","trdVol":"1.01","trdVolM":"0.10","ntP":"11.19","mVal":"0.11","wkhi":"1,414.00","wklo":"847.00","wkhicm_adj":"1,045.00","wklocm_adj":"310.15","xDt":"31-DEC-2999","cAct":"-","yPC":"-8.75","mPC":"0.89"</v>
      </c>
      <c r="C161" s="14" t="s">
        <v>155</v>
      </c>
      <c r="D161" s="6" t="str">
        <f t="shared" si="54"/>
        <v>1,128.50</v>
      </c>
      <c r="E161" s="6" t="str">
        <f t="shared" si="54"/>
        <v>1,130.00</v>
      </c>
      <c r="F161" s="6" t="str">
        <f t="shared" si="54"/>
        <v>1,100.10</v>
      </c>
      <c r="G161" s="6" t="str">
        <f t="shared" si="54"/>
        <v>1,113.75</v>
      </c>
      <c r="H161" s="7" t="str">
        <f t="shared" si="50"/>
        <v xml:space="preserve">   </v>
      </c>
      <c r="I161" s="8" t="str">
        <f t="shared" si="51"/>
        <v xml:space="preserve">   </v>
      </c>
      <c r="J161" s="9" t="str">
        <f t="shared" si="52"/>
        <v xml:space="preserve">   </v>
      </c>
      <c r="K161" s="10" t="str">
        <f t="shared" si="53"/>
        <v xml:space="preserve">   </v>
      </c>
    </row>
    <row r="162" spans="2:11" x14ac:dyDescent="0.25">
      <c r="B162" t="str">
        <f t="shared" si="44"/>
        <v>"SUNTV","open":"387.00","high":"387.00","low":"373.50","ltP":"378.60","ptsC":"-3.70","per":"-0.97","trdVol":"5.81","trdVolM":"0.58","ntP":"22.04","mVal":"0.22","wkhi":"436.80","wklo":"255.80","wkhicm_adj":"477.00","wklocm_adj":"300.00","xDt":"21-MAR-2016","cAct":"INTERIM DIVIDEND - RS 7.50\/- PER SHARE (PURPOSE REVISED)","yPC":"-2.18","mPC":"6.21"</v>
      </c>
      <c r="C162" s="14" t="s">
        <v>156</v>
      </c>
      <c r="D162" s="6" t="str">
        <f t="shared" si="54"/>
        <v>387.00</v>
      </c>
      <c r="E162" s="6" t="str">
        <f t="shared" si="54"/>
        <v>387.00</v>
      </c>
      <c r="F162" s="6" t="str">
        <f t="shared" si="54"/>
        <v>373.50</v>
      </c>
      <c r="G162" s="6" t="str">
        <f t="shared" si="54"/>
        <v>378.60</v>
      </c>
      <c r="H162" s="7" t="str">
        <f t="shared" si="50"/>
        <v xml:space="preserve">SHORT </v>
      </c>
      <c r="I162" s="8">
        <f t="shared" si="51"/>
        <v>384</v>
      </c>
      <c r="J162" s="9">
        <f t="shared" si="52"/>
        <v>388.935</v>
      </c>
      <c r="K162" s="10">
        <f t="shared" si="53"/>
        <v>1.4062499999999941E-2</v>
      </c>
    </row>
    <row r="163" spans="2:11" x14ac:dyDescent="0.25">
      <c r="B163" t="str">
        <f t="shared" si="44"/>
        <v>"SYNDIBANK","open":"65.25","high":"66.60","low":"64.40","ltP":"65.80","ptsC":"1.60","per":"2.49","trdVol":"16.47","trdVolM":"1.65","ntP":"10.76","mVal":"0.11","wkhi":"118.30","wklo":"49.40","wkhicm_adj":"180.00","wklocm_adj":"77.60","xDt":"31-DEC-2999","cAct":"-","yPC":"-43.13","mPC":"-6.20"</v>
      </c>
      <c r="C163" s="14" t="s">
        <v>157</v>
      </c>
      <c r="D163" s="6" t="str">
        <f t="shared" si="54"/>
        <v>65.25</v>
      </c>
      <c r="E163" s="6" t="str">
        <f t="shared" si="54"/>
        <v>66.60</v>
      </c>
      <c r="F163" s="6" t="str">
        <f t="shared" si="54"/>
        <v>64.40</v>
      </c>
      <c r="G163" s="6" t="str">
        <f t="shared" si="54"/>
        <v>65.80</v>
      </c>
      <c r="H163" s="7" t="str">
        <f t="shared" si="50"/>
        <v xml:space="preserve">   </v>
      </c>
      <c r="I163" s="8" t="str">
        <f t="shared" si="51"/>
        <v xml:space="preserve">   </v>
      </c>
      <c r="J163" s="9" t="str">
        <f t="shared" si="52"/>
        <v xml:space="preserve">   </v>
      </c>
      <c r="K163" s="10" t="str">
        <f t="shared" si="53"/>
        <v xml:space="preserve">   </v>
      </c>
    </row>
    <row r="164" spans="2:11" x14ac:dyDescent="0.25">
      <c r="B164" t="str">
        <f>MID($E$6,FIND(C164,$E$6)-1,FIND("}",$E$6,FIND(C164,$E$6))-FIND(C164,$E$6)+1)</f>
        <v>"TATACHEM","open":"434.95","high":"441.00","low":"423.50","ltP":"426.00","ptsC":"-6.45","per":"-1.49","trdVol":"3.82","trdVolM":"0.38","ntP":"16.32","mVal":"0.16","wkhi":"526.00","wklo":"309.60","wkhicm_adj":"442.75","wklocm_adj":"244.20","xDt":"31-DEC-2999","cAct":"-","yPC":"-2.06","mPC":"1.87"</v>
      </c>
      <c r="C164" s="14" t="s">
        <v>158</v>
      </c>
      <c r="D164" s="6" t="str">
        <f t="shared" ref="D164:G170" si="55">MID($B164,FIND(D$9,$B164)+LEN(D$9)+3,FIND(CHAR(34),$B164,FIND(D$9,$B164)+LEN(D$9)+3)-(FIND(D$9,$B164)+LEN(D$9)+3))</f>
        <v>434.95</v>
      </c>
      <c r="E164" s="6" t="str">
        <f t="shared" si="55"/>
        <v>441.00</v>
      </c>
      <c r="F164" s="6" t="str">
        <f t="shared" si="55"/>
        <v>423.50</v>
      </c>
      <c r="G164" s="6" t="str">
        <f t="shared" si="55"/>
        <v>426.00</v>
      </c>
      <c r="H164" s="7" t="str">
        <f t="shared" si="50"/>
        <v xml:space="preserve">   </v>
      </c>
      <c r="I164" s="8" t="str">
        <f t="shared" si="51"/>
        <v xml:space="preserve">   </v>
      </c>
      <c r="J164" s="9" t="str">
        <f t="shared" si="52"/>
        <v xml:space="preserve">   </v>
      </c>
      <c r="K164" s="10" t="str">
        <f t="shared" si="53"/>
        <v xml:space="preserve">   </v>
      </c>
    </row>
    <row r="165" spans="2:11" x14ac:dyDescent="0.25">
      <c r="B165" t="str">
        <f t="shared" si="44"/>
        <v>"TATACOMM","open":"454.00","high":"471.65","low":"451.80","ltP":"469.30","ptsC":"9.90","per":"2.15","trdVol":"3.26","trdVolM":"0.33","ntP":"15.11","mVal":"0.15","wkhi":"491.35","wklo":"325.00","wkhicm_adj":"462.40","wklocm_adj":"258.50","xDt":"31-DEC-2999","cAct":"-","yPC":"9.08","mPC":"11.92"</v>
      </c>
      <c r="C165" s="14" t="s">
        <v>159</v>
      </c>
      <c r="D165" s="6" t="str">
        <f t="shared" si="55"/>
        <v>454.00</v>
      </c>
      <c r="E165" s="6" t="str">
        <f t="shared" si="55"/>
        <v>471.65</v>
      </c>
      <c r="F165" s="6" t="str">
        <f t="shared" si="55"/>
        <v>451.80</v>
      </c>
      <c r="G165" s="6" t="str">
        <f t="shared" si="55"/>
        <v>469.30</v>
      </c>
      <c r="H165" s="7" t="str">
        <f t="shared" si="50"/>
        <v xml:space="preserve">   </v>
      </c>
      <c r="I165" s="8" t="str">
        <f t="shared" si="51"/>
        <v xml:space="preserve">   </v>
      </c>
      <c r="J165" s="9" t="str">
        <f t="shared" si="52"/>
        <v xml:space="preserve">   </v>
      </c>
      <c r="K165" s="10" t="str">
        <f t="shared" si="53"/>
        <v xml:space="preserve">   </v>
      </c>
    </row>
    <row r="166" spans="2:11" x14ac:dyDescent="0.25">
      <c r="B166" t="str">
        <f t="shared" si="44"/>
        <v>"TATAGLOBAL","open":"118.00","high":"119.65","low":"117.30","ltP":"118.05","ptsC":"0.75","per":"0.64","trdVol":"4.90","trdVolM":"0.49","ntP":"5.82","mVal":"0.06","wkhi":"150.30","wklo":"100.00","wkhicm_adj":"177.15","wklocm_adj":"135.25","xDt":"31-DEC-2999","cAct":"-","yPC":"-18.53","mPC":"-3.55"</v>
      </c>
      <c r="C166" s="14" t="s">
        <v>160</v>
      </c>
      <c r="D166" s="6" t="str">
        <f t="shared" si="55"/>
        <v>118.00</v>
      </c>
      <c r="E166" s="6" t="str">
        <f t="shared" si="55"/>
        <v>119.65</v>
      </c>
      <c r="F166" s="6" t="str">
        <f t="shared" si="55"/>
        <v>117.30</v>
      </c>
      <c r="G166" s="6" t="str">
        <f t="shared" si="55"/>
        <v>118.05</v>
      </c>
      <c r="H166" s="7" t="str">
        <f t="shared" si="50"/>
        <v xml:space="preserve">   </v>
      </c>
      <c r="I166" s="8" t="str">
        <f t="shared" si="51"/>
        <v xml:space="preserve">   </v>
      </c>
      <c r="J166" s="9" t="str">
        <f t="shared" si="52"/>
        <v xml:space="preserve">   </v>
      </c>
      <c r="K166" s="10" t="str">
        <f t="shared" si="53"/>
        <v xml:space="preserve">   </v>
      </c>
    </row>
    <row r="167" spans="2:11" x14ac:dyDescent="0.25">
      <c r="B167" t="str">
        <f t="shared" si="44"/>
        <v>"TVSMOTOR","open":"292.10","high":"293.95","low":"283.75","ltP":"286.10","ptsC":"-5.00","per":"-1.72","trdVol":"9.26","trdVolM":"0.93","ntP":"26.56","mVal":"0.27","wkhi":"340.85","wklo":"201.00","wkhicm_adj":"266.70","wklocm_adj":"52.50","xDt":"17-MAR-2016","cAct":"INTERIM DIVIDEND - RS 1.50 PER SHARE (PURPOSE REVISED)","yPC":"21.33","mPC":"-12.73"</v>
      </c>
      <c r="C167" s="14" t="s">
        <v>161</v>
      </c>
      <c r="D167" s="6" t="str">
        <f t="shared" si="55"/>
        <v>292.10</v>
      </c>
      <c r="E167" s="6" t="str">
        <f t="shared" si="55"/>
        <v>293.95</v>
      </c>
      <c r="F167" s="6" t="str">
        <f t="shared" si="55"/>
        <v>283.75</v>
      </c>
      <c r="G167" s="6" t="str">
        <f t="shared" si="55"/>
        <v>286.10</v>
      </c>
      <c r="H167" s="7" t="str">
        <f t="shared" si="50"/>
        <v xml:space="preserve">   </v>
      </c>
      <c r="I167" s="8" t="str">
        <f t="shared" si="51"/>
        <v xml:space="preserve">   </v>
      </c>
      <c r="J167" s="9" t="str">
        <f t="shared" si="52"/>
        <v xml:space="preserve">   </v>
      </c>
      <c r="K167" s="10" t="str">
        <f t="shared" si="53"/>
        <v xml:space="preserve">   </v>
      </c>
    </row>
    <row r="168" spans="2:11" x14ac:dyDescent="0.25">
      <c r="B168" t="str">
        <f t="shared" si="44"/>
        <v>"UNIONBANK","open":"117.90","high":"117.90","low":"114.50","ltP":"116.25","ptsC":"1.10","per":"0.96","trdVol":"16.20","trdVolM":"1.62","ntP":"18.81","mVal":"0.19","wkhi":"222.70","wklo":"104.00","wkhicm_adj":"259.65","wklocm_adj":"100.50","xDt":"31-DEC-2999","cAct":"-","yPC":"-32.22","mPC":"-11.83"</v>
      </c>
      <c r="C168" s="14" t="s">
        <v>162</v>
      </c>
      <c r="D168" s="6" t="str">
        <f t="shared" si="55"/>
        <v>117.90</v>
      </c>
      <c r="E168" s="6" t="str">
        <f t="shared" si="55"/>
        <v>117.90</v>
      </c>
      <c r="F168" s="6" t="str">
        <f t="shared" si="55"/>
        <v>114.50</v>
      </c>
      <c r="G168" s="6" t="str">
        <f t="shared" si="55"/>
        <v>116.25</v>
      </c>
      <c r="H168" s="7" t="str">
        <f t="shared" si="50"/>
        <v xml:space="preserve">SHORT </v>
      </c>
      <c r="I168" s="8">
        <f t="shared" si="51"/>
        <v>116</v>
      </c>
      <c r="J168" s="9">
        <f t="shared" si="52"/>
        <v>118.48950000000001</v>
      </c>
      <c r="K168" s="10">
        <f t="shared" si="53"/>
        <v>-2.1551724137931034E-3</v>
      </c>
    </row>
    <row r="169" spans="2:11" x14ac:dyDescent="0.25">
      <c r="B169" t="str">
        <f t="shared" si="44"/>
        <v>"VOLTAS","open":"337.40","high":"342.90","low":"334.40","ltP":"337.80","ptsC":"1.00","per":"0.30","trdVol":"6.79","trdVolM":"0.68","ntP":"23.02","mVal":"0.23","wkhi":"359.90","wklo":"211.00","wkhicm_adj":"286.45","wklocm_adj":"96.85","xDt":"31-DEC-2999","cAct":"-","yPC":"2.21","mPC":"11.89"</v>
      </c>
      <c r="C169" s="14" t="s">
        <v>163</v>
      </c>
      <c r="D169" s="6" t="str">
        <f t="shared" si="55"/>
        <v>337.40</v>
      </c>
      <c r="E169" s="6" t="str">
        <f t="shared" si="55"/>
        <v>342.90</v>
      </c>
      <c r="F169" s="6" t="str">
        <f t="shared" si="55"/>
        <v>334.40</v>
      </c>
      <c r="G169" s="6" t="str">
        <f t="shared" si="55"/>
        <v>337.80</v>
      </c>
      <c r="H169" s="7" t="str">
        <f t="shared" si="50"/>
        <v xml:space="preserve">   </v>
      </c>
      <c r="I169" s="8" t="str">
        <f t="shared" si="51"/>
        <v xml:space="preserve">   </v>
      </c>
      <c r="J169" s="9" t="str">
        <f t="shared" si="52"/>
        <v xml:space="preserve">   </v>
      </c>
      <c r="K169" s="10" t="str">
        <f t="shared" si="53"/>
        <v xml:space="preserve">   </v>
      </c>
    </row>
    <row r="170" spans="2:11" x14ac:dyDescent="0.25">
      <c r="B170" t="str">
        <f t="shared" si="44"/>
        <v>"WOCKPHARMA","open":"934.30","high":"945.00","low":"928.40","ltP":"936.45","ptsC":"9.80","per":"1.06","trdVol":"3.46","trdVolM":"0.35","ntP":"32.33","mVal":"0.32","wkhi":"1,745.00","wklo":"705.75","wkhicm_adj":"887.00","wklocm_adj":"336.55","xDt":"31-DEC-2999","cAct":"-","yPC":"-34.65","mPC":"-8.98"</v>
      </c>
      <c r="C170" s="14" t="s">
        <v>164</v>
      </c>
      <c r="D170" s="6" t="str">
        <f t="shared" si="55"/>
        <v>934.30</v>
      </c>
      <c r="E170" s="6" t="str">
        <f t="shared" si="55"/>
        <v>945.00</v>
      </c>
      <c r="F170" s="6" t="str">
        <f t="shared" si="55"/>
        <v>928.40</v>
      </c>
      <c r="G170" s="6" t="str">
        <f t="shared" si="55"/>
        <v>936.45</v>
      </c>
      <c r="H170" s="7" t="str">
        <f t="shared" si="50"/>
        <v xml:space="preserve">   </v>
      </c>
      <c r="I170" s="8" t="str">
        <f t="shared" si="51"/>
        <v xml:space="preserve">   </v>
      </c>
      <c r="J170" s="9" t="str">
        <f t="shared" si="52"/>
        <v xml:space="preserve">   </v>
      </c>
      <c r="K170" s="10" t="str">
        <f t="shared" si="53"/>
        <v xml:space="preserve">   </v>
      </c>
    </row>
  </sheetData>
  <sortState ref="A2:A55">
    <sortCondition ref="A1:A55"/>
  </sortState>
  <conditionalFormatting sqref="H10:H60">
    <cfRule type="containsText" dxfId="5" priority="5" stopIfTrue="1" operator="containsText" text="short">
      <formula>NOT(ISERROR(SEARCH("short",H10)))</formula>
    </cfRule>
    <cfRule type="containsText" dxfId="4" priority="6" stopIfTrue="1" operator="containsText" text="long">
      <formula>NOT(ISERROR(SEARCH("long",H10)))</formula>
    </cfRule>
  </conditionalFormatting>
  <conditionalFormatting sqref="H66:H115">
    <cfRule type="containsText" dxfId="3" priority="3" stopIfTrue="1" operator="containsText" text="short">
      <formula>NOT(ISERROR(SEARCH("short",H66)))</formula>
    </cfRule>
    <cfRule type="containsText" dxfId="2" priority="4" stopIfTrue="1" operator="containsText" text="long">
      <formula>NOT(ISERROR(SEARCH("long",H66)))</formula>
    </cfRule>
  </conditionalFormatting>
  <conditionalFormatting sqref="H121:H170">
    <cfRule type="containsText" dxfId="1" priority="1" stopIfTrue="1" operator="containsText" text="short">
      <formula>NOT(ISERROR(SEARCH("short",H121)))</formula>
    </cfRule>
    <cfRule type="containsText" dxfId="0" priority="2" stopIfTrue="1" operator="containsText" text="long">
      <formula>NOT(ISERROR(SEARCH("long",H121)))</formula>
    </cfRule>
  </conditionalFormatting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2"/>
  <sheetViews>
    <sheetView workbookViewId="0">
      <selection activeCell="B3" sqref="B3"/>
    </sheetView>
  </sheetViews>
  <sheetFormatPr defaultRowHeight="15" x14ac:dyDescent="0.25"/>
  <cols>
    <col min="5" max="5" width="17" bestFit="1" customWidth="1"/>
  </cols>
  <sheetData>
    <row r="2" spans="2:5" x14ac:dyDescent="0.25">
      <c r="B2" s="4" t="s">
        <v>166</v>
      </c>
      <c r="C2" s="4" t="s">
        <v>2</v>
      </c>
      <c r="D2" s="4" t="s">
        <v>7</v>
      </c>
      <c r="E2" s="4" t="s">
        <v>59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37" workbookViewId="0">
      <selection activeCell="E12" sqref="E12"/>
    </sheetView>
  </sheetViews>
  <sheetFormatPr defaultRowHeight="15" x14ac:dyDescent="0.25"/>
  <sheetData/>
  <sortState ref="A1:A51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Intraday_Trading_System</vt:lpstr>
      <vt:lpstr>Sheet1</vt:lpstr>
      <vt:lpstr>Sheet2</vt:lpstr>
      <vt:lpstr>Intraday_Trading_System!juniorNiftyStockWatch</vt:lpstr>
      <vt:lpstr>Intraday_Trading_System!niftyMidcap50StockWatch</vt:lpstr>
      <vt:lpstr>Intraday_Trading_System!niftyStockWatch</vt:lpstr>
    </vt:vector>
  </TitlesOfParts>
  <Company>Citrix Systems,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srvdsk</dc:creator>
  <cp:lastModifiedBy>Dang Hung Duong</cp:lastModifiedBy>
  <dcterms:created xsi:type="dcterms:W3CDTF">2016-03-09T20:07:35Z</dcterms:created>
  <dcterms:modified xsi:type="dcterms:W3CDTF">2016-05-30T07:45:55Z</dcterms:modified>
</cp:coreProperties>
</file>