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20730" windowHeight="9135"/>
  </bookViews>
  <sheets>
    <sheet name="Equity" sheetId="1" r:id="rId1"/>
    <sheet name="Performance" sheetId="2" r:id="rId2"/>
    <sheet name="Sheet2" sheetId="3" r:id="rId3"/>
  </sheets>
  <definedNames>
    <definedName name="juniorNiftyStockWatch_1" localSheetId="0">Equity!$O$500:$O$501</definedName>
    <definedName name="niftyMidcap50StockWatch_1" localSheetId="0">Equity!$P$500:$P$501</definedName>
    <definedName name="niftyStockWatch_1" localSheetId="0">Equity!$N$500:$N$501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22" i="1" l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21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66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10" i="1"/>
  <c r="E164" i="1" l="1"/>
  <c r="F165" i="1"/>
  <c r="E166" i="1"/>
  <c r="G167" i="1"/>
  <c r="E168" i="1"/>
  <c r="F169" i="1"/>
  <c r="E170" i="1"/>
  <c r="E157" i="1"/>
  <c r="F158" i="1"/>
  <c r="E159" i="1"/>
  <c r="G160" i="1"/>
  <c r="E161" i="1"/>
  <c r="F162" i="1"/>
  <c r="E163" i="1"/>
  <c r="G122" i="1"/>
  <c r="F123" i="1"/>
  <c r="E124" i="1"/>
  <c r="D125" i="1"/>
  <c r="F126" i="1"/>
  <c r="D127" i="1"/>
  <c r="E128" i="1"/>
  <c r="D129" i="1"/>
  <c r="D130" i="1"/>
  <c r="F131" i="1"/>
  <c r="E132" i="1"/>
  <c r="D133" i="1"/>
  <c r="F134" i="1"/>
  <c r="F135" i="1"/>
  <c r="E136" i="1"/>
  <c r="D137" i="1"/>
  <c r="D138" i="1"/>
  <c r="F139" i="1"/>
  <c r="E140" i="1"/>
  <c r="D141" i="1"/>
  <c r="F142" i="1"/>
  <c r="F143" i="1"/>
  <c r="E144" i="1"/>
  <c r="D145" i="1"/>
  <c r="D146" i="1"/>
  <c r="F147" i="1"/>
  <c r="E148" i="1"/>
  <c r="D149" i="1"/>
  <c r="D150" i="1"/>
  <c r="E151" i="1"/>
  <c r="E152" i="1"/>
  <c r="D153" i="1"/>
  <c r="D154" i="1"/>
  <c r="D155" i="1"/>
  <c r="E156" i="1"/>
  <c r="G121" i="1"/>
  <c r="E67" i="1"/>
  <c r="E68" i="1"/>
  <c r="E69" i="1"/>
  <c r="E70" i="1"/>
  <c r="E71" i="1"/>
  <c r="G72" i="1"/>
  <c r="F73" i="1"/>
  <c r="E74" i="1"/>
  <c r="E75" i="1"/>
  <c r="D77" i="1"/>
  <c r="E79" i="1"/>
  <c r="E80" i="1"/>
  <c r="D81" i="1"/>
  <c r="E82" i="1"/>
  <c r="E83" i="1"/>
  <c r="E84" i="1"/>
  <c r="E85" i="1"/>
  <c r="E86" i="1"/>
  <c r="E87" i="1"/>
  <c r="E88" i="1"/>
  <c r="E89" i="1"/>
  <c r="E90" i="1"/>
  <c r="E91" i="1"/>
  <c r="D93" i="1"/>
  <c r="E95" i="1"/>
  <c r="E96" i="1"/>
  <c r="D97" i="1"/>
  <c r="E98" i="1"/>
  <c r="E99" i="1"/>
  <c r="G100" i="1"/>
  <c r="D101" i="1"/>
  <c r="E102" i="1"/>
  <c r="E103" i="1"/>
  <c r="E104" i="1"/>
  <c r="E105" i="1"/>
  <c r="E106" i="1"/>
  <c r="E107" i="1"/>
  <c r="D108" i="1"/>
  <c r="F109" i="1"/>
  <c r="G110" i="1"/>
  <c r="D111" i="1"/>
  <c r="D112" i="1"/>
  <c r="E113" i="1"/>
  <c r="F114" i="1"/>
  <c r="G115" i="1"/>
  <c r="F66" i="1"/>
  <c r="E52" i="1"/>
  <c r="D37" i="1"/>
  <c r="G25" i="1"/>
  <c r="G14" i="1"/>
  <c r="E11" i="1"/>
  <c r="A6" i="1"/>
  <c r="A9" i="1"/>
  <c r="A2" i="1"/>
  <c r="F130" i="1" l="1"/>
  <c r="G123" i="1"/>
  <c r="G103" i="1"/>
  <c r="F89" i="1"/>
  <c r="F157" i="1"/>
  <c r="G102" i="1"/>
  <c r="E72" i="1"/>
  <c r="F154" i="1"/>
  <c r="G154" i="1"/>
  <c r="G144" i="1"/>
  <c r="G130" i="1"/>
  <c r="E143" i="1"/>
  <c r="G150" i="1"/>
  <c r="E139" i="1"/>
  <c r="E123" i="1"/>
  <c r="F170" i="1"/>
  <c r="D167" i="1"/>
  <c r="F150" i="1"/>
  <c r="D160" i="1"/>
  <c r="G146" i="1"/>
  <c r="F122" i="1"/>
  <c r="D139" i="1"/>
  <c r="F155" i="1"/>
  <c r="G151" i="1"/>
  <c r="G138" i="1"/>
  <c r="G136" i="1"/>
  <c r="G131" i="1"/>
  <c r="D148" i="1"/>
  <c r="D131" i="1"/>
  <c r="F108" i="1"/>
  <c r="G105" i="1"/>
  <c r="G89" i="1"/>
  <c r="E155" i="1"/>
  <c r="F151" i="1"/>
  <c r="G139" i="1"/>
  <c r="F138" i="1"/>
  <c r="F136" i="1"/>
  <c r="E131" i="1"/>
  <c r="E127" i="1"/>
  <c r="G124" i="1"/>
  <c r="F159" i="1"/>
  <c r="G157" i="1"/>
  <c r="F164" i="1"/>
  <c r="D164" i="1"/>
  <c r="D144" i="1"/>
  <c r="D128" i="1"/>
  <c r="D124" i="1"/>
  <c r="F85" i="1"/>
  <c r="G74" i="1"/>
  <c r="G155" i="1"/>
  <c r="G148" i="1"/>
  <c r="F146" i="1"/>
  <c r="E135" i="1"/>
  <c r="G128" i="1"/>
  <c r="G158" i="1"/>
  <c r="F168" i="1"/>
  <c r="G165" i="1"/>
  <c r="D168" i="1"/>
  <c r="D151" i="1"/>
  <c r="D136" i="1"/>
  <c r="D123" i="1"/>
  <c r="D156" i="1"/>
  <c r="D152" i="1"/>
  <c r="D140" i="1"/>
  <c r="D132" i="1"/>
  <c r="D163" i="1"/>
  <c r="D159" i="1"/>
  <c r="D147" i="1"/>
  <c r="D143" i="1"/>
  <c r="D135" i="1"/>
  <c r="G166" i="1"/>
  <c r="G147" i="1"/>
  <c r="G142" i="1"/>
  <c r="G140" i="1"/>
  <c r="G134" i="1"/>
  <c r="G132" i="1"/>
  <c r="G127" i="1"/>
  <c r="G126" i="1"/>
  <c r="G163" i="1"/>
  <c r="G161" i="1"/>
  <c r="F166" i="1"/>
  <c r="D170" i="1"/>
  <c r="D166" i="1"/>
  <c r="D162" i="1"/>
  <c r="D158" i="1"/>
  <c r="D142" i="1"/>
  <c r="D134" i="1"/>
  <c r="D126" i="1"/>
  <c r="D122" i="1"/>
  <c r="E147" i="1"/>
  <c r="G143" i="1"/>
  <c r="F140" i="1"/>
  <c r="G135" i="1"/>
  <c r="F132" i="1"/>
  <c r="F127" i="1"/>
  <c r="F163" i="1"/>
  <c r="F161" i="1"/>
  <c r="G159" i="1"/>
  <c r="G170" i="1"/>
  <c r="G168" i="1"/>
  <c r="G164" i="1"/>
  <c r="D169" i="1"/>
  <c r="D165" i="1"/>
  <c r="D161" i="1"/>
  <c r="D157" i="1"/>
  <c r="I157" i="1" s="1"/>
  <c r="D121" i="1"/>
  <c r="G169" i="1"/>
  <c r="E169" i="1"/>
  <c r="E165" i="1"/>
  <c r="F167" i="1"/>
  <c r="E167" i="1"/>
  <c r="G162" i="1"/>
  <c r="E162" i="1"/>
  <c r="E158" i="1"/>
  <c r="F160" i="1"/>
  <c r="E160" i="1"/>
  <c r="G145" i="1"/>
  <c r="G133" i="1"/>
  <c r="G156" i="1"/>
  <c r="E150" i="1"/>
  <c r="F149" i="1"/>
  <c r="E146" i="1"/>
  <c r="F145" i="1"/>
  <c r="E142" i="1"/>
  <c r="F141" i="1"/>
  <c r="E138" i="1"/>
  <c r="F137" i="1"/>
  <c r="E134" i="1"/>
  <c r="F133" i="1"/>
  <c r="E130" i="1"/>
  <c r="F129" i="1"/>
  <c r="E126" i="1"/>
  <c r="F125" i="1"/>
  <c r="E122" i="1"/>
  <c r="G153" i="1"/>
  <c r="G141" i="1"/>
  <c r="G129" i="1"/>
  <c r="E154" i="1"/>
  <c r="F153" i="1"/>
  <c r="G152" i="1"/>
  <c r="F156" i="1"/>
  <c r="E153" i="1"/>
  <c r="F152" i="1"/>
  <c r="E149" i="1"/>
  <c r="F148" i="1"/>
  <c r="E145" i="1"/>
  <c r="F144" i="1"/>
  <c r="E141" i="1"/>
  <c r="E137" i="1"/>
  <c r="E133" i="1"/>
  <c r="E129" i="1"/>
  <c r="F128" i="1"/>
  <c r="E125" i="1"/>
  <c r="F124" i="1"/>
  <c r="G149" i="1"/>
  <c r="G137" i="1"/>
  <c r="G125" i="1"/>
  <c r="F121" i="1"/>
  <c r="E121" i="1"/>
  <c r="G113" i="1"/>
  <c r="F113" i="1"/>
  <c r="D113" i="1"/>
  <c r="G85" i="1"/>
  <c r="G83" i="1"/>
  <c r="G93" i="1"/>
  <c r="G69" i="1"/>
  <c r="D105" i="1"/>
  <c r="F103" i="1"/>
  <c r="D95" i="1"/>
  <c r="F93" i="1"/>
  <c r="D89" i="1"/>
  <c r="G86" i="1"/>
  <c r="F79" i="1"/>
  <c r="D71" i="1"/>
  <c r="F69" i="1"/>
  <c r="G67" i="1"/>
  <c r="E112" i="1"/>
  <c r="E100" i="1"/>
  <c r="E93" i="1"/>
  <c r="G75" i="1"/>
  <c r="D69" i="1"/>
  <c r="G97" i="1"/>
  <c r="E109" i="1"/>
  <c r="F107" i="1"/>
  <c r="F105" i="1"/>
  <c r="G104" i="1"/>
  <c r="D103" i="1"/>
  <c r="E97" i="1"/>
  <c r="D85" i="1"/>
  <c r="D83" i="1"/>
  <c r="D75" i="1"/>
  <c r="E73" i="1"/>
  <c r="G71" i="1"/>
  <c r="D67" i="1"/>
  <c r="F97" i="1"/>
  <c r="G112" i="1"/>
  <c r="G95" i="1"/>
  <c r="F71" i="1"/>
  <c r="D109" i="1"/>
  <c r="D107" i="1"/>
  <c r="F101" i="1"/>
  <c r="G99" i="1"/>
  <c r="G91" i="1"/>
  <c r="G90" i="1"/>
  <c r="G87" i="1"/>
  <c r="F81" i="1"/>
  <c r="D79" i="1"/>
  <c r="F77" i="1"/>
  <c r="D73" i="1"/>
  <c r="F67" i="1"/>
  <c r="K67" i="1" s="1"/>
  <c r="G81" i="1"/>
  <c r="G77" i="1"/>
  <c r="F91" i="1"/>
  <c r="G88" i="1"/>
  <c r="F87" i="1"/>
  <c r="G84" i="1"/>
  <c r="E81" i="1"/>
  <c r="E77" i="1"/>
  <c r="G73" i="1"/>
  <c r="G101" i="1"/>
  <c r="G114" i="1"/>
  <c r="G109" i="1"/>
  <c r="E101" i="1"/>
  <c r="F99" i="1"/>
  <c r="G70" i="1"/>
  <c r="E114" i="1"/>
  <c r="F112" i="1"/>
  <c r="G108" i="1"/>
  <c r="G107" i="1"/>
  <c r="G106" i="1"/>
  <c r="D99" i="1"/>
  <c r="F95" i="1"/>
  <c r="D91" i="1"/>
  <c r="D87" i="1"/>
  <c r="F83" i="1"/>
  <c r="G79" i="1"/>
  <c r="F75" i="1"/>
  <c r="F110" i="1"/>
  <c r="D110" i="1"/>
  <c r="E110" i="1"/>
  <c r="D98" i="1"/>
  <c r="F98" i="1"/>
  <c r="G98" i="1"/>
  <c r="F96" i="1"/>
  <c r="D96" i="1"/>
  <c r="G96" i="1"/>
  <c r="D94" i="1"/>
  <c r="F94" i="1"/>
  <c r="E94" i="1"/>
  <c r="G94" i="1"/>
  <c r="E111" i="1"/>
  <c r="F111" i="1"/>
  <c r="G111" i="1"/>
  <c r="F76" i="1"/>
  <c r="D76" i="1"/>
  <c r="E76" i="1"/>
  <c r="G76" i="1"/>
  <c r="F92" i="1"/>
  <c r="D92" i="1"/>
  <c r="E92" i="1"/>
  <c r="G92" i="1"/>
  <c r="E115" i="1"/>
  <c r="D115" i="1"/>
  <c r="F115" i="1"/>
  <c r="D78" i="1"/>
  <c r="F78" i="1"/>
  <c r="E78" i="1"/>
  <c r="G78" i="1"/>
  <c r="F80" i="1"/>
  <c r="D80" i="1"/>
  <c r="F68" i="1"/>
  <c r="D68" i="1"/>
  <c r="D114" i="1"/>
  <c r="E108" i="1"/>
  <c r="D102" i="1"/>
  <c r="F102" i="1"/>
  <c r="F100" i="1"/>
  <c r="D100" i="1"/>
  <c r="D86" i="1"/>
  <c r="F86" i="1"/>
  <c r="F84" i="1"/>
  <c r="D84" i="1"/>
  <c r="D70" i="1"/>
  <c r="F70" i="1"/>
  <c r="D82" i="1"/>
  <c r="F82" i="1"/>
  <c r="D106" i="1"/>
  <c r="F106" i="1"/>
  <c r="F104" i="1"/>
  <c r="D104" i="1"/>
  <c r="D90" i="1"/>
  <c r="F90" i="1"/>
  <c r="F88" i="1"/>
  <c r="D88" i="1"/>
  <c r="G82" i="1"/>
  <c r="G80" i="1"/>
  <c r="D74" i="1"/>
  <c r="F74" i="1"/>
  <c r="F72" i="1"/>
  <c r="D72" i="1"/>
  <c r="G68" i="1"/>
  <c r="D66" i="1"/>
  <c r="E66" i="1"/>
  <c r="G66" i="1"/>
  <c r="D52" i="1"/>
  <c r="G52" i="1"/>
  <c r="F52" i="1"/>
  <c r="G37" i="1"/>
  <c r="F37" i="1"/>
  <c r="E37" i="1"/>
  <c r="F25" i="1"/>
  <c r="E25" i="1"/>
  <c r="D25" i="1"/>
  <c r="F14" i="1"/>
  <c r="E14" i="1"/>
  <c r="D14" i="1"/>
  <c r="D11" i="1"/>
  <c r="G11" i="1"/>
  <c r="F11" i="1"/>
  <c r="H11" i="1" s="1"/>
  <c r="H14" i="1" l="1"/>
  <c r="K163" i="1"/>
  <c r="J156" i="1"/>
  <c r="H155" i="1"/>
  <c r="I95" i="1"/>
  <c r="I73" i="1"/>
  <c r="K73" i="1" s="1"/>
  <c r="I97" i="1"/>
  <c r="J103" i="1"/>
  <c r="I164" i="1"/>
  <c r="I127" i="1"/>
  <c r="I155" i="1"/>
  <c r="K155" i="1" s="1"/>
  <c r="I152" i="1"/>
  <c r="K152" i="1" s="1"/>
  <c r="K69" i="1"/>
  <c r="H103" i="1"/>
  <c r="J147" i="1"/>
  <c r="J139" i="1"/>
  <c r="I84" i="1"/>
  <c r="K84" i="1" s="1"/>
  <c r="I87" i="1"/>
  <c r="H89" i="1"/>
  <c r="I170" i="1"/>
  <c r="I123" i="1"/>
  <c r="K123" i="1" s="1"/>
  <c r="I159" i="1"/>
  <c r="J155" i="1"/>
  <c r="K157" i="1"/>
  <c r="J163" i="1"/>
  <c r="K144" i="1"/>
  <c r="I163" i="1"/>
  <c r="H168" i="1"/>
  <c r="H157" i="1"/>
  <c r="J159" i="1"/>
  <c r="H83" i="1"/>
  <c r="I99" i="1"/>
  <c r="K99" i="1" s="1"/>
  <c r="K112" i="1"/>
  <c r="I103" i="1"/>
  <c r="H75" i="1"/>
  <c r="J113" i="1"/>
  <c r="H124" i="1"/>
  <c r="K140" i="1"/>
  <c r="K85" i="1"/>
  <c r="J164" i="1"/>
  <c r="J143" i="1"/>
  <c r="I71" i="1"/>
  <c r="K71" i="1" s="1"/>
  <c r="J93" i="1"/>
  <c r="H164" i="1"/>
  <c r="K161" i="1"/>
  <c r="H101" i="1"/>
  <c r="H85" i="1"/>
  <c r="I105" i="1"/>
  <c r="H148" i="1"/>
  <c r="K164" i="1"/>
  <c r="H87" i="1"/>
  <c r="H67" i="1"/>
  <c r="J89" i="1"/>
  <c r="H163" i="1"/>
  <c r="H159" i="1"/>
  <c r="I136" i="1"/>
  <c r="J124" i="1"/>
  <c r="J161" i="1"/>
  <c r="J131" i="1"/>
  <c r="I132" i="1"/>
  <c r="J136" i="1"/>
  <c r="K170" i="1"/>
  <c r="H136" i="1"/>
  <c r="K132" i="1"/>
  <c r="J168" i="1"/>
  <c r="J170" i="1"/>
  <c r="K136" i="1"/>
  <c r="I168" i="1"/>
  <c r="K168" i="1" s="1"/>
  <c r="H170" i="1"/>
  <c r="H166" i="1"/>
  <c r="K166" i="1"/>
  <c r="J151" i="1"/>
  <c r="K135" i="1"/>
  <c r="H93" i="1"/>
  <c r="K113" i="1"/>
  <c r="J105" i="1"/>
  <c r="H71" i="1"/>
  <c r="I107" i="1"/>
  <c r="K107" i="1" s="1"/>
  <c r="K95" i="1"/>
  <c r="H113" i="1"/>
  <c r="K131" i="1"/>
  <c r="H151" i="1"/>
  <c r="J123" i="1"/>
  <c r="H132" i="1"/>
  <c r="H161" i="1"/>
  <c r="I151" i="1"/>
  <c r="I140" i="1"/>
  <c r="J85" i="1"/>
  <c r="I85" i="1"/>
  <c r="H77" i="1"/>
  <c r="K93" i="1"/>
  <c r="K151" i="1"/>
  <c r="H123" i="1"/>
  <c r="J135" i="1"/>
  <c r="J71" i="1"/>
  <c r="I93" i="1"/>
  <c r="I69" i="1"/>
  <c r="K105" i="1"/>
  <c r="J157" i="1"/>
  <c r="I161" i="1"/>
  <c r="J127" i="1"/>
  <c r="K127" i="1"/>
  <c r="J140" i="1"/>
  <c r="H140" i="1"/>
  <c r="J132" i="1"/>
  <c r="K159" i="1"/>
  <c r="H127" i="1"/>
  <c r="I166" i="1"/>
  <c r="J166" i="1"/>
  <c r="H167" i="1"/>
  <c r="I167" i="1"/>
  <c r="J167" i="1"/>
  <c r="K167" i="1"/>
  <c r="J165" i="1"/>
  <c r="K165" i="1"/>
  <c r="H165" i="1"/>
  <c r="I165" i="1"/>
  <c r="J169" i="1"/>
  <c r="H169" i="1"/>
  <c r="I169" i="1"/>
  <c r="K169" i="1"/>
  <c r="H160" i="1"/>
  <c r="I160" i="1"/>
  <c r="J160" i="1"/>
  <c r="K160" i="1"/>
  <c r="J158" i="1"/>
  <c r="K158" i="1"/>
  <c r="H158" i="1"/>
  <c r="I158" i="1"/>
  <c r="J162" i="1"/>
  <c r="H162" i="1"/>
  <c r="I162" i="1"/>
  <c r="K162" i="1" s="1"/>
  <c r="H145" i="1"/>
  <c r="I145" i="1"/>
  <c r="J145" i="1"/>
  <c r="K145" i="1"/>
  <c r="K122" i="1"/>
  <c r="H122" i="1"/>
  <c r="I122" i="1"/>
  <c r="J122" i="1"/>
  <c r="K126" i="1"/>
  <c r="J126" i="1"/>
  <c r="H126" i="1"/>
  <c r="I126" i="1"/>
  <c r="H144" i="1"/>
  <c r="J128" i="1"/>
  <c r="I143" i="1"/>
  <c r="K143" i="1" s="1"/>
  <c r="I156" i="1"/>
  <c r="K156" i="1" s="1"/>
  <c r="I124" i="1"/>
  <c r="H133" i="1"/>
  <c r="I133" i="1"/>
  <c r="K133" i="1" s="1"/>
  <c r="J133" i="1"/>
  <c r="H141" i="1"/>
  <c r="I141" i="1"/>
  <c r="K141" i="1"/>
  <c r="J141" i="1"/>
  <c r="K147" i="1"/>
  <c r="H131" i="1"/>
  <c r="H135" i="1"/>
  <c r="H139" i="1"/>
  <c r="H143" i="1"/>
  <c r="H147" i="1"/>
  <c r="I131" i="1"/>
  <c r="J144" i="1"/>
  <c r="J152" i="1"/>
  <c r="I135" i="1"/>
  <c r="H128" i="1"/>
  <c r="I139" i="1"/>
  <c r="K139" i="1" s="1"/>
  <c r="J148" i="1"/>
  <c r="H125" i="1"/>
  <c r="K125" i="1"/>
  <c r="I125" i="1"/>
  <c r="J125" i="1"/>
  <c r="H153" i="1"/>
  <c r="I153" i="1"/>
  <c r="J153" i="1"/>
  <c r="K153" i="1"/>
  <c r="I144" i="1"/>
  <c r="H152" i="1"/>
  <c r="I147" i="1"/>
  <c r="I128" i="1"/>
  <c r="K128" i="1" s="1"/>
  <c r="H156" i="1"/>
  <c r="K124" i="1"/>
  <c r="I148" i="1"/>
  <c r="K148" i="1" s="1"/>
  <c r="H129" i="1"/>
  <c r="I129" i="1"/>
  <c r="K129" i="1"/>
  <c r="J129" i="1"/>
  <c r="H137" i="1"/>
  <c r="K137" i="1"/>
  <c r="I137" i="1"/>
  <c r="J137" i="1"/>
  <c r="H149" i="1"/>
  <c r="K149" i="1"/>
  <c r="I149" i="1"/>
  <c r="J149" i="1"/>
  <c r="H154" i="1"/>
  <c r="I154" i="1"/>
  <c r="K154" i="1" s="1"/>
  <c r="J154" i="1"/>
  <c r="K130" i="1"/>
  <c r="H130" i="1"/>
  <c r="J130" i="1"/>
  <c r="I130" i="1"/>
  <c r="H134" i="1"/>
  <c r="I134" i="1"/>
  <c r="K134" i="1" s="1"/>
  <c r="J134" i="1"/>
  <c r="K138" i="1"/>
  <c r="J138" i="1"/>
  <c r="H138" i="1"/>
  <c r="I138" i="1"/>
  <c r="K142" i="1"/>
  <c r="H142" i="1"/>
  <c r="J142" i="1"/>
  <c r="I142" i="1"/>
  <c r="K146" i="1"/>
  <c r="H146" i="1"/>
  <c r="I146" i="1"/>
  <c r="J146" i="1"/>
  <c r="K150" i="1"/>
  <c r="J150" i="1"/>
  <c r="H150" i="1"/>
  <c r="I150" i="1"/>
  <c r="K121" i="1"/>
  <c r="I121" i="1"/>
  <c r="H121" i="1"/>
  <c r="J121" i="1"/>
  <c r="H74" i="1"/>
  <c r="J82" i="1"/>
  <c r="I75" i="1"/>
  <c r="K75" i="1" s="1"/>
  <c r="J69" i="1"/>
  <c r="H95" i="1"/>
  <c r="J81" i="1"/>
  <c r="K89" i="1"/>
  <c r="H105" i="1"/>
  <c r="I89" i="1"/>
  <c r="I113" i="1"/>
  <c r="J96" i="1"/>
  <c r="J79" i="1"/>
  <c r="J75" i="1"/>
  <c r="H91" i="1"/>
  <c r="H69" i="1"/>
  <c r="J77" i="1"/>
  <c r="I98" i="1"/>
  <c r="H73" i="1"/>
  <c r="H97" i="1"/>
  <c r="H107" i="1"/>
  <c r="I91" i="1"/>
  <c r="J91" i="1"/>
  <c r="H81" i="1"/>
  <c r="I90" i="1"/>
  <c r="K101" i="1"/>
  <c r="H106" i="1"/>
  <c r="J67" i="1"/>
  <c r="K91" i="1"/>
  <c r="J102" i="1"/>
  <c r="H114" i="1"/>
  <c r="K87" i="1"/>
  <c r="J97" i="1"/>
  <c r="J95" i="1"/>
  <c r="K103" i="1"/>
  <c r="H79" i="1"/>
  <c r="J107" i="1"/>
  <c r="H100" i="1"/>
  <c r="J73" i="1"/>
  <c r="I67" i="1"/>
  <c r="I79" i="1"/>
  <c r="K79" i="1" s="1"/>
  <c r="J104" i="1"/>
  <c r="I70" i="1"/>
  <c r="I86" i="1"/>
  <c r="K86" i="1" s="1"/>
  <c r="K97" i="1"/>
  <c r="H68" i="1"/>
  <c r="H80" i="1"/>
  <c r="J87" i="1"/>
  <c r="H112" i="1"/>
  <c r="J98" i="1"/>
  <c r="H99" i="1"/>
  <c r="H109" i="1"/>
  <c r="H84" i="1"/>
  <c r="I101" i="1"/>
  <c r="J68" i="1"/>
  <c r="K77" i="1"/>
  <c r="H86" i="1"/>
  <c r="H90" i="1"/>
  <c r="J109" i="1"/>
  <c r="I77" i="1"/>
  <c r="I100" i="1"/>
  <c r="J112" i="1"/>
  <c r="K100" i="1"/>
  <c r="I88" i="1"/>
  <c r="K88" i="1"/>
  <c r="K109" i="1"/>
  <c r="H70" i="1"/>
  <c r="J83" i="1"/>
  <c r="J99" i="1"/>
  <c r="I109" i="1"/>
  <c r="I81" i="1"/>
  <c r="K81" i="1" s="1"/>
  <c r="J86" i="1"/>
  <c r="J101" i="1"/>
  <c r="I72" i="1"/>
  <c r="H104" i="1"/>
  <c r="K82" i="1"/>
  <c r="H88" i="1"/>
  <c r="I80" i="1"/>
  <c r="K102" i="1"/>
  <c r="I112" i="1"/>
  <c r="I83" i="1"/>
  <c r="K83" i="1" s="1"/>
  <c r="I68" i="1"/>
  <c r="H82" i="1"/>
  <c r="I96" i="1"/>
  <c r="I106" i="1"/>
  <c r="K72" i="1"/>
  <c r="I102" i="1"/>
  <c r="J80" i="1"/>
  <c r="K70" i="1"/>
  <c r="J70" i="1"/>
  <c r="J84" i="1"/>
  <c r="J90" i="1"/>
  <c r="K96" i="1"/>
  <c r="K98" i="1"/>
  <c r="H102" i="1"/>
  <c r="I115" i="1"/>
  <c r="J115" i="1"/>
  <c r="H115" i="1"/>
  <c r="K115" i="1"/>
  <c r="K80" i="1"/>
  <c r="K68" i="1"/>
  <c r="K114" i="1"/>
  <c r="I82" i="1"/>
  <c r="J110" i="1"/>
  <c r="I110" i="1"/>
  <c r="K110" i="1"/>
  <c r="H110" i="1"/>
  <c r="H96" i="1"/>
  <c r="H98" i="1"/>
  <c r="J100" i="1"/>
  <c r="J114" i="1"/>
  <c r="H72" i="1"/>
  <c r="I74" i="1"/>
  <c r="K74" i="1" s="1"/>
  <c r="J76" i="1"/>
  <c r="H76" i="1"/>
  <c r="I76" i="1"/>
  <c r="K76" i="1"/>
  <c r="I111" i="1"/>
  <c r="K111" i="1" s="1"/>
  <c r="J111" i="1"/>
  <c r="H111" i="1"/>
  <c r="K106" i="1"/>
  <c r="I104" i="1"/>
  <c r="J72" i="1"/>
  <c r="H94" i="1"/>
  <c r="J94" i="1"/>
  <c r="I94" i="1"/>
  <c r="K94" i="1"/>
  <c r="J74" i="1"/>
  <c r="J106" i="1"/>
  <c r="I114" i="1"/>
  <c r="K104" i="1"/>
  <c r="J88" i="1"/>
  <c r="H108" i="1"/>
  <c r="I108" i="1"/>
  <c r="J108" i="1"/>
  <c r="K108" i="1"/>
  <c r="H78" i="1"/>
  <c r="J78" i="1"/>
  <c r="I78" i="1"/>
  <c r="K78" i="1" s="1"/>
  <c r="K90" i="1"/>
  <c r="J92" i="1"/>
  <c r="H92" i="1"/>
  <c r="I92" i="1"/>
  <c r="K92" i="1"/>
  <c r="J66" i="1"/>
  <c r="H66" i="1"/>
  <c r="I66" i="1"/>
  <c r="K66" i="1" s="1"/>
  <c r="H52" i="1"/>
  <c r="H37" i="1"/>
  <c r="H25" i="1"/>
  <c r="I52" i="1"/>
  <c r="K52" i="1" s="1"/>
  <c r="J52" i="1"/>
  <c r="I37" i="1"/>
  <c r="J37" i="1"/>
  <c r="K37" i="1"/>
  <c r="K25" i="1"/>
  <c r="I25" i="1"/>
  <c r="J25" i="1"/>
  <c r="J11" i="1"/>
  <c r="K14" i="1"/>
  <c r="I14" i="1"/>
  <c r="J14" i="1"/>
  <c r="I11" i="1"/>
  <c r="K11" i="1" s="1"/>
  <c r="G60" i="1" l="1"/>
  <c r="G59" i="1"/>
  <c r="E58" i="1"/>
  <c r="G57" i="1"/>
  <c r="G56" i="1"/>
  <c r="E55" i="1"/>
  <c r="G54" i="1"/>
  <c r="G53" i="1"/>
  <c r="G51" i="1"/>
  <c r="E50" i="1"/>
  <c r="G49" i="1"/>
  <c r="G48" i="1"/>
  <c r="G47" i="1"/>
  <c r="G45" i="1"/>
  <c r="G44" i="1"/>
  <c r="E43" i="1"/>
  <c r="G41" i="1"/>
  <c r="G40" i="1"/>
  <c r="E39" i="1"/>
  <c r="G38" i="1"/>
  <c r="G36" i="1"/>
  <c r="G35" i="1"/>
  <c r="E34" i="1"/>
  <c r="G32" i="1"/>
  <c r="G31" i="1"/>
  <c r="G28" i="1"/>
  <c r="G27" i="1"/>
  <c r="G24" i="1"/>
  <c r="G23" i="1"/>
  <c r="G22" i="1"/>
  <c r="E21" i="1"/>
  <c r="F20" i="1"/>
  <c r="G19" i="1"/>
  <c r="G18" i="1"/>
  <c r="G17" i="1"/>
  <c r="E16" i="1"/>
  <c r="F15" i="1"/>
  <c r="G13" i="1"/>
  <c r="G12" i="1"/>
  <c r="E10" i="1"/>
  <c r="D35" i="1" l="1"/>
  <c r="D40" i="1"/>
  <c r="E22" i="1"/>
  <c r="F22" i="1"/>
  <c r="E32" i="1"/>
  <c r="E44" i="1"/>
  <c r="F47" i="1"/>
  <c r="D12" i="1"/>
  <c r="D13" i="1"/>
  <c r="F16" i="1"/>
  <c r="D19" i="1"/>
  <c r="D20" i="1"/>
  <c r="G21" i="1"/>
  <c r="E12" i="1"/>
  <c r="E13" i="1"/>
  <c r="E19" i="1"/>
  <c r="E20" i="1"/>
  <c r="F12" i="1"/>
  <c r="F19" i="1"/>
  <c r="G20" i="1"/>
  <c r="E23" i="1"/>
  <c r="E31" i="1"/>
  <c r="F44" i="1"/>
  <c r="D59" i="1"/>
  <c r="F31" i="1"/>
  <c r="D44" i="1"/>
  <c r="D45" i="1"/>
  <c r="F17" i="1"/>
  <c r="F27" i="1"/>
  <c r="E47" i="1"/>
  <c r="E48" i="1"/>
  <c r="F50" i="1"/>
  <c r="F51" i="1"/>
  <c r="E53" i="1"/>
  <c r="F55" i="1"/>
  <c r="F56" i="1"/>
  <c r="E57" i="1"/>
  <c r="D17" i="1"/>
  <c r="D18" i="1"/>
  <c r="D24" i="1"/>
  <c r="D27" i="1"/>
  <c r="D28" i="1"/>
  <c r="E35" i="1"/>
  <c r="D36" i="1"/>
  <c r="E40" i="1"/>
  <c r="D41" i="1"/>
  <c r="F43" i="1"/>
  <c r="E45" i="1"/>
  <c r="D51" i="1"/>
  <c r="D56" i="1"/>
  <c r="E59" i="1"/>
  <c r="D60" i="1"/>
  <c r="E17" i="1"/>
  <c r="D22" i="1"/>
  <c r="D23" i="1"/>
  <c r="E27" i="1"/>
  <c r="E28" i="1"/>
  <c r="D31" i="1"/>
  <c r="D32" i="1"/>
  <c r="F34" i="1"/>
  <c r="F35" i="1"/>
  <c r="E36" i="1"/>
  <c r="F39" i="1"/>
  <c r="F40" i="1"/>
  <c r="E41" i="1"/>
  <c r="D47" i="1"/>
  <c r="D48" i="1"/>
  <c r="E51" i="1"/>
  <c r="D53" i="1"/>
  <c r="E56" i="1"/>
  <c r="D57" i="1"/>
  <c r="F58" i="1"/>
  <c r="F59" i="1"/>
  <c r="E60" i="1"/>
  <c r="F29" i="1"/>
  <c r="E29" i="1"/>
  <c r="F46" i="1"/>
  <c r="E46" i="1"/>
  <c r="D46" i="1"/>
  <c r="F10" i="1"/>
  <c r="G15" i="1"/>
  <c r="G16" i="1"/>
  <c r="E18" i="1"/>
  <c r="E30" i="1"/>
  <c r="D30" i="1"/>
  <c r="F33" i="1"/>
  <c r="E33" i="1"/>
  <c r="F42" i="1"/>
  <c r="E42" i="1"/>
  <c r="D42" i="1"/>
  <c r="G46" i="1"/>
  <c r="E26" i="1"/>
  <c r="D26" i="1"/>
  <c r="F26" i="1"/>
  <c r="D29" i="1"/>
  <c r="D10" i="1"/>
  <c r="F13" i="1"/>
  <c r="E15" i="1"/>
  <c r="D16" i="1"/>
  <c r="F18" i="1"/>
  <c r="D21" i="1"/>
  <c r="G26" i="1"/>
  <c r="G29" i="1"/>
  <c r="F30" i="1"/>
  <c r="D33" i="1"/>
  <c r="F38" i="1"/>
  <c r="E38" i="1"/>
  <c r="D38" i="1"/>
  <c r="G42" i="1"/>
  <c r="F54" i="1"/>
  <c r="E54" i="1"/>
  <c r="D54" i="1"/>
  <c r="G10" i="1"/>
  <c r="D15" i="1"/>
  <c r="F21" i="1"/>
  <c r="F24" i="1"/>
  <c r="E24" i="1"/>
  <c r="G30" i="1"/>
  <c r="G33" i="1"/>
  <c r="F49" i="1"/>
  <c r="E49" i="1"/>
  <c r="D49" i="1"/>
  <c r="G34" i="1"/>
  <c r="G39" i="1"/>
  <c r="G43" i="1"/>
  <c r="G50" i="1"/>
  <c r="G55" i="1"/>
  <c r="G58" i="1"/>
  <c r="F23" i="1"/>
  <c r="F28" i="1"/>
  <c r="F32" i="1"/>
  <c r="D34" i="1"/>
  <c r="F36" i="1"/>
  <c r="D39" i="1"/>
  <c r="F41" i="1"/>
  <c r="D43" i="1"/>
  <c r="F45" i="1"/>
  <c r="F48" i="1"/>
  <c r="D50" i="1"/>
  <c r="F53" i="1"/>
  <c r="D55" i="1"/>
  <c r="F57" i="1"/>
  <c r="D58" i="1"/>
  <c r="F60" i="1"/>
  <c r="H10" i="1" l="1"/>
  <c r="H13" i="1"/>
  <c r="H15" i="1"/>
  <c r="H12" i="1"/>
  <c r="H43" i="1"/>
  <c r="H16" i="1"/>
  <c r="H26" i="1"/>
  <c r="H51" i="1"/>
  <c r="H27" i="1"/>
  <c r="H21" i="1"/>
  <c r="H39" i="1"/>
  <c r="H35" i="1"/>
  <c r="H55" i="1"/>
  <c r="H46" i="1"/>
  <c r="H29" i="1"/>
  <c r="H58" i="1"/>
  <c r="H34" i="1"/>
  <c r="H45" i="1"/>
  <c r="H50" i="1"/>
  <c r="H19" i="1"/>
  <c r="H54" i="1"/>
  <c r="H38" i="1"/>
  <c r="H33" i="1"/>
  <c r="H18" i="1"/>
  <c r="H59" i="1"/>
  <c r="H48" i="1"/>
  <c r="H22" i="1"/>
  <c r="H30" i="1"/>
  <c r="H60" i="1"/>
  <c r="H56" i="1"/>
  <c r="H36" i="1"/>
  <c r="H53" i="1"/>
  <c r="H47" i="1"/>
  <c r="H31" i="1"/>
  <c r="H44" i="1"/>
  <c r="H49" i="1"/>
  <c r="H24" i="1"/>
  <c r="H42" i="1"/>
  <c r="H41" i="1"/>
  <c r="H28" i="1"/>
  <c r="H17" i="1"/>
  <c r="H40" i="1"/>
  <c r="H57" i="1"/>
  <c r="H23" i="1"/>
  <c r="H20" i="1"/>
  <c r="H32" i="1"/>
  <c r="I58" i="1"/>
  <c r="K56" i="1"/>
  <c r="K43" i="1"/>
  <c r="K55" i="1"/>
  <c r="K15" i="1"/>
  <c r="K36" i="1"/>
  <c r="K53" i="1"/>
  <c r="K58" i="1"/>
  <c r="K34" i="1"/>
  <c r="K44" i="1"/>
  <c r="K42" i="1"/>
  <c r="K17" i="1"/>
  <c r="K32" i="1"/>
  <c r="K30" i="1"/>
  <c r="K29" i="1"/>
  <c r="K51" i="1"/>
  <c r="K27" i="1"/>
  <c r="K45" i="1"/>
  <c r="K26" i="1"/>
  <c r="K18" i="1"/>
  <c r="K59" i="1"/>
  <c r="K35" i="1"/>
  <c r="K22" i="1"/>
  <c r="J21" i="1"/>
  <c r="J51" i="1"/>
  <c r="J27" i="1"/>
  <c r="J56" i="1"/>
  <c r="J20" i="1"/>
  <c r="J15" i="1"/>
  <c r="J46" i="1"/>
  <c r="J60" i="1"/>
  <c r="J36" i="1"/>
  <c r="J53" i="1"/>
  <c r="J16" i="1"/>
  <c r="J39" i="1"/>
  <c r="J43" i="1"/>
  <c r="J55" i="1"/>
  <c r="J10" i="1"/>
  <c r="J58" i="1"/>
  <c r="J34" i="1"/>
  <c r="J47" i="1"/>
  <c r="J31" i="1"/>
  <c r="J12" i="1"/>
  <c r="J44" i="1"/>
  <c r="J50" i="1"/>
  <c r="J42" i="1"/>
  <c r="J41" i="1"/>
  <c r="J28" i="1"/>
  <c r="J17" i="1"/>
  <c r="J40" i="1"/>
  <c r="J57" i="1"/>
  <c r="J23" i="1"/>
  <c r="J32" i="1"/>
  <c r="J49" i="1"/>
  <c r="J24" i="1"/>
  <c r="J54" i="1"/>
  <c r="J38" i="1"/>
  <c r="J30" i="1"/>
  <c r="J29" i="1"/>
  <c r="J45" i="1"/>
  <c r="J19" i="1"/>
  <c r="J26" i="1"/>
  <c r="J33" i="1"/>
  <c r="J18" i="1"/>
  <c r="J59" i="1"/>
  <c r="J35" i="1"/>
  <c r="J48" i="1"/>
  <c r="J13" i="1"/>
  <c r="J22" i="1"/>
  <c r="I47" i="1"/>
  <c r="K47" i="1" s="1"/>
  <c r="I51" i="1"/>
  <c r="I17" i="1"/>
  <c r="I22" i="1"/>
  <c r="I43" i="1"/>
  <c r="I31" i="1"/>
  <c r="K31" i="1" s="1"/>
  <c r="I19" i="1"/>
  <c r="K19" i="1" s="1"/>
  <c r="I44" i="1"/>
  <c r="I21" i="1"/>
  <c r="K21" i="1" s="1"/>
  <c r="I20" i="1"/>
  <c r="K20" i="1" s="1"/>
  <c r="I12" i="1"/>
  <c r="K12" i="1" s="1"/>
  <c r="I39" i="1"/>
  <c r="K39" i="1" s="1"/>
  <c r="I16" i="1"/>
  <c r="K16" i="1" s="1"/>
  <c r="I27" i="1"/>
  <c r="I59" i="1"/>
  <c r="I35" i="1"/>
  <c r="I56" i="1"/>
  <c r="I40" i="1"/>
  <c r="K40" i="1" s="1"/>
  <c r="I49" i="1"/>
  <c r="K49" i="1" s="1"/>
  <c r="I15" i="1"/>
  <c r="I55" i="1"/>
  <c r="I46" i="1"/>
  <c r="K46" i="1" s="1"/>
  <c r="I60" i="1"/>
  <c r="K60" i="1" s="1"/>
  <c r="I53" i="1"/>
  <c r="I45" i="1"/>
  <c r="I36" i="1"/>
  <c r="I24" i="1"/>
  <c r="K24" i="1" s="1"/>
  <c r="I34" i="1"/>
  <c r="I23" i="1"/>
  <c r="K23" i="1" s="1"/>
  <c r="I26" i="1"/>
  <c r="I30" i="1"/>
  <c r="I29" i="1"/>
  <c r="I10" i="1"/>
  <c r="K10" i="1" s="1"/>
  <c r="I50" i="1"/>
  <c r="K50" i="1" s="1"/>
  <c r="I38" i="1"/>
  <c r="K38" i="1" s="1"/>
  <c r="I42" i="1"/>
  <c r="I33" i="1"/>
  <c r="K33" i="1" s="1"/>
  <c r="I13" i="1"/>
  <c r="K13" i="1" s="1"/>
  <c r="I32" i="1"/>
  <c r="I57" i="1"/>
  <c r="K57" i="1" s="1"/>
  <c r="I48" i="1"/>
  <c r="K48" i="1" s="1"/>
  <c r="I41" i="1"/>
  <c r="K41" i="1" s="1"/>
  <c r="I28" i="1"/>
  <c r="K28" i="1" s="1"/>
  <c r="I54" i="1"/>
  <c r="K54" i="1" s="1"/>
  <c r="I18" i="1"/>
</calcChain>
</file>

<file path=xl/connections.xml><?xml version="1.0" encoding="utf-8"?>
<connections xmlns="http://schemas.openxmlformats.org/spreadsheetml/2006/main">
  <connection id="1" interval="1" name="juniorNifty" type="4" refreshedVersion="4" background="1" refreshOnLoad="1" saveData="1">
    <webPr sourceData="1" parsePre="1" consecutive="1" xl2000="1" url="https://www.nseindia.com/live_market/dynaContent/live_watch/stock_watch/juniorNiftyStockWatch.json" htmlTables="1"/>
  </connection>
  <connection id="2" interval="1" name="nifty50_1" type="4" refreshedVersion="4" background="1" refreshOnLoad="1" saveData="1">
    <webPr sourceData="1" parsePre="1" consecutive="1" xl2000="1" url="https://www.nseindia.com/live_market/dynaContent/live_watch/stock_watch/niftyStockWatch.json" htmlTables="1"/>
  </connection>
  <connection id="3" interval="1" name="niftyMidcap50_1" type="4" refreshedVersion="4" background="1" refreshOnLoad="1" saveData="1">
    <webPr sourceData="1" parsePre="1" consecutive="1" xl2000="1" url="https://www.nseindia.com/live_market/dynaContent/live_watch/stock_watch/niftyMidcap50StockWatch.json" htmlTables="1"/>
  </connection>
</connections>
</file>

<file path=xl/sharedStrings.xml><?xml version="1.0" encoding="utf-8"?>
<sst xmlns="http://schemas.openxmlformats.org/spreadsheetml/2006/main" count="198" uniqueCount="171">
  <si>
    <t>JSON Keys</t>
  </si>
  <si>
    <t>SYMBOL</t>
  </si>
  <si>
    <t>open</t>
  </si>
  <si>
    <t>high</t>
  </si>
  <si>
    <t>low</t>
  </si>
  <si>
    <t>ltP</t>
  </si>
  <si>
    <t>Position</t>
  </si>
  <si>
    <t>Price</t>
  </si>
  <si>
    <t>Stop Loss</t>
  </si>
  <si>
    <t>ACC</t>
  </si>
  <si>
    <t>AMBUJACEM</t>
  </si>
  <si>
    <t>ASIANPAINT</t>
  </si>
  <si>
    <t>AXISBANK</t>
  </si>
  <si>
    <t>BAJAJ-AUTO</t>
  </si>
  <si>
    <t>BANKBARODA</t>
  </si>
  <si>
    <t>BHARTIARTL</t>
  </si>
  <si>
    <t>BHEL</t>
  </si>
  <si>
    <t>BOSCHLTD</t>
  </si>
  <si>
    <t>BPCL</t>
  </si>
  <si>
    <t>CAIRN</t>
  </si>
  <si>
    <t>CIPLA</t>
  </si>
  <si>
    <t>COALINDIA</t>
  </si>
  <si>
    <t>DRREDDY</t>
  </si>
  <si>
    <t>GAIL</t>
  </si>
  <si>
    <t>GRASIM</t>
  </si>
  <si>
    <t>HCLTECH</t>
  </si>
  <si>
    <t>HDFC</t>
  </si>
  <si>
    <t>HDFCBANK</t>
  </si>
  <si>
    <t>HEROMOTOCO</t>
  </si>
  <si>
    <t>HINDALCO</t>
  </si>
  <si>
    <t>HINDUNILVR</t>
  </si>
  <si>
    <t>ICICIBANK</t>
  </si>
  <si>
    <t>IDEA</t>
  </si>
  <si>
    <t>INDUSINDBK</t>
  </si>
  <si>
    <t>INFY</t>
  </si>
  <si>
    <t>ITC</t>
  </si>
  <si>
    <t>KOTAKBANK</t>
  </si>
  <si>
    <t>LT</t>
  </si>
  <si>
    <t>LUPIN</t>
  </si>
  <si>
    <t>M&amp;M</t>
  </si>
  <si>
    <t>MARUTI</t>
  </si>
  <si>
    <t>NTPC</t>
  </si>
  <si>
    <t>ONGC</t>
  </si>
  <si>
    <t>PNB</t>
  </si>
  <si>
    <t>POWERGRID</t>
  </si>
  <si>
    <t>RELIANCE</t>
  </si>
  <si>
    <t>SBIN</t>
  </si>
  <si>
    <t>SUNPHARMA</t>
  </si>
  <si>
    <t>TATAMOTORS</t>
  </si>
  <si>
    <t>TATAPOWER</t>
  </si>
  <si>
    <t>TATASTEEL</t>
  </si>
  <si>
    <t>TCS</t>
  </si>
  <si>
    <t>TECHM</t>
  </si>
  <si>
    <t>ULTRACEMCO</t>
  </si>
  <si>
    <t>VEDL</t>
  </si>
  <si>
    <t>WIPRO</t>
  </si>
  <si>
    <t>YESBANK</t>
  </si>
  <si>
    <t>ZEEL</t>
  </si>
  <si>
    <t>Profit/Loss at EOD</t>
  </si>
  <si>
    <t>NMDC</t>
  </si>
  <si>
    <t>ADANIPORTS</t>
  </si>
  <si>
    <t>AUROPHARMA</t>
  </si>
  <si>
    <t>EICHERMOT</t>
  </si>
  <si>
    <t>INFRATEL</t>
  </si>
  <si>
    <t>TATAMTRDVR</t>
  </si>
  <si>
    <t>Nifty Next 50</t>
  </si>
  <si>
    <t>HINDPETRO</t>
  </si>
  <si>
    <t>ABB</t>
  </si>
  <si>
    <t>APOLLOHOSP</t>
  </si>
  <si>
    <t>ASHOKLEY</t>
  </si>
  <si>
    <t>BAJAJFINSV</t>
  </si>
  <si>
    <t>BAJFINANCE</t>
  </si>
  <si>
    <t>BEL</t>
  </si>
  <si>
    <t>BHARATFORG</t>
  </si>
  <si>
    <t>BRITANNIA</t>
  </si>
  <si>
    <t>CADILAHC</t>
  </si>
  <si>
    <t>CASTROLIND</t>
  </si>
  <si>
    <t>COLPAL</t>
  </si>
  <si>
    <t>CONCOR</t>
  </si>
  <si>
    <t>CUMMINSIND</t>
  </si>
  <si>
    <t>DABUR</t>
  </si>
  <si>
    <t>DIVISLAB</t>
  </si>
  <si>
    <t>DLF</t>
  </si>
  <si>
    <t>EMAMILTD</t>
  </si>
  <si>
    <t>GLAXO</t>
  </si>
  <si>
    <t>GLENMARK</t>
  </si>
  <si>
    <t>GODREJCP</t>
  </si>
  <si>
    <t>GSKCONS</t>
  </si>
  <si>
    <t>HINDZINC</t>
  </si>
  <si>
    <t>IBULHSGFIN</t>
  </si>
  <si>
    <t>IOC</t>
  </si>
  <si>
    <t>JSWSTEEL</t>
  </si>
  <si>
    <t>LICHSGFIN</t>
  </si>
  <si>
    <t>MARICO</t>
  </si>
  <si>
    <t>MCDOWELL-N</t>
  </si>
  <si>
    <t>MOTHERSUMI</t>
  </si>
  <si>
    <t>NHPC</t>
  </si>
  <si>
    <t>OFSS</t>
  </si>
  <si>
    <t>OIL</t>
  </si>
  <si>
    <t>PFC</t>
  </si>
  <si>
    <t>PGHH</t>
  </si>
  <si>
    <t>PIDILITIND</t>
  </si>
  <si>
    <t>RCOM</t>
  </si>
  <si>
    <t>RECLTD</t>
  </si>
  <si>
    <t>SAIL</t>
  </si>
  <si>
    <t>SHREECEM</t>
  </si>
  <si>
    <t>SIEMENS</t>
  </si>
  <si>
    <t>SRTRANSFIN</t>
  </si>
  <si>
    <t>TITAN</t>
  </si>
  <si>
    <t>TORNTPHARM</t>
  </si>
  <si>
    <t>UBL</t>
  </si>
  <si>
    <t>UPL</t>
  </si>
  <si>
    <t>Nifty Midcap 50</t>
  </si>
  <si>
    <t>ADANIENT</t>
  </si>
  <si>
    <t>ADANIPOWER</t>
  </si>
  <si>
    <t>AJANTPHARM</t>
  </si>
  <si>
    <t>ALBK</t>
  </si>
  <si>
    <t>AMARAJABAT</t>
  </si>
  <si>
    <t>APOLLOTYRE</t>
  </si>
  <si>
    <t>ARVIND</t>
  </si>
  <si>
    <t>BANKINDIA</t>
  </si>
  <si>
    <t>BATAINDIA</t>
  </si>
  <si>
    <t>BIOCON</t>
  </si>
  <si>
    <t>CANBK</t>
  </si>
  <si>
    <t>CENTURYTEX</t>
  </si>
  <si>
    <t>CESC</t>
  </si>
  <si>
    <t>DISHTV</t>
  </si>
  <si>
    <t>ENGINERSIN</t>
  </si>
  <si>
    <t>EXIDEIND</t>
  </si>
  <si>
    <t>FEDERALBNK</t>
  </si>
  <si>
    <t>GMRINFRA</t>
  </si>
  <si>
    <t>GODREJIND</t>
  </si>
  <si>
    <t>HAVELLS</t>
  </si>
  <si>
    <t>HEXAWARE</t>
  </si>
  <si>
    <t>IDBI</t>
  </si>
  <si>
    <t>IDFC</t>
  </si>
  <si>
    <t>IGL</t>
  </si>
  <si>
    <t>IRB</t>
  </si>
  <si>
    <t>JINDALSTEL</t>
  </si>
  <si>
    <t>JSWENERGY</t>
  </si>
  <si>
    <t>JUBLFOOD</t>
  </si>
  <si>
    <t>JUSTDIAL</t>
  </si>
  <si>
    <t>L&amp;TFH</t>
  </si>
  <si>
    <t>M&amp;MFIN</t>
  </si>
  <si>
    <t>MINDTREE</t>
  </si>
  <si>
    <t>MRF</t>
  </si>
  <si>
    <t>PAGEIND</t>
  </si>
  <si>
    <t>PCJEWELLER</t>
  </si>
  <si>
    <t>PETRONET</t>
  </si>
  <si>
    <t>RELCAPITAL</t>
  </si>
  <si>
    <t>RELINFRA</t>
  </si>
  <si>
    <t>RPOWER</t>
  </si>
  <si>
    <t>SRF</t>
  </si>
  <si>
    <t>STAR</t>
  </si>
  <si>
    <t>SUNTV</t>
  </si>
  <si>
    <t>SYNDIBANK</t>
  </si>
  <si>
    <t>TATACHEM</t>
  </si>
  <si>
    <t>TATACOMM</t>
  </si>
  <si>
    <t>TATAGLOBAL</t>
  </si>
  <si>
    <t>TVSMOTOR</t>
  </si>
  <si>
    <t>UNIONBANK</t>
  </si>
  <si>
    <t>VOLTAS</t>
  </si>
  <si>
    <t>WOCKPHARMA</t>
  </si>
  <si>
    <t>Nifty 50</t>
  </si>
  <si>
    <t>Date</t>
  </si>
  <si>
    <t>Timestamp</t>
  </si>
  <si>
    <t>Time</t>
  </si>
  <si>
    <t xml:space="preserve">{"trdVolumesumMil":"90.30","time":"May 30, 2016 16:00:00","latestData":[{"indexName":"NIFTY MIDCAP 50","open":"3,388.20","high":"3,396.20","low":"3,360.00","ltp":"3,387.80","ch":"16.90","per":"0.50","yCls":"1.29","mCls":"0.02","yHigh":"3,563.60","yLow":"2,633.10"}],"declines":22,"trdValueSum":"1,696.86","data":[{"symbol":"L&amp;TFH","open":"74.00","high":"78.85","low":"72.95","ltP":"78.00","ptsC":"4.25","per":"5.76","trdVol":"115.10","trdVolM":"11.51","ntP":"88.74","mVal":"0.89","wkhi":"78.85","wklo":"48.25","wkhicm_adj":"88.25","wklocm_adj":"62.30","xDt":"31-DEC-2999","cAct":"-","yPC":"22.45","mPC":"8.79"},{"symbol":"IDFC","open":"50.35","high":"53.50","low":"49.25","ltP":"51.75","ptsC":"2.10","per":"4.23","trdVol":"90.31","trdVolM":"9.03","ntP":"46.89","mVal":"0.47","wkhi":"163.60","wklo":"34.80","wkhicm_adj":"166.65","wklocm_adj":"88.05","xDt":"31-DEC-2999","cAct":"-","yPC":"-66.19","mPC":"11.41"},{"symbol":"PAGEIND","open":"13,500.00","high":"14,169.00","low":"13,500.00","ltP":"13,980.00","ptsC":"507.75","per":"3.77","trdVol":"0.21","trdVolM":"0.02","ntP":"29.79","mVal":"0.30","wkhi":"17,000.00","wklo":"9,752.35","wkhicm_adj":"10,390.00","wklocm_adj":"5,010.00","xDt":"31-DEC-2999","cAct":"-","yPC":"-8.11","mPC":"7.71"},{"symbol":"SRF","open":"1,270.00","high":"1,307.80","low":"1,265.65","ltP":"1,297.50","ptsC":"36.95","per":"2.93","trdVol":"2.73","trdVolM":"0.27","ntP":"35.25","mVal":"0.35","wkhi":"1,498.85","wklo":"990.00","wkhicm_adj":"958.80","wklocm_adj":"170.00","xDt":"31-DEC-2999","cAct":"-","yPC":"28.41","mPC":"-4.30"},{"symbol":"TATACOMM","open":"454.00","high":"474.90","low":"451.80","ltP":"472.05","ptsC":"12.65","per":"2.75","trdVol":"4.71","trdVolM":"0.47","ntP":"21.92","mVal":"0.22","wkhi":"491.35","wklo":"325.00","wkhicm_adj":"462.40","wklocm_adj":"258.50","xDt":"31-DEC-2999","cAct":"-","yPC":"9.72","mPC":"12.58"},{"symbol":"BATAINDIA","open":"558.65","high":"571.30","low":"557.50","ltP":"571.00","ptsC":"13.70","per":"2.46","trdVol":"7.16","trdVolM":"0.72","ntP":"40.62","mVal":"0.41","wkhi":"622.00","wklo":"438.00","wkhicm_adj":"1,413.40","wklocm_adj":"894.55","xDt":"31-DEC-2999","cAct":"-","yPC":"-45.80","mPC":"1.17"},{"symbol":"PETRONET","open":"274.80","high":"279.80","low":"270.20","ltP":"278.90","ptsC":"5.75","per":"2.11","trdVol":"6.10","trdVolM":"0.61","ntP":"16.85","mVal":"0.17","wkhi":"284.80","wklo":"163.55","wkhicm_adj":"208.80","wklocm_adj":"102.60","xDt":"31-DEC-2999","cAct":"-","yPC":"51.91","mPC":"5.82"},{"symbol":"EXIDEIND","open":"158.00","high":"161.45","low":"156.80","ltP":"160.75","ptsC":"3.20","per":"2.03","trdVol":"9.23","trdVolM":"0.92","ntP":"14.72","mVal":"0.15","wkhi":"168.60","wklo":"116.00","wkhicm_adj":"183.40","wklocm_adj":"99.00","xDt":"31-DEC-2999","cAct":"-","yPC":"4.38","mPC":"7.53"},{"symbol":"SYNDIBANK","open":"65.25","high":"66.60","low":"64.40","ltP":"65.50","ptsC":"1.30","per":"2.02","trdVol":"25.14","trdVolM":"2.51","ntP":"16.48","mVal":"0.16","wkhi":"118.30","wklo":"49.40","wkhicm_adj":"180.00","wklocm_adj":"77.60","xDt":"31-DEC-2999","cAct":"-","yPC":"-43.39","mPC":"-6.63"},{"symbol":"DISHTV","open":"87.00","high":"89.00","low":"85.40","ltP":"88.25","ptsC":"1.55","per":"1.79","trdVol":"40.37","trdVolM":"4.04","ntP":"35.22","mVal":"0.35","wkhi":"121.65","wklo":"65.20","wkhicm_adj":"65.90","wklocm_adj":"43.15","xDt":"31-DEC-2999","cAct":"-","yPC":"-9.07","mPC":"-2.92"},{"symbol":"ADANIENT","open":"73.90","high":"75.25","low":"72.75","ltP":"74.50","ptsC":"1.15","per":"1.57","trdVol":"13.26","trdVolM":"1.33","ntP":"9.81","mVal":"0.10","wkhi":"791.00","wklo":"58.20","wkhicm_adj":"585.00","wklocm_adj":"210.10","xDt":"22-MAR-2016","cAct":"INTERIM DIVIDEND - RE 0.40\/- PER SHARE (PURPOSE REVISED)","yPC":"-89.86","mPC":"-13.12"},{"symbol":"HEXAWARE","open":"216.90","high":"219.50","low":"215.20","ltP":"218.50","ptsC":"2.80","per":"1.30","trdVol":"9.86","trdVolM":"0.99","ntP":"21.48","mVal":"0.21","wkhi":"298.50","wklo":"201.50","wkhicm_adj":"226.25","wklocm_adj":"111.90","xDt":"13-MAY-2016","cAct":"INTERIM DIVIDEND - RS 2.50\/- PER SHARE","yPC":"-22.83","mPC":"-10.49"},{"symbol":"GODREJIND","open":"348.00","high":"356.95","low":"346.15","ltP":"351.55","ptsC":"3.70","per":"1.06","trdVol":"3.21","trdVolM":"0.32","ntP":"11.31","mVal":"0.11","wkhi":"412.00","wklo":"290.00","wkhicm_adj":"372.80","wklocm_adj":"248.50","xDt":"15-MAR-2016","cAct":"INTERIM DIVIDEND - RE 1.75 PER SHARE (PURPOSE REVISED)","yPC":"-6.87","mPC":"-1.15"},{"symbol":"M&amp;MFIN","open":"324.80","high":"330.45","low":"321.95","ltP":"328.00","ptsC":"3.15","per":"0.97","trdVol":"7.56","trdVolM":"0.76","ntP":"24.70","mVal":"0.25","wkhi":"330.45","wklo":"173.10","wkhicm_adj":"356.50","wklocm_adj":"229.25","xDt":"31-DEC-2999","cAct":"-","yPC":"23.08","mPC":"6.94"},{"symbol":"GMRINFRA","open":"11.60","high":"11.65","low":"11.35","ltP":"11.55","ptsC":"0.10","per":"0.87","trdVol":"53.97","trdVolM":"5.40","ntP":"6.22","mVal":"0.06","wkhi":"18.55","wklo":"9.75","wkhicm_adj":"38.25","wklocm_adj":"17.15","xDt":"31-DEC-2999","cAct":"-","yPC":"-20.07","mPC":"-7.23"},{"symbol":"RELINFRA","open":"550.00","high":"552.90","low":"541.00","ltP":"546.00","ptsC":"4.30","per":"0.79","trdVol":"27.91","trdVolM":"2.79","ntP":"152.74","mVal":"1.53","wkhi":"621.90","wklo":"281.55","wkhicm_adj":"819.90","wklocm_adj":"350.30","xDt":"31-DEC-2999","cAct":"-","yPC":"31.03","mPC":"-0.75"},{"symbol":"MINDTREE","open":"667.60","high":"681.80","low":"667.60","ltP":"672.70","ptsC":"5.10","per":"0.76","trdVol":"3.03","trdVolM":"0.30","ntP":"20.45","mVal":"0.20","wkhi":"804.50","wklo":"594.03","wkhicm_adj":"1,268.30","wklocm_adj":"648.75","xDt":"11-APR-2016","cAct":"INTERIM DIVIDEND - RS 2\/- PER SHARE (PURPOSE REVISED)","yPC":"-7.14","mPC":"-3.86"},{"symbol":"JINDALSTEL","open":"62.60","high":"63.25","low":"61.40","ltP":"62.05","ptsC":"0.45","per":"0.73","trdVol":"49.15","trdVolM":"4.91","ntP":"30.57","mVal":"0.31","wkhi":"128.70","wklo":"48.10","wkhicm_adj":"351.00","wklocm_adj":"127.70","xDt":"31-DEC-2999","cAct":"-","yPC":"-47.48","mPC":"-19.21"},{"symbol":"ADANIPOWER","open":"30.25","high":"30.50","low":"29.75","ltP":"30.25","ptsC":"0.20","per":"0.67","trdVol":"38.16","trdVolM":"3.82","ntP":"11.50","mVal":"0.12","wkhi":"40.15","wklo":"19.60","wkhicm_adj":"68.35","wklocm_adj":"31.80","xDt":"31-DEC-2999","cAct":"-","yPC":"-21.53","mPC":"-6.35"},{"symbol":"VOLTAS","open":"337.40","high":"342.90","low":"334.40","ltP":"339.05","ptsC":"2.25","per":"0.67","trdVol":"10.31","trdVolM":"1.03","ntP":"34.96","mVal":"0.35","wkhi":"359.90","wklo":"211.00","wkhicm_adj":"286.45","wklocm_adj":"96.85","xDt":"31-DEC-2999","cAct":"-","yPC":"2.59","mPC":"12.31"},{"symbol":"BIOCON","open":"703.90","high":"709.85","low":"686.05","ltP":"704.00","ptsC":"4.55","per":"0.65","trdVol":"7.58","trdVolM":"0.76","ntP":"52.77","mVal":"0.53","wkhi":"717.00","wklo":"395.30","wkhicm_adj":"553.60","wklocm_adj":"378.65","xDt":"17-MAR-2016","cAct":"INTERIM DIVIDEND - RS 5\/- PER SHARE (PURPOSE REVISED)","yPC":"59.17","mPC":"23.10"},{"symbol":"AJANTPHARM","open":"1,524.05","high":"1,555.00","low":"1,524.05","ltP":"1,538.50","ptsC":"8.30","per":"0.54","trdVol":"0.70","trdVolM":"0.07","ntP":"10.84","mVal":"0.11","wkhi":"1,720.00","wklo":"1,101.05","wkhicm_adj":"2,526.95","wklocm_adj":"776.65","xDt":"31-DEC-2999","cAct":"-","yPC":"6.01","mPC":"0.40"},{"symbol":"TATAGLOBAL","open":"118.00","high":"119.65","low":"117.30","ltP":"117.90","ptsC":"0.60","per":"0.51","trdVol":"6.92","trdVolM":"0.69","ntP":"8.20","mVal":"0.08","wkhi":"150.30","wklo":"100.00","wkhicm_adj":"177.15","wklocm_adj":"135.25","xDt":"31-DEC-2999","cAct":"-","yPC":"-18.63","mPC":"-3.68"},{"symbol":"RPOWER","open":"53.05","high":"53.50","low":"52.10","ltP":"52.50","ptsC":"0.25","per":"0.48","trdVol":"33.95","trdVolM":"3.39","ntP":"17.86","mVal":"0.18","wkhi":"61.25","wklo":"33.10","wkhicm_adj":"113.30","wklocm_adj":"60.00","xDt":"31-DEC-2999","cAct":"-","yPC":"-0.94","mPC":"-1.50"},{"symbol":"WOCKPHARMA","open":"934.30","high":"945.00","low":"923.00","ltP":"931.00","ptsC":"4.35","per":"0.47","trdVol":"5.21","trdVolM":"0.52","ntP":"48.63","mVal":"0.49","wkhi":"1,745.00","wklo":"705.75","wkhicm_adj":"887.00","wklocm_adj":"336.55","xDt":"31-DEC-2999","cAct":"-","yPC":"-35.03","mPC":"-9.51"},{"symbol":"ENGINERSIN","open":"180.30","high":"184.90","low":"178.40","ltP":"181.20","ptsC":"0.75","per":"0.42","trdVol":"5.65","trdVolM":"0.56","ntP":"10.26","mVal":"0.10","wkhi":"252.20","wklo":"143.10","wkhicm_adj":"331.70","wklocm_adj":"142.50","xDt":"08-MAR-2016","cAct":"INTERIM DIVIDEND - RS 2\/- PER SHARE (PURPOSE REVISED)","yPC":"-9.35","mPC":"-1.89"},{"symbol":"APOLLOTYRE","open":"157.90","high":"159.10","low":"154.30","ltP":"157.30","ptsC":"0.45","per":"0.29","trdVol":"7.83","trdVolM":"0.78","ntP":"12.27","mVal":"0.12","wkhi":"223.40","wklo":"127.05","wkhicm_adj":"242.95","wklocm_adj":"77.50","xDt":"31-DEC-2999","cAct":"-","yPC":"-13.62","mPC":"-5.50"},{"symbol":"UNIONBANK","open":"117.90","high":"117.90","low":"114.50","ltP":"115.35","ptsC":"0.20","per":"0.17","trdVol":"25.05","trdVolM":"2.51","ntP":"29.09","mVal":"0.29","wkhi":"222.70","wklo":"104.00","wkhicm_adj":"259.65","wklocm_adj":"100.50","xDt":"31-DEC-2999","cAct":"-","yPC":"-32.74","mPC":"-12.51"},{"symbol":"MRF","open":"33,719.00","high":"33,840.00","low":"33,222.10","ltP":"33,500.00","ptsC":"-42.20","per":"-0.13","trdVol":"0.03","trdVolM":"0.00","ntP":"9.66","mVal":"0.10","wkhi":"46,399.00","wklo":"31,002.00","wkhicm_adj":"33,980.00","wklocm_adj":"17,070.00","xDt":"31-DEC-2999","cAct":"-","yPC":"-5.32","mPC":"-3.70"},{"symbol":"RELCAPITAL","open":"417.75","high":"420.90","low":"412.10","ltP":"413.30","ptsC":"-0.70","per":"-0.17","trdVol":"24.40","trdVolM":"2.44","ntP":"101.52","mVal":"1.02","wkhi":"471.00","wklo":"246.35","wkhicm_adj":"669.90","wklocm_adj":"304.50","xDt":"31-DEC-2999","cAct":"-","yPC":"6.80","mPC":"2.33"},{"symbol":"IDBI","open":"68.20","high":"68.70","low":"66.60","ltP":"67.30","ptsC":"-0.15","per":"-0.22","trdVol":"24.33","trdVolM":"2.43","ntP":"16.44","mVal":"0.16","wkhi":"95.70","wklo":"47.25","wkhicm_adj":"116.40","wklocm_adj":"52.90","xDt":"31-DEC-2999","cAct":"-","yPC":"-4.74","mPC":"-5.08"},{"symbol":"ALBK","open":"53.60","high":"54.00","low":"52.20","ltP":"52.55","ptsC":"-0.15","per":"-0.28","trdVol":"18.74","trdVolM":"1.87","ntP":"9.91","mVal":"0.10","wkhi":"108.25","wklo":"39.40","wkhicm_adj":"150.00","wklocm_adj":"72.20","xDt":"31-DEC-2999","cAct":"-","yPC":"-50.17","mPC":"-11.83"},{"symbol":"ARVIND","open":"315.50","high":"318.00","low":"313.35","ltP":"314.40","ptsC":"-0.95","per":"-0.30","trdVol":"7.43","trdVolM":"0.74","ntP":"23.41","mVal":"0.23","wkhi":"365.70","wklo":"216.30","wkhicm_adj":"341.50","wklocm_adj":"119.00","xDt":"31-DEC-2999","cAct":"-","yPC":"31.99","mPC":"7.95"},{"symbol":"CANBK","open":"194.05","high":"195.70","low":"188.70","ltP":"192.00","ptsC":"-0.65","per":"-0.34","trdVol":"38.96","trdVolM":"3.90","ntP":"75.06","mVal":"0.75","wkhi":"360.45","wklo":"156.00","wkhicm_adj":"498.00","wklocm_adj":"209.00","xDt":"31-DEC-2999","cAct":"-","yPC":"-43.78","mPC":"-9.39"},{"symbol":"IRB","open":"219.95","high":"221.70","low":"216.70","ltP":"218.10","ptsC":"-0.80","per":"-0.37","trdVol":"8.28","trdVolM":"0.83","ntP":"18.12","mVal":"0.18","wkhi":"272.00","wklo":"197.10","wkhicm_adj":"289.65","wklocm_adj":"67.20","xDt":"16-MAR-2016","cAct":"INTERIM DIVIDEND - RS 2\/- PER SHARE (PURPOSE REVISED)","yPC":"-11.54","mPC":"1.09"},{"symbol":"JSWENERGY","open":"72.50","high":"74.40","low":"70.65","ltP":"71.40","ptsC":"-0.30","per":"-0.42","trdVol":"20.44","trdVolM":"2.04","ntP":"14.76","mVal":"0.15","wkhi":"114.30","wklo":"59.00","wkhicm_adj":"97.40","wklocm_adj":"39.85","xDt":"31-DEC-2999","cAct":"-","yPC":"-36.14","mPC":"5.23"},{"symbol":"FEDERALBNK","open":"53.00","high":"53.30","low":"52.20","ltP":"52.20","ptsC":"-0.35","per":"-0.67","trdVol":"32.83","trdVolM":"3.28","ntP":"17.30","mVal":"0.17","wkhi":"79.80","wklo":"41.35","wkhicm_adj":"152.95","wklocm_adj":"72.35","xDt":"31-DEC-2999","cAct":"-","yPC":"-26.92","mPC":"8.75"},{"symbol":"HAVELLS","open":"374.50","high":"377.80","low":"370.35","ltP":"372.25","ptsC":"-2.65","per":"-0.71","trdVol":"17.50","trdVolM":"1.75","ntP":"65.20","mVal":"0.65","wkhi":"378.40","wklo":"235.30","wkhicm_adj":"326.50","wklocm_adj":"143.57","xDt":"31-DEC-2999","cAct":"-","yPC":"37.18","mPC":"8.15"},{"symbol":"CENTURYTEX","open":"627.40","high":"628.90","low":"616.85","ltP":"618.65","ptsC":"-4.55","per":"-0.73","trdVol":"4.33","trdVolM":"0.43","ntP":"26.93","mVal":"0.27","wkhi":"748.60","wklo":"403.00","wkhicm_adj":"664.40","wklocm_adj":"248.25","xDt":"31-DEC-2999","cAct":"-","yPC":"-6.76","mPC":"-1.70"},{"symbol":"STAR","open":"1,128.50","high":"1,130.00","low":"1,100.10","ltP":"1,111.95","ptsC":"-8.90","per":"-0.79","trdVol":"1.50","trdVolM":"0.15","ntP":"16.67","mVal":"0.17","wkhi":"1,414.00","wklo":"847.00","wkhicm_adj":"1,045.00","wklocm_adj":"310.15","xDt":"31-DEC-2999","cAct":"-","yPC":"-8.89","mPC":"0.73"},{"symbol":"BANKINDIA","open":"87.55","high":"88.45","low":"85.50","ltP":"86.00","ptsC":"-0.95","per":"-1.09","trdVol":"28.39","trdVolM":"2.84","ntP":"24.56","mVal":"0.25","wkhi":"205.00","wklo":"78.40","wkhicm_adj":"357.00","wklocm_adj":"165.55","xDt":"31-DEC-2999","cAct":"-","yPC":"-55.17","mPC":"-11.16"},{"symbol":"TVSMOTOR","open":"292.10","high":"293.95","low":"283.75","ltP":"287.70","ptsC":"-3.40","per":"-1.17","trdVol":"14.31","trdVolM":"1.43","ntP":"41.08","mVal":"0.41","wkhi":"340.85","wklo":"201.00","wkhicm_adj":"266.70","wklocm_adj":"52.50","xDt":"17-MAR-2016","cAct":"INTERIM DIVIDEND - RS 1.50 PER SHARE (PURPOSE REVISED)","yPC":"22.01","mPC":"-12.25"},{"symbol":"SUNTV","open":"387.00","high":"387.00","low":"373.50","ltP":"377.80","ptsC":"-4.50","per":"-1.18","trdVol":"7.91","trdVolM":"0.79","ntP":"30.01","mVal":"0.30","wkhi":"436.80","wklo":"255.80","wkhicm_adj":"477.00","wklocm_adj":"300.00","xDt":"21-MAR-2016","cAct":"INTERIM DIVIDEND - RS 7.50\/- PER SHARE (PURPOSE REVISED)","yPC":"-2.39","mPC":"5.99"},{"symbol":"CESC","open":"563.70","high":"563.70","low":"552.35","ltP":"555.35","ptsC":"-7.00","per":"-1.24","trdVol":"1.90","trdVolM":"0.19","ntP":"10.55","mVal":"0.11","wkhi":"624.30","wklo":"404.55","wkhicm_adj":"827.45","wklocm_adj":"374.40","xDt":"17-MAR-2016","cAct":"INTERIM DIVIDEND - RS 10\/- PER SHARE (PURPOSE REVISED)","yPC":"1.42","mPC":"0.37"},{"symbol":"AMARAJABAT","open":"865.35","high":"866.90","low":"846.00","ltP":"850.00","ptsC":"-11.20","per":"-1.30","trdVol":"1.88","trdVolM":"0.19","ntP":"16.02","mVal":"0.16","wkhi":"1,128.00","wklo":"774.15","wkhicm_adj":"794.00","wklocm_adj":"315.05","xDt":"22-MAR-2016","cAct":"INTERIM DIVIDEND - RS 4.25\/- PER SHARE (PURPOSE REVISED)","yPC":"-1.62","mPC":"-9.68"},{"symbol":"IGL","open":"574.00","high":"575.60","low":"565.00","ltP":"565.05","ptsC":"-9.25","per":"-1.61","trdVol":"2.55","trdVolM":"0.25","ntP":"14.44","mVal":"0.14","wkhi":"608.00","wklo":"375.35","wkhicm_adj":"458.80","wklocm_adj":"238.05","xDt":"31-DEC-2999","cAct":"-","yPC":"41.21","mPC":"-1.22"},{"symbol":"TATACHEM","open":"434.95","high":"441.00","low":"422.65","ltP":"425.25","ptsC":"-7.20","per":"-1.66","trdVol":"5.46","trdVolM":"0.55","ntP":"23.32","mVal":"0.23","wkhi":"526.00","wklo":"309.60","wkhicm_adj":"442.75","wklocm_adj":"244.20","xDt":"31-DEC-2999","cAct":"-","yPC":"-2.23","mPC":"1.69"},{"symbol":"JUSTDIAL","open":"656.00","high":"661.95","low":"640.00","ltP":"643.00","ptsC":"-11.25","per":"-1.72","trdVol":"9.79","trdVolM":"0.98","ntP":"63.43","mVal":"0.63","wkhi":"1,290.00","wklo":"375.70","wkhicm_adj":"1,894.40","wklocm_adj":"982.60","xDt":"31-DEC-2999","cAct":"-","yPC":"-42.83","mPC":"-24.32"},{"symbol":"PCJEWELLER","open":"368.00","high":"370.00","low":"359.95","ltP":"361.05","ptsC":"-7.05","per":"-1.92","trdVol":"1.13","trdVolM":"0.11","ntP":"4.12","mVal":"0.04","wkhi":"493.40","wklo":"295.80","wkhicm_adj":"278.00","wklocm_adj":"72.00","xDt":"31-DEC-2999","cAct":"-","yPC":"-2.56","mPC":"-1.12"},{"symbol":"JUBLFOOD","open":"1,094.00","high":"1,094.00","low":"1,011.10","ltP":"1,025.25","ptsC":"-86.70","per":"-7.80","trdVol":"20.55","trdVolM":"2.05","ntP":"214.21","mVal":"2.14","wkhi":"1,959.50","wklo":"887.35","wkhicm_adj":"1,497.40","wklocm_adj":"937.70","xDt":"31-DEC-2999","cAct":"-","yPC":"-41.65","mPC":"-23.05"}],"trdValueSumMil":"16.97","unchanged":0,"trdVolumesum":"903.01","advances":28} </t>
  </si>
  <si>
    <t xml:space="preserve">{"trdVolumesumMil":"116.94","time":"May 30, 2016 16:00:00","latestData":[{"indexName":"NIFTY NEXT 50","open":"19,791.95","high":"19,843.55","low":"19,688.05","ltp":"19,801.80","ch":"85.65","per":"0.43","yCls":"10.66","mCls":"1.70","yHigh":"21,730.80","yLow":"16,607.80"}],"declines":21,"trdValueSum":"2,266.66","data":[{"symbol":"CAIRN","open":"139.20","high":"144.80","low":"139.20","ltP":"144.30","ptsC":"6.25","per":"4.53","trdVol":"18.78","trdVolM":"1.88","ntP":"26.68","mVal":"0.27","wkhi":"197.90","wklo":"106.50","wkhicm_adj":"386.00","wklocm_adj":"255.00","xDt":"31-DEC-2999","cAct":"-","yPC":"-24.43","mPC":"-1.94"},{"symbol":"CONCOR","open":"1,385.05","high":"1,448.00","low":"1,385.05","ltP":"1,438.00","ptsC":"57.75","per":"4.18","trdVol":"3.22","trdVolM":"0.32","ntP":"46.16","mVal":"0.46","wkhi":"1,947.70","wklo":"1,051.00","wkhicm_adj":"1,504.70","wklocm_adj":"697.55","xDt":"31-DEC-2999","cAct":"-","yPC":"-14.82","mPC":"6.78"},{"symbol":"APOLLOHOSP","open":"1,348.75","high":"1,406.40","low":"1,348.20","ltP":"1,403.00","ptsC":"54.80","per":"4.06","trdVol":"3.39","trdVolM":"0.34","ntP":"46.78","mVal":"0.47","wkhi":"1,544.90","wklo":"1,150.00","wkhicm_adj":"1,246.50","wklocm_adj":"815.35","xDt":"22-MAR-2016","cAct":"INTERIM DIVIDEND - RS 6\/- PER SHARE (PURPOSE REVISED)","yPC":"14.79","mPC":"6.55"},{"symbol":"VEDL","open":"104.50","high":"107.45","low":"104.15","ltP":"106.40","ptsC":"3.60","per":"3.50","trdVol":"132.91","trdVolM":"13.29","ntP":"140.83","mVal":"1.41","wkhi":"204.00","wklo":"58.15","wkhicm_adj":"318.30","wklocm_adj":"168.85","xDt":"31-DEC-2999","cAct":"-","yPC":"-45.92","mPC":"1.48"},{"symbol":"RECLTD","open":"159.50","high":"163.50","low":"159.50","ltP":"160.40","ptsC":"5.00","per":"3.22","trdVol":"58.19","trdVolM":"5.82","ntP":"93.95","mVal":"0.94","wkhi":"304.90","wklo":"152.25","wkhicm_adj":"383.40","wklocm_adj":"166.50","xDt":"31-DEC-2999","cAct":"-","yPC":"-46.83","mPC":"-12.01"},{"symbol":"DIVISLAB","open":"1,120.65","high":"1,120.80","low":"1,081.00","ltP":"1,116.00","ptsC":"31.35","per":"2.89","trdVol":"6.94","trdVolM":"0.69","ntP":"76.16","mVal":"0.76","wkhi":"1,242.35","wklo":"863.90","wkhicm_adj":"1,888.05","wklocm_adj":"1,097.00","xDt":"17-MAR-2016","cAct":"INTERIM DIVIDEND - RS 10\/- PER SHARE (PURPOSE REVISED)","yPC":"-38.27","mPC":"7.08"},{"symbol":"CADILAHC","open":"329.25","high":"335.00","low":"326.10","ltP":"334.50","ptsC":"7.30","per":"2.23","trdVol":"4.46","trdVolM":"0.45","ntP":"14.85","mVal":"0.15","wkhi":"453.30","wklo":"295.00","wkhicm_adj":"1,760.15","wklocm_adj":"723.20","xDt":"17-MAR-2016","cAct":"INTERIM DIVIDEND - RS 3.20\/- PER SHARE","yPC":"-10.39","mPC":"2.34"},{"symbol":"COLPAL","open":"838.00","high":"857.90","low":"835.80","ltP":"854.65","ptsC":"15.35","per":"1.83","trdVol":"1.97","trdVolM":"0.20","ntP":"16.68","mVal":"0.17","wkhi":"1,050.00","wklo":"787.20","wkhicm_adj":"2,049.00","wklocm_adj":"1,235.20","xDt":"06-APR-2016","cAct":"INTERIM DIVIDEND - RS 3\/- PER SHARE (PURPOSE REVISED)","yPC":"-14.29","mPC":"-0.11"},{"symbol":"HINDZINC","open":"169.95","high":"172.90","low":"167.15","ltP":"171.55","ptsC":"3.05","per":"1.81","trdVol":"9.76","trdVolM":"0.98","ntP":"16.60","mVal":"0.17","wkhi":"196.80","wklo":"117.05","wkhicm_adj":"184.00","wklocm_adj":"114.80","xDt":"31-DEC-2999","cAct":"-","yPC":"0.15","mPC":"-0.78"},{"symbol":"SHREECEM","open":"13,142.00","high":"13,450.00","low":"13,140.00","ltP":"13,351.00","ptsC":"210.95","per":"1.61","trdVol":"0.09","trdVolM":"0.01","ntP":"11.89","mVal":"0.12","wkhi":"13,888.00","wklo":"9,399.95","wkhicm_adj":"9,297.70","wklocm_adj":"4,100.10","xDt":"17-MAR-2016","cAct":"INTERIM DIVIDEND - RS 12\/- PER SHARE (PUPOSE REVISED)","yPC":"22.45","mPC":"4.91"},{"symbol":"SIEMENS","open":"1,202.80","high":"1,231.00","low":"1,198.10","ltP":"1,218.95","ptsC":"16.20","per":"1.35","trdVol":"3.05","trdVolM":"0.30","ntP":"37.16","mVal":"0.37","wkhi":"1,559.70","wklo":"968.60","wkhicm_adj":"1,010.00","wklocm_adj":"513.00","xDt":"31-DEC-2999","cAct":"-","yPC":"-12.13","mPC":"3.10"},{"symbol":"MOTHERSUMI","open":"278.10","high":"286.75","low":"276.00","ltP":"283.00","ptsC":"3.75","per":"1.34","trdVol":"25.61","trdVolM":"2.56","ntP":"72.47","mVal":"0.72","wkhi":"396.00","wklo":"205.90","wkhicm_adj":"450.70","wklocm_adj":"178.25","xDt":"22-MAR-2016","cAct":"INTERIM DIVIDEND - RS 2.50\/- PER SHARE (PURPOSE REVISED)","yPC":"-40.26","mPC":"7.60"},{"symbol":"LICHSGFIN","open":"463.90","high":"470.40","low":"460.55","ltP":"468.00","ptsC":"6.05","per":"1.31","trdVol":"15.45","trdVolM":"1.54","ntP":"72.05","mVal":"0.72","wkhi":"523.95","wklo":"388.65","wkhicm_adj":"429.50","wklocm_adj":"187.05","xDt":"31-DEC-2999","cAct":"-","yPC":"13.81","mPC":"1.18"},{"symbol":"PFC","open":"166.55","high":"170.90","low":"165.80","ltP":"168.30","ptsC":"2.00","per":"1.20","trdVol":"17.85","trdVolM":"1.79","ntP":"30.00","mVal":"0.30","wkhi":"283.40","wklo":"140.25","wkhicm_adj":"344.75","wklocm_adj":"128.75","xDt":"31-DEC-2999","cAct":"-","yPC":"-39.98","mPC":"-6.13"},{"symbol":"BRITANNIA","open":"2,720.00","high":"2,758.00","low":"2,720.00","ltP":"2,747.00","ptsC":"27.70","per":"1.02","trdVol":"1.11","trdVolM":"0.11","ntP":"30.43","mVal":"0.30","wkhi":"3,434.20","wklo":"2,424.00","wkhicm_adj":"1,729.80","wklocm_adj":"809.10","xDt":"31-DEC-2999","cAct":"-","yPC":"3.38","mPC":"-4.00"},{"symbol":"GLAXO","open":"3,482.00","high":"3,594.00","low":"3,482.00","ltP":"3,559.00","ptsC":"30.65","per":"0.87","trdVol":"0.05","trdVolM":"0.01","ntP":"1.87","mVal":"0.02","wkhi":"3,872.00","wklo":"3,032.05","wkhicm_adj":"3,054.50","wklocm_adj":"2,365.00","xDt":"31-DEC-2999","cAct":"-","yPC":"11.19","mPC":"-5.57"},{"symbol":"BEL","open":"1,195.00","high":"1,199.00","low":"1,170.00","ltP":"1,193.00","ptsC":"9.95","per":"0.84","trdVol":"3.17","trdVolM":"0.32","ntP":"37.50","mVal":"0.38","wkhi":"1,416.85","wklo":"984.00","wkhicm_adj":"2,375.00","wklocm_adj":"893.00","xDt":"31-DEC-2999","cAct":"-","yPC":"7.27","mPC":"-1.62"},{"symbol":"CUMMINSIND","open":"778.00","high":"793.90","low":"778.00","ltP":"790.00","ptsC":"6.10","per":"0.78","trdVol":"2.67","trdVolM":"0.27","ntP":"21.04","mVal":"0.21","wkhi":"1,247.65","wklo":"746.15","wkhicm_adj":"955.60","wklocm_adj":"417.70","xDt":"31-DEC-2999","cAct":"-","yPC":"-7.09","mPC":"-11.09"},{"symbol":"PNB","open":"78.00","high":"78.90","low":"76.40","ltP":"77.20","ptsC":"0.60","per":"0.78","trdVol":"87.99","trdVolM":"8.80","ntP":"68.30","mVal":"0.68","wkhi":"180.55","wklo":"69.25","wkhicm_adj":"1,096.50","wklocm_adj":"509.15","xDt":"31-DEC-2999","cAct":"-","yPC":"-50.59","mPC":"-14.32"},{"symbol":"TITAN","open":"361.10","high":"365.60","low":"354.25","ltP":"363.20","ptsC":"2.75","per":"0.76","trdVol":"21.02","trdVolM":"2.10","ntP":"75.40","mVal":"0.75","wkhi":"392.40","wklo":"301.70","wkhicm_adj":"425.00","wklocm_adj":"202.45","xDt":"22-MAR-2016","cAct":"INTERIM DIVIDEND - RS 2.20\/- PER SHARE (PURPOSE REVISED)","yPC":"-4.48","mPC":"-2.23"},{"symbol":"BHARATFORG","open":"751.50","high":"752.95","low":"735.50","ltP":"750.00","ptsC":"5.30","per":"0.71","trdVol":"4.84","trdVolM":"0.48","ntP":"36.03","mVal":"0.36","wkhi":"1,293.00","wklo":"704.90","wkhicm_adj":"979.00","wklocm_adj":"291.10","xDt":"18-MAR-2016","cAct":"INTERIM DIVIDEND - RS 4\/- PER SHARE (PURPOSE REVISED)","yPC":"-37.99","mPC":"-6.60"},{"symbol":"GSKCONS","open":"5,919.00","high":"6,036.00","low":"5,880.00","ltP":"5,948.00","ptsC":"35.20","per":"0.60","trdVol":"0.09","trdVolM":"0.01","ntP":"5.41","mVal":"0.05","wkhi":"6,800.00","wklo":"5,405.00","wkhicm_adj":"5,999.00","wklocm_adj":"4,011.00","xDt":"31-DEC-2999","cAct":"-","yPC":"-6.72","mPC":"-1.14"},{"symbol":"SRTRANSFIN","open":"1,190.15","high":"1,219.80","low":"1,175.65","ltP":"1,201.00","ptsC":"6.95","per":"0.58","trdVol":"5.17","trdVolM":"0.52","ntP":"61.93","mVal":"0.62","wkhi":"1,219.80","wklo":"736.95","wkhicm_adj":"1,139.00","wklocm_adj":"548.70","xDt":"31-DEC-2999","cAct":"-","yPC":"44.19","mPC":"20.78"},{"symbol":"SAIL","open":"43.00","high":"43.65","low":"42.35","ltP":"42.90","ptsC":"0.20","per":"0.47","trdVol":"64.96","trdVolM":"6.50","ntP":"27.94","mVal":"0.28","wkhi":"67.30","wklo":"33.50","wkhicm_adj":"112.95","wklocm_adj":"54.05","xDt":"31-DEC-2999","cAct":"-","yPC":"-34.80","mPC":"-6.64"},{"symbol":"DABUR","open":"295.55","high":"299.90","low":"292.00","ltP":"297.05","ptsC":"1.25","per":"0.42","trdVol":"7.94","trdVolM":"0.79","ntP":"23.61","mVal":"0.24","wkhi":"316.40","wklo":"231.50","wkhicm_adj":"249.15","wklocm_adj":"159.50","xDt":"31-DEC-2999","cAct":"-","yPC":"9.33","mPC":"9.01"},{"symbol":"EMAMILTD","open":"1,016.20","high":"1,032.00","low":"1,007.50","ltP":"1,017.80","ptsC":"2.90","per":"0.29","trdVol":"1.00","trdVolM":"0.10","ntP":"10.23","mVal":"0.10","wkhi":"1,365.00","wklo":"901.00","wkhicm_adj":"824.70","wklocm_adj":"420.00","xDt":"31-DEC-2999","cAct":"-","yPC":"-7.80","mPC":"1.03"},{"symbol":"BAJAJFINSV","open":"1,838.00","high":"1,864.85","low":"1,828.25","ltP":"1,840.00","ptsC":"4.30","per":"0.23","trdVol":"0.52","trdVolM":"0.05","ntP":"9.53","mVal":"0.10","wkhi":"2,160.00","wklo":"1,435.15","wkhicm_adj":"1,173.95","wklocm_adj":"658.35","xDt":"16-MAR-2016","cAct":"INTERIM DIVIDEND - RS 1.75\/- PER SHARE (PURPOSE REVISED)","yPC":"20.27","mPC":"-2.11"},{"symbol":"GLENMARK","open":"876.50","high":"887.35","low":"873.45","ltP":"877.00","ptsC":"1.50","per":"0.17","trdVol":"2.86","trdVolM":"0.29","ntP":"25.15","mVal":"0.25","wkhi":"1,262.90","wklo":"671.10","wkhicm_adj":"841.00","wklocm_adj":"493.00","xDt":"31-DEC-2999","cAct":"-","yPC":"2.28","mPC":"6.09"},{"symbol":"PIDILITIND","open":"698.50","high":"708.65","low":"691.35","ltP":"695.00","ptsC":"0.35","per":"0.05","trdVol":"3.55","trdVolM":"0.35","ntP":"24.81","mVal":"0.25","wkhi":"709.00","wklo":"507.30","wkhicm_adj":"505.90","wklocm_adj":"269.60","xDt":"18-MAR-2016","cAct":"INTERIM DIVIDEND - RS 3.65\/- PER SHARE (PURPOSE REVISED)","yPC":"26.03","mPC":"14.61"},{"symbol":"OIL","open":"351.90","high":"354.95","low":"343.10","ltP":"348.65","ptsC":"-0.05","per":"-0.01","trdVol":"2.95","trdVolM":"0.29","ntP":"10.28","mVal":"0.10","wkhi":"487.55","wklo":"300.35","wkhicm_adj":"669.95","wklocm_adj":"438.00","xDt":"31-DEC-2999","cAct":"-","yPC":"-26.76","mPC":"6.33"},{"symbol":"OFSS","open":"3,524.00","high":"3,524.00","low":"3,462.70","ltP":"3,485.00","ptsC":"-1.75","per":"-0.05","trdVol":"0.22","trdVolM":"0.02","ntP":"7.69","mVal":"0.08","wkhi":"4,444.00","wklo":"3,100.00","wkhicm_adj":"4,180.00","wklocm_adj":"2,770.00","xDt":"31-DEC-2999","cAct":"-","yPC":"-3.99","mPC":"-1.89"},{"symbol":"MCDOWELL-N","open":"2,505.00","high":"2,507.00","low":"2,464.10","ltP":"2,476.15","ptsC":"-5.00","per":"-0.20","trdVol":"1.56","trdVolM":"0.16","ntP":"38.73","mVal":"0.39","wkhi":"3,837.90","wklo":"2,225.45","wkhicm_adj":"2,940.80","wklocm_adj":"2,225.00","xDt":"31-DEC-2999","cAct":"-","yPC":"-27.74","mPC":"4.77"},{"symbol":"CASTROLIND","open":"376.05","high":"379.45","low":"372.80","ltP":"375.65","ptsC":"-1.10","per":"-0.29","trdVol":"7.58","trdVolM":"0.76","ntP":"28.45","mVal":"0.28","wkhi":"513.80","wklo":"360.85","wkhicm_adj":"523.50","wklocm_adj":"283.10","xDt":"27-APR-2016","cAct":"ANNUAL GENERAL MEETING\/ DIVIDEND - RS 5\/- PER SHARE","yPC":"-20.32","mPC":"-3.58"},{"symbol":"RCOM","open":"49.30","high":"50.65","low":"48.65","ltP":"48.80","ptsC":"-0.15","per":"-0.31","trdVol":"208.82","trdVolM":"20.88","ntP":"103.47","mVal":"1.03","wkhi":"91.75","wklo":"45.50","wkhicm_adj":"157.25","wklocm_adj":"93.05","xDt":"31-DEC-2999","cAct":"-","yPC":"-24.40","mPC":"-17.85"},{"symbol":"UPL","open":"597.90","high":"602.60","low":"586.40","ltP":"593.50","ptsC":"-1.90","per":"-0.32","trdVol":"11.65","trdVolM":"1.17","ntP":"69.07","mVal":"0.69","wkhi":"612.95","wklo":"367.25","wkhicm_adj":"388.70","wklocm_adj":"161.10","xDt":"31-DEC-2999","cAct":"-","yPC":"14.38","mPC":"15.25"},{"symbol":"GODREJCP","open":"1,527.10","high":"1,536.85","low":"1,512.00","ltP":"1,521.20","ptsC":"-5.25","per":"-0.34","trdVol":"1.98","trdVolM":"0.20","ntP":"30.21","mVal":"0.30","wkhi":"1,536.85","wklo":"1,037.00","wkhicm_adj":"1,119.00","wklocm_adj":"667.00","xDt":"10-MAY-2016","cAct":"INTERIM DIVIDEND - RS 2.75\/- PER SHARE (PURPOSE REVISED)","yPC":"38.76","mPC":"11.15"},{"symbol":"BAJFINANCE","open":"7,700.00","high":"7,720.00","low":"7,559.40","ltP":"7,630.00","ptsC":"-37.90","per":"-0.49","trdVol":"0.76","trdVolM":"0.08","ntP":"58.16","mVal":"0.58","wkhi":"7,858.05","wklo":"4,115.70","wkhicm_adj":"3,385.00","wklocm_adj":"1,375.00","xDt":"16-MAR-2016","cAct":"INTERIM DIVIDEND - RS 18\/- PER SHARE (PURPOSE REVISED)","yPC":"72.46","mPC":"9.85"},{"symbol":"ASHOKLEY","open":"107.30","high":"107.45","low":"105.10","ltP":"106.10","ptsC":"-0.70","per":"-0.66","trdVol":"87.31","trdVolM":"8.73","ntP":"92.59","mVal":"0.93","wkhi":"112.90","wklo":"64.00","wkhicm_adj":"56.20","wklocm_adj":"14.85","xDt":"31-DEC-2999","cAct":"-","yPC":"50.50","mPC":"-1.71"},{"symbol":"JSWSTEEL","open":"1,378.00","high":"1,393.00","low":"1,357.80","ltP":"1,365.00","ptsC":"-10.65","per":"-0.77","trdVol":"5.17","trdVolM":"0.52","ntP":"71.07","mVal":"0.71","wkhi":"1,393.00","wklo":"800.00","wkhicm_adj":"1,366.50","wklocm_adj":"804.00","xDt":"31-DEC-2999","cAct":"-","yPC":"49.00","mPC":"0.18"},{"symbol":"IBULHSGFIN","open":"750.00","high":"754.25","low":"730.25","ltP":"737.45","ptsC":"-6.30","per":"-0.85","trdVol":"6.78","trdVolM":"0.68","ntP":"50.45","mVal":"0.50","wkhi":"820.85","wklo":"541.50","wkhicm_adj":"484.95","wklocm_adj":"187.05","xDt":"18-MAR-2016","cAct":"INTERIM DIVIDEND - RS 9\/- PER SHARE","yPC":"24.35","mPC":"4.92"},{"symbol":"NHPC","open":"22.80","high":"23.95","low":"22.05","ltP":"22.90","ptsC":"-0.20","per":"-0.87","trdVol":"129.74","trdVolM":"12.97","ntP":"29.68","mVal":"0.30","wkhi":"24.45","wklo":"15.55","wkhicm_adj":"29.60","wklocm_adj":"17.35","xDt":"31-DEC-2999","cAct":"-","yPC":"13.37","mPC":"6.26"},{"symbol":"UBL","open":"726.80","high":"727.90","low":"709.00","ltP":"715.00","ptsC":"-7.30","per":"-1.01","trdVol":"3.48","trdVolM":"0.35","ntP":"24.94","mVal":"0.25","wkhi":"1,074.95","wklo":"690.00","wkhicm_adj":"859.00","wklocm_adj":"615.65","xDt":"31-DEC-2999","cAct":"-","yPC":"-24.91","mPC":"-5.66"},{"symbol":"TORNTPHARM","open":"1,379.00","high":"1,384.80","low":"1,353.25","ltP":"1,363.00","ptsC":"-15.50","per":"-1.12","trdVol":"0.50","trdVolM":"0.05","ntP":"6.90","mVal":"0.07","wkhi":"1,718.40","wklo":"1,169.05","wkhicm_adj":"1,135.00","wklocm_adj":"458.00","xDt":"16-MAR-2016","cAct":"INTERIM DIVIDEND - RS 15\/- PER SHARE (PURPOSE REVISED)","yPC":"10.02","mPC":"-5.53"},{"symbol":"PGHH","open":"6,289.00","high":"6,294.70","low":"6,177.10","ltP":"6,185.00","ptsC":"-104.55","per":"-1.66","trdVol":"0.03","trdVolM":"0.00","ntP":"2.07","mVal":"0.02","wkhi":"6,995.00","wklo":"5,178.65","wkhicm_adj":"5,949.00","wklocm_adj":"2,752.00","xDt":"31-DEC-2999","cAct":"-","yPC":"-3.71","mPC":"-3.72"},{"symbol":"MARICO","open":"257.00","high":"260.45","low":"252.60","ltP":"252.75","ptsC":"-4.55","per":"-1.77","trdVol":"5.42","trdVolM":"0.54","ntP":"13.87","mVal":"0.14","wkhi":"269.25","wklo":"189.30","wkhicm_adj":"350.20","wklocm_adj":"200.05","xDt":"17-MAR-2016","cAct":"INTERIM DIVIDEND - RE 1\/- PER SHARE (PURPOSE REVISED)","yPC":"-38.32","mPC":"1.10"},{"symbol":"HINDPETRO","open":"938.00","high":"945.10","low":"910.05","ltP":"914.55","ptsC":"-17.10","per":"-1.84","trdVol":"21.94","trdVolM":"2.19","ntP":"201.49","mVal":"2.01","wkhi":"990.95","wklo":"625.70","wkhicm_adj":"627.80","wklocm_adj":"205.05","xDt":"17-MAR-2016","cAct":"INTERIM DIVIDEND - RS 7\/- PER SHARE (PURPOSE REVISED)","yPC":"43.83","mPC":"6.58"},{"symbol":"DLF","open":"129.00","high":"133.90","low":"126.05","ltP":"126.15","ptsC":"-2.80","per":"-2.17","trdVol":"115.31","trdVolM":"11.53","ntP":"148.79","mVal":"1.49","wkhi":"142.90","wklo":"72.35","wkhicm_adj":"242.95","wklocm_adj":"100.10","xDt":"28-MAR-2016","cAct":"INTERIM DIVIDEND - RS 2\/- PER SHARE (PURPOSE REVISED)","yPC":"5.65","mPC":"2.31"},{"symbol":"IOC","open":"412.00","high":"412.80","low":"402.05","ltP":"402.60","ptsC":"-10.35","per":"-2.51","trdVol":"19.80","trdVolM":"1.98","ntP":"80.31","mVal":"0.80","wkhi":"465.90","wklo":"336.20","wkhicm_adj":"411.20","wklocm_adj":"193.75","xDt":"31-DEC-2999","cAct":"-","yPC":"11.63","mPC":"-7.90"},{"symbol":"ABB","open":"1,259.30","high":"1,259.30","low":"1,208.00","ltP":"1,213.00","ptsC":"-40.95","per":"-3.27","trdVol":"0.89","trdVolM":"0.09","ntP":"10.87","mVal":"0.11","wkhi":"1,445.00","wklo":"955.20","wkhicm_adj":"1,263.50","wklocm_adj":"566.95","xDt":"13-APR-2016","cAct":"ANNUAL GENERAL MEETING\/DIVIDEND - RS 3.70 PER SHARE","yPC":"-9.64","mPC":"-4.75"},{"symbol":"NMDC","open":"93.05","high":"93.25","low":"87.95","ltP":"89.30","ptsC":"-3.40","per":"-3.67","trdVol":"28.91","trdVolM":"2.89","ntP":"26.13","mVal":"0.26","wkhi":"133.50","wklo":"75.15","wkhicm_adj":"196.00","wklocm_adj":"123.10","xDt":"30-MAR-2016","cAct":"INTERIM DIVIDEND - RS 1.50\/- PER SHARE (PURPOSE REVISED)","yPC":"-32.01","mPC":"-9.57"}],"trdValueSumMil":"22.67","unchanged":0,"trdVolumesum":"1,169.41","advances":29} </t>
  </si>
  <si>
    <t xml:space="preserve">{"trdVolumesumMil":"255.08","time":"May 30, 2016 16:00:00","latestData":[{"indexName":"NIFTY 50","open":"8,166.50","high":"8,200.00","low":"8,150.80","ltp":"8,178.50","ch":"21.85","per":"0.27","yCls":"-1.90","mCls":"2.49","yHigh":"8,654.75","yLow":"6,825.80"}],"declines":25,"trdValueSum":"9,199.28","data":[{"symbol":"HINDALCO","open":"100.00","high":"103.50","low":"98.15","ltP":"102.80","ptsC":"10.90","per":"11.86","trdVol":"434.97","trdVolM":"43.50","ntP":"441.80","mVal":"4.42","wkhi":"134.00","wklo":"58.80","wkhicm_adj":"198.90","wklocm_adj":"96.70","xDt":"31-DEC-2999","cAct":"-","yPC":"-21.88","mPC":"1.03"},{"symbol":"TATAMOTORS","open":"404.80","high":"423.60","low":"401.30","ltP":"423.00","ptsC":"19.10","per":"4.73","trdVol":"157.67","trdVolM":"15.77","ntP":"654.62","mVal":"6.55","wkhi":"490.25","wklo":"265.80","wkhicm_adj":"550.70","wklocm_adj":"332.10","xDt":"31-DEC-2999","cAct":"-","yPC":"-12.67","mPC":"1.06"},{"symbol":"TATAPOWER","open":"72.90","high":"76.00","low":"72.30","ltP":"75.45","ptsC":"2.85","per":"3.93","trdVol":"40.12","trdVolM":"4.01","ntP":"29.85","mVal":"0.30","wkhi":"76.85","wklo":"55.00","wkhicm_adj":"115.60","wklocm_adj":"68.65","xDt":"31-DEC-2999","cAct":"-","yPC":"1.82","mPC":"6.64"},{"symbol":"COALINDIA","open":"289.25","high":"295.95","low":"288.50","ltP":"292.30","ptsC":"11.00","per":"3.91","trdVol":"178.63","trdVolM":"17.86","ntP":"522.97","mVal":"5.23","wkhi":"447.10","wklo":"271.65","wkhicm_adj":"423.70","wklocm_adj":"240.30","xDt":"14-MAR-2016","cAct":"INTERIM DIVIDEND - RS 27.40\/- PER SHARE (PURPOSE REVISED)","yPC":"-23.75","mPC":"0.48"},{"symbol":"TATAMTRDVR","open":"272.95","high":"282.35","low":"272.95","ltP":"281.60","ptsC":"9.90","per":"3.64","trdVol":"62.94","trdVolM":"6.29","ntP":"175.61","mVal":"1.76","wkhi":"311.90","wklo":"200.20","wkhicm_adj":"391.35","wklocm_adj":"168.25","xDt":"31-DEC-2999","cAct":"-","yPC":"-5.80","mPC":"-7.46"},{"symbol":"NTPC","open":"140.35","high":"145.80","low":"137.65","ltP":"144.50","ptsC":"4.40","per":"3.14","trdVol":"95.44","trdVolM":"9.54","ntP":"135.11","mVal":"1.35","wkhi":"148.85","wklo":"107.10","wkhicm_adj":"168.90","wklocm_adj":"110.65","xDt":"31-DEC-2999","cAct":"-","yPC":"7.32","mPC":"2.70"},{"symbol":"HEROMOTOCO","open":"3,011.00","high":"3,107.50","low":"3,003.00","ltP":"3,088.00","ptsC":"85.50","per":"2.85","trdVol":"5.05","trdVolM":"0.51","ntP":"155.19","mVal":"1.55","wkhi":"3,172.00","wklo":"2,257.20","wkhicm_adj":"3,269.95","wklocm_adj":"1,907.10","xDt":"21-MAR-2016","cAct":"INTERIM DIVIDEND - RS 40\/- PER SHARE","yPC":"16.82","mPC":"4.68"},{"symbol":"TCS","open":"2,583.00","high":"2,641.95","low":"2,582.00","ltP":"2,636.05","ptsC":"63.40","per":"2.46","trdVol":"6.75","trdVolM":"0.67","ntP":"176.61","mVal":"1.77","wkhi":"2,770.00","wklo":"2,115.00","wkhicm_adj":"2,839.70","wklocm_adj":"1,970.00","xDt":"31-DEC-2999","cAct":"-","yPC":"1.02","mPC":"4.98"},{"symbol":"DRREDDY","open":"3,112.00","high":"3,176.35","low":"3,112.00","ltP":"3,172.00","ptsC":"55.95","per":"1.80","trdVol":"2.75","trdVolM":"0.28","ntP":"87.10","mVal":"0.87","wkhi":"4,386.60","wklo":"2,750.05","wkhicm_adj":"3,666.25","wklocm_adj":"2,246.50","xDt":"31-DEC-2999","cAct":"-","yPC":"-10.09","mPC":"1.32"},{"symbol":"INFY","open":"1,241.50","high":"1,272.00","low":"1,241.50","ltP":"1,267.00","ptsC":"19.50","per":"1.56","trdVol":"26.43","trdVolM":"2.64","ntP":"334.92","mVal":"3.35","wkhi":"1,272.00","wklo":"932.65","wkhicm_adj":"4,402.20","wklocm_adj":"2,880.00","xDt":"31-DEC-2999","cAct":"-","yPC":"25.66","mPC":"2.17"},{"symbol":"BAJAJ-AUTO","open":"2,583.00","high":"2,614.95","low":"2,570.60","ltP":"2,601.60","ptsC":"37.90","per":"1.48","trdVol":"2.81","trdVolM":"0.28","ntP":"73.00","mVal":"0.73","wkhi":"2,656.00","wklo":"2,133.65","wkhicm_adj":"2,695.00","wklocm_adj":"1,793.20","xDt":"16-MAR-2016","cAct":"INTERIM DIVIDEND - RS 50\/- PER SHARE (PURPOSE REVISED)","yPC":"12.97","mPC":"2.09"},{"symbol":"BHARTIARTL","open":"353.10","high":"357.20","low":"352.25","ltP":"356.30","ptsC":"5.05","per":"1.44","trdVol":"25.65","trdVolM":"2.56","ntP":"91.05","mVal":"0.91","wkhi":"452.45","wklo":"282.30","wkhicm_adj":"420.00","wklocm_adj":"281.90","xDt":"31-DEC-2999","cAct":"-","yPC":"-11.59","mPC":"-4.49"},{"symbol":"TECHM","open":"535.80","high":"564.00","low":"535.00","ltP":"543.00","ptsC":"7.10","per":"1.32","trdVol":"29.02","trdVolM":"2.90","ntP":"160.07","mVal":"1.60","wkhi":"582.00","wklo":"407.40","wkhicm_adj":"2,734.00","wklocm_adj":"1,662.00","xDt":"31-DEC-2999","cAct":"-","yPC":"-0.39","mPC":"13.30"},{"symbol":"BOSCHLTD","open":"21,811.00","high":"22,399.90","low":"21,811.00","ltP":"22,200.00","ptsC":"253.00","per":"1.15","trdVol":"0.16","trdVolM":"0.02","ntP":"34.86","mVal":"0.35","wkhi":"26,719.95","wklo":"15,736.05","wkhicm_adj":"19,570.00","wklocm_adj":"8,450.00","xDt":"31-DEC-2999","cAct":"-","yPC":"-3.87","mPC":"9.75"},{"symbol":"WIPRO","open":"547.20","high":"552.50","low":"544.45","ltP":"551.50","ptsC":"6.10","per":"1.12","trdVol":"10.70","trdVolM":"1.07","ntP":"58.73","mVal":"0.59","wkhi":"613.30","wklo":"507.90","wkhicm_adj":"621.90","wklocm_adj":"466.65","xDt":"05-MAY-2016","cAct":"BUYBACK OF SHARES","yPC":"-0.55","mPC":"-1.52"},{"symbol":"SBIN","open":"200.20","high":"203.90","low":"194.60","ltP":"197.80","ptsC":"1.90","per":"0.97","trdVol":"460.76","trdVolM":"46.08","ntP":"914.42","mVal":"9.14","wkhi":"291.80","wklo":"148.25","wkhicm_adj":"326.95","wklocm_adj":"145.51","xDt":"31-DEC-2999","cAct":"-","yPC":"-28.75","mPC":"0.84"},{"symbol":"LT","open":"1,469.90","high":"1,496.45","low":"1,466.15","ltP":"1,486.35","ptsC":"11.45","per":"0.78","trdVol":"23.25","trdVolM":"2.33","ntP":"344.69","mVal":"3.45","wkhi":"1,888.00","wklo":"1,016.05","wkhicm_adj":"1,776.60","wklocm_adj":"951.50","xDt":"31-DEC-2999","cAct":"-","yPC":"-8.63","mPC":"16.44"},{"symbol":"POWERGRID","open":"151.10","high":"152.95","low":"149.35","ltP":"152.00","ptsC":"1.15","per":"0.76","trdVol":"34.03","trdVolM":"3.40","ntP":"51.35","mVal":"0.51","wkhi":"152.95","wklo":"120.55","wkhicm_adj":"150.90","wklocm_adj":"91.65","xDt":"31-DEC-2999","cAct":"-","yPC":"6.15","mPC":"5.30"},{"symbol":"ACC","open":"1,530.00","high":"1,546.00","low":"1,525.05","ltP":"1,530.50","ptsC":"7.55","per":"0.50","trdVol":"6.09","trdVolM":"0.61","ntP":"93.76","mVal":"0.94","wkhi":"1,546.00","wklo":"1,174.00","wkhicm_adj":"1,564.65","wklocm_adj":"970.15","xDt":"31-DEC-2999","cAct":"-","yPC":"4.07","mPC":"7.06"},{"symbol":"ICICIBANK","open":"243.25","high":"246.60","low":"238.80","ltP":"244.25","ptsC":"1.10","per":"0.45","trdVol":"144.18","trdVolM":"14.42","ntP":"351.39","mVal":"3.51","wkhi":"321.00","wklo":"180.75","wkhicm_adj":"1,779.00","wklocm_adj":"943.60","xDt":"31-DEC-2999","cAct":"-","yPC":"-22.34","mPC":"-0.14"},{"symbol":"IDEA","open":"112.80","high":"117.35","low":"112.00","ltP":"113.30","ptsC":"0.30","per":"0.27","trdVol":"48.95","trdVolM":"4.89","ntP":"56.07","mVal":"0.56","wkhi":"186.50","wklo":"97.20","wkhicm_adj":"183.70","wklocm_adj":"125.10","xDt":"31-DEC-2999","cAct":"-","yPC":"-33.04","mPC":"-9.36"},{"symbol":"AXISBANK","open":"513.95","high":"522.05","low":"512.50","ltP":"512.75","ptsC":"0.35","per":"0.07","trdVol":"48.92","trdVolM":"4.89","ntP":"253.12","mVal":"2.53","wkhi":"613.45","wklo":"366.75","wkhicm_adj":"493.20","wklocm_adj":"216.52","xDt":"31-DEC-2999","cAct":"-","yPC":"-10.77","mPC":"10.15"},{"symbol":"YESBANK","open":"1,024.40","high":"1,034.85","low":"1,021.30","ltP":"1,026.15","ptsC":"10.65","per":"1.05","trdVol":"29.24","trdVolM":"2.92","ntP":"300.68","mVal":"3.01","wkhi":"1,041.80","wklo":"595.00","wkhicm_adj":"719.90","wklocm_adj":"291.40","xDt":"30-MAY-2016","cAct":"ANNUAL GENERAL MEETING\/ DIVIDEND - RS 10\/- PER SHARE","yPC":"19.45","mPC":"12.09"},{"symbol":"CIPLA","open":"476.95","high":"478.50","low":"470.00","ltP":"473.60","ptsC":"0.15","per":"0.03","trdVol":"11.84","trdVolM":"1.18","ntP":"56.17","mVal":"0.56","wkhi":"745.00","wklo":"457.45","wkhicm_adj":"673.00","wklocm_adj":"366.50","xDt":"31-DEC-2999","cAct":"-","yPC":"-26.46","mPC":"-12.33"},{"symbol":"ONGC","open":"214.00","high":"215.70","low":"213.00","ltP":"213.00","ptsC":"0.00","per":"0.00","trdVol":"30.59","trdVolM":"3.06","ntP":"65.51","mVal":"0.66","wkhi":"337.20","wklo":"187.75","wkhicm_adj":"471.85","wklocm_adj":"264.15","xDt":"16-MAR-2016","cAct":"INTERIM DIVIDEND - RE 0.75\/- PER SHARE (PURPOSE REVISED)","yPC":"-35.04","mPC":"-3.97"},{"symbol":"GAIL","open":"382.45","high":"384.80","low":"377.10","ltP":"378.65","ptsC":"-0.65","per":"-0.17","trdVol":"21.22","trdVolM":"2.12","ntP":"80.66","mVal":"0.81","wkhi":"417.90","wklo":"260.05","wkhicm_adj":"551.90","wklocm_adj":"328.80","xDt":"31-DEC-2999","cAct":"-","yPC":"-0.34","mPC":"1.46"},{"symbol":"KOTAKBANK","open":"748.70","high":"754.50","low":"740.05","ltP":"741.00","ptsC":"-1.55","per":"-0.21","trdVol":"7.29","trdVolM":"0.73","ntP":"54.36","mVal":"0.54","wkhi":"754.50","wklo":"585.75","wkhicm_adj":"1,264.70","wklocm_adj":"630.50","xDt":"31-DEC-2999","cAct":"-","yPC":"8.32","mPC":"4.00"},{"symbol":"INFRATEL","open":"387.80","high":"392.00","low":"384.50","ltP":"385.75","ptsC":"-1.10","per":"-0.28","trdVol":"9.74","trdVolM":"0.97","ntP":"37.83","mVal":"0.38","wkhi":"499.65","wklo":"341.35","wkhicm_adj":"322.00","wklocm_adj":"156.00","xDt":"31-DEC-2999","cAct":"-","yPC":"-12.48","mPC":"2.68"},{"symbol":"M&amp;M","open":"1,334.00","high":"1,351.70","low":"1,312.80","ltP":"1,329.60","ptsC":"-4.10","per":"-0.31","trdVol":"24.12","trdVolM":"2.41","ntP":"321.70","mVal":"3.22","wkhi":"1,442.05","wklo":"1,091.25","wkhicm_adj":"1,433.70","wklocm_adj":"846.60","xDt":"31-DEC-2999","cAct":"-","yPC":"10.97","mPC":"-3.98"},{"symbol":"BANKBARODA","open":"141.00","high":"141.40","low":"136.50","ltP":"138.00","ptsC":"-0.60","per":"-0.43","trdVol":"70.10","trdVolM":"7.01","ntP":"97.28","mVal":"0.97","wkhi":"216.30","wklo":"109.35","wkhicm_adj":"1,104.70","wklocm_adj":"511.15","xDt":"31-DEC-2999","cAct":"-","yPC":"-13.80","mPC":"-14.31"},{"symbol":"GRASIM","open":"4,372.25","high":"4,404.35","low":"4,341.00","ltP":"4,341.00","ptsC":"-20.25","per":"-0.46","trdVol":"0.38","trdVolM":"0.04","ntP":"16.42","mVal":"0.16","wkhi":"4,404.35","wklo":"3,233.00","wkhicm_adj":"3,789.00","wklocm_adj":"2,426.35","xDt":"31-DEC-2999","cAct":"-","yPC":"23.61","mPC":"5.07"},{"symbol":"INDUSINDBK","open":"1,106.20","high":"1,113.55","low":"1,096.90","ltP":"1,098.15","ptsC":"-5.95","per":"-0.54","trdVol":"9.28","trdVolM":"0.93","ntP":"102.30","mVal":"1.02","wkhi":"1,113.55","wklo":"784.00","wkhicm_adj":"776.00","wklocm_adj":"369.50","xDt":"31-DEC-2999","cAct":"-","yPC":"28.39","mPC":"5.59"},{"symbol":"EICHERMOT","open":"18,711.00","high":"18,811.00","low":"18,600.00","ltP":"18,620.00","ptsC":"-122.30","per":"-0.65","trdVol":"0.21","trdVolM":"0.02","ntP":"38.37","mVal":"0.38","wkhi":"21,620.00","wklo":"14,800.00","wkhicm_adj":"15,149.90","wklocm_adj":"4,401.10","xDt":"22-MAR-2016","cAct":"INTERIM DIVIDEND - RS 100\/- PER SHARE","yPC":"3.52","mPC":"-7.43"},{"symbol":"HDFCBANK","open":"1,187.00","high":"1,195.00","low":"1,178.10","ltP":"1,179.00","ptsC":"-7.80","per":"-0.66","trdVol":"9.54","trdVolM":"0.95","ntP":"112.89","mVal":"1.13","wkhi":"1,195.00","wklo":"928.00","wkhicm_adj":"965.90","wklocm_adj":"616.80","xDt":"31-DEC-2999","cAct":"-","yPC":"14.53","mPC":"4.87"},{"symbol":"AMBUJACEM","open":"232.00","high":"232.60","low":"228.10","ltP":"228.45","ptsC":"-1.80","per":"-0.78","trdVol":"13.38","trdVolM":"1.34","ntP":"30.75","mVal":"0.31","wkhi":"257.30","wklo":"185.00","wkhicm_adj":"243.80","wklocm_adj":"150.10","xDt":"31-DEC-2999","cAct":"-","yPC":"-0.65","mPC":"1.40"},{"symbol":"RELIANCE","open":"976.40","high":"981.50","low":"965.00","ltP":"965.80","ptsC":"-8.90","per":"-0.91","trdVol":"22.02","trdVolM":"2.20","ntP":"214.08","mVal":"2.14","wkhi":"1,089.75","wklo":"818.00","wkhicm_adj":"1,145.25","wklocm_adj":"793.10","xDt":"17-MAR-2016","cAct":"INTERIM DIVIDEND - RS 10.50\/- PER SHARE (PURPOSE REVISED)","yPC":"10.28","mPC":"-5.26"},{"symbol":"ITC","open":"353.40","high":"358.50","low":"352.80","ltP":"356.00","ptsC":"5.20","per":"1.48","trdVol":"49.08","trdVolM":"4.91","ntP":"174.93","mVal":"1.75","wkhi":"364.00","wklo":"268.00","wkhicm_adj":"387.50","wklocm_adj":"307.55","xDt":"30-MAY-2016","cAct":"DIVIDEND-RS.8.50 PER SHARE (INCLUDING SPECIAL DIVIDEND OF RS.2\/- PER SHARE).","yPC":"10.75","mPC":"6.73"},{"symbol":"HINDUNILVR","open":"864.00","high":"867.20","low":"849.75","ltP":"853.00","ptsC":"-8.20","per":"-0.95","trdVol":"7.76","trdVolM":"0.78","ntP":"66.40","mVal":"0.66","wkhi":"944.00","wklo":"766.40","wkhicm_adj":"814.85","wklocm_adj":"537.20","xDt":"31-DEC-2999","cAct":"-","yPC":"0.80","mPC":"-4.39"},{"symbol":"LUPIN","open":"1,489.95","high":"1,493.70","low":"1,454.10","ltP":"1,465.10","ptsC":"-15.00","per":"-1.01","trdVol":"13.65","trdVolM":"1.37","ntP":"200.40","mVal":"2.00","wkhi":"2,129.00","wklo":"1,280.00","wkhicm_adj":"1,497.50","wklocm_adj":"851.50","xDt":"31-DEC-2999","cAct":"-","yPC":"-16.03","mPC":"-6.68"},{"symbol":"ASIANPAINT","open":"994.00","high":"1,004.25","low":"978.45","ltP":"988.00","ptsC":"-10.25","per":"-1.03","trdVol":"14.87","trdVolM":"1.49","ntP":"147.00","mVal":"1.47","wkhi":"1,004.25","wklo":"693.00","wkhicm_adj":"802.20","wklocm_adj":"460.20","xDt":"31-DEC-2999","cAct":"-","yPC":"28.75","mPC":"11.03"},{"symbol":"SUNPHARMA","open":"831.00","high":"842.00","low":"808.25","ltP":"815.70","ptsC":"-9.25","per":"-1.12","trdVol":"48.88","trdVolM":"4.89","ntP":"399.64","mVal":"4.00","wkhi":"979.00","wklo":"704.00","wkhicm_adj":"932.50","wklocm_adj":"552.55","xDt":"31-DEC-2999","cAct":"-","yPC":"-14.57","mPC":"0.22"},{"symbol":"ULTRACEMCO","open":"3,257.10","high":"3,257.10","low":"3,192.05","ltP":"3,209.65","ptsC":"-38.65","per":"-1.19","trdVol":"1.77","trdVolM":"0.18","ntP":"56.86","mVal":"0.57","wkhi":"3,454.90","wklo":"2,579.00","wkhicm_adj":"2,872.00","wklocm_adj":"1,634.00","xDt":"31-DEC-2999","cAct":"-","yPC":"10.02","mPC":"0.56"},{"symbol":"BPCL","open":"1,020.00","high":"1,023.95","low":"993.60","ltP":"999.70","ptsC":"-12.30","per":"-1.22","trdVol":"13.10","trdVolM":"1.31","ntP":"131.30","mVal":"1.31","wkhi":"1,024.70","wklo":"731.15","wkhicm_adj":"785.00","wklocm_adj":"316.05","xDt":"31-DEC-2999","cAct":"-","yPC":"22.26","mPC":"1.77"},{"symbol":"HCLTECH","open":"761.10","high":"763.70","low":"745.20","ltP":"748.00","ptsC":"-9.60","per":"-1.27","trdVol":"15.93","trdVolM":"1.59","ntP":"119.61","mVal":"1.20","wkhi":"1,044.95","wklo":"706.40","wkhicm_adj":"1,776.25","wklocm_adj":"1,057.60","xDt":"05-MAY-2016","cAct":"INTERIM DIVIDEND - RS 6\/- PER SHARE (PURPOSE REVISED)","yPC":"-23.68","mPC":"-10.69"},{"symbol":"ADANIPORTS","open":"192.70","high":"194.00","low":"185.45","ltP":"189.25","ptsC":"-2.45","per":"-1.28","trdVol":"36.73","trdVolM":"3.67","ntP":"69.56","mVal":"0.70","wkhi":"374.80","wklo":"169.15","wkhicm_adj":"308.75","wklocm_adj":"141.00","xDt":"22-MAR-2016","cAct":"INTERIM DIVIDEND - RS 1.10\/- PER SHARE (PURPOSE REVISED)","yPC":"-43.17","mPC":"-21.55"},{"symbol":"AUROPHARMA","open":"769.95","high":"775.00","low":"750.00","ltP":"750.70","ptsC":"-12.40","per":"-1.62","trdVol":"13.72","trdVolM":"1.37","ntP":"104.71","mVal":"1.05","wkhi":"891.50","wklo":"582.00","wkhicm_adj":"1,152.40","wklocm_adj":"286.55","xDt":"31-DEC-2999","cAct":"-","yPC":"15.12","mPC":"-1.86"},{"symbol":"HDFC","open":"1,255.20","high":"1,259.00","low":"1,212.35","ltP":"1,235.00","ptsC":"-20.55","per":"-1.64","trdVol":"28.89","trdVolM":"2.89","ntP":"355.98","mVal":"3.56","wkhi":"1,372.40","wklo":"1,011.45","wkhicm_adj":"1,177.80","wklocm_adj":"755.00","xDt":"30-MAR-2016","cAct":"INTERIM DIVIDEND - RS 3\/- PER SHARE (PURPOSE REVISED)","yPC":"0.47","mPC":"10.12"},{"symbol":"MARUTI","open":"4,132.00","high":"4,155.20","low":"4,054.00","ltP":"4,069.15","ptsC":"-77.45","per":"-1.87","trdVol":"5.55","trdVolM":"0.56","ntP":"227.54","mVal":"2.28","wkhi":"4,790.00","wklo":"3,193.25","wkhicm_adj":"3,432.00","wklocm_adj":"1,540.40","xDt":"31-DEC-2999","cAct":"-","yPC":"9.71","mPC":"5.43"},{"symbol":"ZEEL","open":"456.50","high":"456.50","low":"441.60","ltP":"443.30","ptsC":"-10.10","per":"-2.23","trdVol":"13.66","trdVolM":"1.37","ntP":"60.67","mVal":"0.61","wkhi":"458.95","wklo":"317.45","wkhicm_adj":"402.40","wklocm_adj":"251.80","xDt":"31-DEC-2999","cAct":"-","yPC":"39.34","mPC":"8.69"},{"symbol":"TATASTEEL","open":"332.05","high":"334.60","low":"321.45","ltP":"321.90","ptsC":"-7.70","per":"-2.34","trdVol":"66.18","trdVolM":"6.62","ntP":"215.83","mVal":"2.16","wkhi":"364.05","wklo":"199.70","wkhicm_adj":"579.90","wklocm_adj":"332.00","xDt":"31-DEC-2999","cAct":"-","yPC":"-0.86","mPC":"-9.77"},{"symbol":"BHEL","open":"122.90","high":"125.80","low":"120.20","ltP":"120.55","ptsC":"-7.55","per":"-5.89","trdVol":"116.85","trdVolM":"11.68","ntP":"143.56","mVal":"1.44","wkhi":"290.00","wklo":"90.15","wkhicm_adj":"291.50","wklocm_adj":"145.55","xDt":"31-DEC-2999","cAct":"-","yPC":"-52.30","mPC":"-5.64"}],"trdValueSumMil":"91.99","unchanged":1,"trdVolumesum":"2,550.84","advances":25} </t>
  </si>
  <si>
    <t>LTP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</si>
</sst>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9" tint="-0.249977111117893"/>
      <name val="Calibri"/>
      <family val="2"/>
      <scheme val="minor"/>
    </font>
    <font>
      <sz val="9"/>
      <color rgb="FF212121"/>
      <name val="Consolas"/>
      <family val="3"/>
    </font>
    <font>
      <sz val="9"/>
      <color rgb="FF881391"/>
      <name val="Consolas"/>
      <family val="3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FFFFFF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5">
    <xf numFmtId="0" fontId="0" fillId="0" borderId="0" xfId="0"/>
    <xf numFmtId="0" fontId="0" fillId="0" borderId="0" xfId="0" applyFont="1"/>
    <xf numFmtId="0" fontId="3" fillId="0" borderId="0" xfId="0" applyFont="1" applyAlignment="1">
      <alignment horizontal="right"/>
    </xf>
    <xf numFmtId="0" fontId="0" fillId="0" borderId="0" xfId="0" applyNumberFormat="1"/>
    <xf numFmtId="0" fontId="2" fillId="2" borderId="1" xfId="0" applyFont="1" applyFill="1" applyBorder="1"/>
    <xf numFmtId="0" fontId="0" fillId="0" borderId="1" xfId="0" applyBorder="1"/>
    <xf numFmtId="0" fontId="0" fillId="3" borderId="1" xfId="0" applyFill="1" applyBorder="1" applyAlignment="1">
      <alignment horizontal="center" vertical="top" wrapText="1"/>
    </xf>
    <xf numFmtId="0" fontId="0" fillId="3" borderId="1" xfId="0" applyFill="1" applyBorder="1" applyAlignment="1">
      <alignment vertical="top" wrapText="1"/>
    </xf>
    <xf numFmtId="164" fontId="0" fillId="0" borderId="1" xfId="0" applyNumberFormat="1" applyBorder="1"/>
    <xf numFmtId="10" fontId="0" fillId="0" borderId="1" xfId="1" applyNumberFormat="1" applyFont="1" applyBorder="1"/>
    <xf numFmtId="0" fontId="4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 indent="1"/>
    </xf>
    <xf numFmtId="0" fontId="0" fillId="0" borderId="1" xfId="0" applyFont="1" applyBorder="1"/>
    <xf numFmtId="0" fontId="2" fillId="0" borderId="0" xfId="0" applyFont="1"/>
    <xf numFmtId="19" fontId="0" fillId="0" borderId="1" xfId="0" applyNumberFormat="1" applyBorder="1"/>
    <xf numFmtId="0" fontId="0" fillId="0" borderId="0" xfId="0" applyBorder="1"/>
    <xf numFmtId="10" fontId="0" fillId="0" borderId="0" xfId="0" applyNumberFormat="1"/>
    <xf numFmtId="19" fontId="0" fillId="0" borderId="0" xfId="0" applyNumberFormat="1"/>
    <xf numFmtId="0" fontId="2" fillId="0" borderId="1" xfId="0" applyFont="1" applyBorder="1" applyProtection="1"/>
    <xf numFmtId="0" fontId="0" fillId="0" borderId="1" xfId="0" applyBorder="1" applyProtection="1"/>
    <xf numFmtId="0" fontId="0" fillId="3" borderId="1" xfId="0" applyFill="1" applyBorder="1" applyAlignment="1" applyProtection="1">
      <alignment horizontal="center" vertical="top" wrapText="1"/>
    </xf>
    <xf numFmtId="0" fontId="0" fillId="3" borderId="1" xfId="0" applyFill="1" applyBorder="1" applyAlignment="1" applyProtection="1">
      <alignment vertical="top" wrapText="1"/>
    </xf>
    <xf numFmtId="164" fontId="0" fillId="0" borderId="1" xfId="0" applyNumberFormat="1" applyBorder="1" applyProtection="1"/>
    <xf numFmtId="10" fontId="0" fillId="0" borderId="1" xfId="1" applyNumberFormat="1" applyFont="1" applyBorder="1" applyProtection="1"/>
    <xf numFmtId="19" fontId="0" fillId="0" borderId="1" xfId="0" applyNumberFormat="1" applyBorder="1" applyProtection="1"/>
  </cellXfs>
  <cellStyles count="2">
    <cellStyle name="Normal" xfId="0" builtinId="0"/>
    <cellStyle name="Percent" xfId="1" builtinId="5"/>
  </cellStyles>
  <dxfs count="6"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name="juniorNiftyStockWatch_1" refreshOnLoad="1" connectionId="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niftyStockWatch_1" refreshOnLoad="1" connectionId="2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niftyMidcap50StockWatch_1" refreshOnLoad="1" connectionId="3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.xml"/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Relationship Id="rId4" Type="http://schemas.openxmlformats.org/officeDocument/2006/relationships/queryTable" Target="../queryTables/queryTable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501"/>
  <sheetViews>
    <sheetView tabSelected="1" workbookViewId="0">
      <pane ySplit="9" topLeftCell="A124" activePane="bottomLeft" state="frozen"/>
      <selection pane="bottomLeft" activeCell="I5" sqref="I5"/>
    </sheetView>
  </sheetViews>
  <sheetFormatPr defaultRowHeight="15" x14ac:dyDescent="0.25"/>
  <cols>
    <col min="1" max="1" width="25" customWidth="1"/>
    <col min="2" max="2" width="255.7109375" hidden="1" customWidth="1"/>
    <col min="3" max="3" width="14.85546875" style="1" bestFit="1" customWidth="1"/>
    <col min="4" max="4" width="11.5703125" customWidth="1"/>
    <col min="5" max="5" width="9.140625" bestFit="1" customWidth="1"/>
    <col min="6" max="6" width="11" customWidth="1"/>
    <col min="7" max="7" width="9.140625" customWidth="1"/>
    <col min="8" max="8" width="8.28515625" bestFit="1" customWidth="1"/>
    <col min="9" max="10" width="9.140625" customWidth="1"/>
    <col min="11" max="11" width="17" bestFit="1" customWidth="1"/>
    <col min="12" max="12" width="10.42578125" bestFit="1" customWidth="1"/>
    <col min="14" max="16" width="81.140625" bestFit="1" customWidth="1"/>
  </cols>
  <sheetData>
    <row r="1" spans="1:13" ht="22.5" customHeight="1" x14ac:dyDescent="0.25">
      <c r="D1" s="2"/>
      <c r="E1" s="3"/>
    </row>
    <row r="2" spans="1:13" x14ac:dyDescent="0.25">
      <c r="A2" t="str">
        <f>MID(M2, 14, 4)</f>
        <v/>
      </c>
    </row>
    <row r="6" spans="1:13" x14ac:dyDescent="0.25">
      <c r="A6" t="str">
        <f>MID(M6, 14, 4)</f>
        <v/>
      </c>
    </row>
    <row r="8" spans="1:13" x14ac:dyDescent="0.25">
      <c r="C8" s="13" t="s">
        <v>163</v>
      </c>
    </row>
    <row r="9" spans="1:13" x14ac:dyDescent="0.25">
      <c r="A9" t="str">
        <f>MID(M9, 14, 4)</f>
        <v/>
      </c>
      <c r="B9" t="s">
        <v>0</v>
      </c>
      <c r="C9" s="4" t="s">
        <v>1</v>
      </c>
      <c r="D9" s="4" t="s">
        <v>2</v>
      </c>
      <c r="E9" s="4" t="s">
        <v>3</v>
      </c>
      <c r="F9" s="4" t="s">
        <v>4</v>
      </c>
      <c r="G9" s="4" t="s">
        <v>5</v>
      </c>
      <c r="H9" s="4" t="s">
        <v>6</v>
      </c>
      <c r="I9" s="4" t="s">
        <v>7</v>
      </c>
      <c r="J9" s="4" t="s">
        <v>8</v>
      </c>
      <c r="K9" s="4" t="s">
        <v>58</v>
      </c>
      <c r="L9" s="4" t="s">
        <v>165</v>
      </c>
    </row>
    <row r="10" spans="1:13" x14ac:dyDescent="0.25">
      <c r="B10" t="str">
        <f>MID($N$500,FIND(C10,$N$500)-1,FIND("}",$N$500,FIND(C10,$N$500))-FIND(C10,$N$500)+1)</f>
        <v>"ACC","open":"1,530.00","high":"1,546.00","low":"1,525.05","ltP":"1,530.50","ptsC":"7.55","per":"0.50","trdVol":"6.09","trdVolM":"0.61","ntP":"93.76","mVal":"0.94","wkhi":"1,546.00","wklo":"1,174.00","wkhicm_adj":"1,564.65","wklocm_adj":"970.15","xDt":"31-DEC-2999","cAct":"-","yPC":"4.07","mPC":"7.06"</v>
      </c>
      <c r="C10" s="18" t="s">
        <v>9</v>
      </c>
      <c r="D10" s="19" t="str">
        <f t="shared" ref="D10:G31" si="0">MID($B10,FIND(D$9,$B10)+LEN(D$9)+3,FIND(CHAR(34),$B10,FIND(D$9,$B10)+LEN(D$9)+3)-(FIND(D$9,$B10)+LEN(D$9)+3))</f>
        <v>1,530.00</v>
      </c>
      <c r="E10" s="19" t="str">
        <f t="shared" si="0"/>
        <v>1,546.00</v>
      </c>
      <c r="F10" s="19" t="str">
        <f t="shared" si="0"/>
        <v>1,525.05</v>
      </c>
      <c r="G10" s="19" t="str">
        <f t="shared" si="0"/>
        <v>1,530.50</v>
      </c>
      <c r="H10" s="20" t="str">
        <f t="shared" ref="H10:H60" si="1">IF(AND(E10=0, F10=0, D10=0),"  ",IF(E10= D10,"SHORT ",IF(F10= D10,"LONG ",IF(E10&lt;&gt; F10&lt;&gt; D10,"   "))))</f>
        <v xml:space="preserve">   </v>
      </c>
      <c r="I10" s="21" t="str">
        <f>IF(AND(E10=0,F10=0,D10=0),"  ",IF(D10=F10,ROUND(((SQRT(F10) +0.0833) ^2),0),IF(E10=D10,ROUND(((SQRT(E10) -0.0833) ^2),0),IF(E10&lt;&gt;F10&lt;&gt;D10,"   "))))</f>
        <v xml:space="preserve">   </v>
      </c>
      <c r="J10" s="22" t="str">
        <f>IF(AND(E10=0, F10=0, D10=0),"  ",IF(E10= D10,D10+0.005*D10,IF(F10= D10,D10-0.005*D10,IF(E10&lt;&gt; F10&lt;&gt; D10,"   "))))</f>
        <v xml:space="preserve">   </v>
      </c>
      <c r="K10" s="23" t="str">
        <f>IF(AND(E10=0, F10=0, D10=0),"  ",IF(E10= D10,(I10-G10)/I10,IF(F10= D10,(G10-I10)/I10,IF(E10&lt;&gt; F10&lt;&gt; D10,"   "))))</f>
        <v xml:space="preserve">   </v>
      </c>
      <c r="L10" s="19"/>
      <c r="M10" s="10"/>
    </row>
    <row r="11" spans="1:13" x14ac:dyDescent="0.25">
      <c r="B11" t="str">
        <f t="shared" ref="B11:B60" si="2">MID($N$500,FIND(C11,$N$500)-1,FIND("}",$N$500,FIND(C11,$N$500))-FIND(C11,$N$500)+1)</f>
        <v>"ADANIPORTS","open":"192.70","high":"194.00","low":"185.45","ltP":"189.25","ptsC":"-2.45","per":"-1.28","trdVol":"36.73","trdVolM":"3.67","ntP":"69.56","mVal":"0.70","wkhi":"374.80","wklo":"169.15","wkhicm_adj":"308.75","wklocm_adj":"141.00","xDt":"22-MAR-2016","cAct":"INTERIM DIVIDEND - RS 1.10\/- PER SHARE (PURPOSE REVISED)","yPC":"-43.17","mPC":"-21.55"</v>
      </c>
      <c r="C11" s="18" t="s">
        <v>60</v>
      </c>
      <c r="D11" s="19" t="str">
        <f t="shared" si="0"/>
        <v>192.70</v>
      </c>
      <c r="E11" s="19" t="str">
        <f t="shared" si="0"/>
        <v>194.00</v>
      </c>
      <c r="F11" s="19" t="str">
        <f t="shared" si="0"/>
        <v>185.45</v>
      </c>
      <c r="G11" s="19" t="str">
        <f t="shared" si="0"/>
        <v>189.25</v>
      </c>
      <c r="H11" s="20" t="str">
        <f t="shared" si="1"/>
        <v xml:space="preserve">   </v>
      </c>
      <c r="I11" s="21" t="str">
        <f>IF(AND(E11=0,F11=0,D11=0),"  ",IF(D11=F11,ROUND(((SQRT(F11) +0.0833) ^2),0),IF(E11=D11,ROUND(((SQRT(E11) -0.0833) ^2),0),IF(E11&lt;&gt;F11&lt;&gt;D11,"   "))))</f>
        <v xml:space="preserve">   </v>
      </c>
      <c r="J11" s="22" t="str">
        <f>IF(AND(E11=0, F11=0, D11=0),"  ",IF(E11= D11,D11+0.005*D11,IF(F11= D11,D11-0.005*D11,IF(E11&lt;&gt; F11&lt;&gt; D11,"   "))))</f>
        <v xml:space="preserve">   </v>
      </c>
      <c r="K11" s="23" t="str">
        <f>IF(AND(E11=0, F11=0, D11=0),"  ",IF(E11= D11,(I11-G11)/I11,IF(F11= D11,(G11-I11)/I11,IF(E11&lt;&gt; F11&lt;&gt; D11,"   "))))</f>
        <v xml:space="preserve">   </v>
      </c>
      <c r="L11" s="24"/>
      <c r="M11" s="10"/>
    </row>
    <row r="12" spans="1:13" x14ac:dyDescent="0.25">
      <c r="B12" t="str">
        <f t="shared" si="2"/>
        <v>"AMBUJACEM","open":"232.00","high":"232.60","low":"228.10","ltP":"228.45","ptsC":"-1.80","per":"-0.78","trdVol":"13.38","trdVolM":"1.34","ntP":"30.75","mVal":"0.31","wkhi":"257.30","wklo":"185.00","wkhicm_adj":"243.80","wklocm_adj":"150.10","xDt":"31-DEC-2999","cAct":"-","yPC":"-0.65","mPC":"1.40"</v>
      </c>
      <c r="C12" s="18" t="s">
        <v>10</v>
      </c>
      <c r="D12" s="19" t="str">
        <f t="shared" si="0"/>
        <v>232.00</v>
      </c>
      <c r="E12" s="19" t="str">
        <f t="shared" si="0"/>
        <v>232.60</v>
      </c>
      <c r="F12" s="19" t="str">
        <f t="shared" si="0"/>
        <v>228.10</v>
      </c>
      <c r="G12" s="19" t="str">
        <f t="shared" si="0"/>
        <v>228.45</v>
      </c>
      <c r="H12" s="20" t="str">
        <f t="shared" si="1"/>
        <v xml:space="preserve">   </v>
      </c>
      <c r="I12" s="21" t="str">
        <f t="shared" ref="I12:I60" si="3">IF(AND(E12=0,F12=0,D12=0),"  ",IF(D12=F12,ROUND(((SQRT(F12) +0.0833) ^2),0),IF(E12=D12,ROUND(((SQRT(E12) -0.0833) ^2),0),IF(E12&lt;&gt;F12&lt;&gt;D12,"   "))))</f>
        <v xml:space="preserve">   </v>
      </c>
      <c r="J12" s="22" t="str">
        <f t="shared" ref="J12:J60" si="4">IF(AND(E12=0, F12=0, D12=0),"  ",IF(E12= D12,D12+0.005*D12,IF(F12= D12,D12-0.005*D12,IF(E12&lt;&gt; F12&lt;&gt; D12,"   "))))</f>
        <v xml:space="preserve">   </v>
      </c>
      <c r="K12" s="23" t="str">
        <f t="shared" ref="K12:K13" si="5">IF(AND(E12=0, F12=0, D12=0),"  ",IF(E12= D12,(I12-G12)/I12,IF(F12= D12,(G12-I12)/I12,IF(E12&lt;&gt; F12&lt;&gt; D12,"   "))))</f>
        <v xml:space="preserve">   </v>
      </c>
      <c r="L12" s="19"/>
      <c r="M12" s="11"/>
    </row>
    <row r="13" spans="1:13" x14ac:dyDescent="0.25">
      <c r="B13" t="str">
        <f t="shared" si="2"/>
        <v>"ASIANPAINT","open":"994.00","high":"1,004.25","low":"978.45","ltP":"988.00","ptsC":"-10.25","per":"-1.03","trdVol":"14.87","trdVolM":"1.49","ntP":"147.00","mVal":"1.47","wkhi":"1,004.25","wklo":"693.00","wkhicm_adj":"802.20","wklocm_adj":"460.20","xDt":"31-DEC-2999","cAct":"-","yPC":"28.75","mPC":"11.03"</v>
      </c>
      <c r="C13" s="18" t="s">
        <v>11</v>
      </c>
      <c r="D13" s="19" t="str">
        <f t="shared" si="0"/>
        <v>994.00</v>
      </c>
      <c r="E13" s="19" t="str">
        <f t="shared" si="0"/>
        <v>1,004.25</v>
      </c>
      <c r="F13" s="19" t="str">
        <f t="shared" si="0"/>
        <v>978.45</v>
      </c>
      <c r="G13" s="19" t="str">
        <f t="shared" si="0"/>
        <v>988.00</v>
      </c>
      <c r="H13" s="20" t="str">
        <f t="shared" si="1"/>
        <v xml:space="preserve">   </v>
      </c>
      <c r="I13" s="21" t="str">
        <f t="shared" si="3"/>
        <v xml:space="preserve">   </v>
      </c>
      <c r="J13" s="22" t="str">
        <f t="shared" si="4"/>
        <v xml:space="preserve">   </v>
      </c>
      <c r="K13" s="23" t="str">
        <f t="shared" si="5"/>
        <v xml:space="preserve">   </v>
      </c>
      <c r="L13" s="19"/>
      <c r="M13" s="11"/>
    </row>
    <row r="14" spans="1:13" x14ac:dyDescent="0.25">
      <c r="B14" t="str">
        <f t="shared" si="2"/>
        <v>"AUROPHARMA","open":"769.95","high":"775.00","low":"750.00","ltP":"750.70","ptsC":"-12.40","per":"-1.62","trdVol":"13.72","trdVolM":"1.37","ntP":"104.71","mVal":"1.05","wkhi":"891.50","wklo":"582.00","wkhicm_adj":"1,152.40","wklocm_adj":"286.55","xDt":"31-DEC-2999","cAct":"-","yPC":"15.12","mPC":"-1.86"</v>
      </c>
      <c r="C14" s="18" t="s">
        <v>61</v>
      </c>
      <c r="D14" s="19" t="str">
        <f t="shared" si="0"/>
        <v>769.95</v>
      </c>
      <c r="E14" s="19" t="str">
        <f t="shared" si="0"/>
        <v>775.00</v>
      </c>
      <c r="F14" s="19" t="str">
        <f t="shared" si="0"/>
        <v>750.00</v>
      </c>
      <c r="G14" s="19" t="str">
        <f t="shared" si="0"/>
        <v>750.70</v>
      </c>
      <c r="H14" s="20" t="str">
        <f t="shared" si="1"/>
        <v xml:space="preserve">   </v>
      </c>
      <c r="I14" s="21" t="str">
        <f t="shared" ref="I14" si="6">IF(AND(E14=0,F14=0,D14=0),"  ",IF(D14=F14,ROUND(((SQRT(F14) +0.0833) ^2),0),IF(E14=D14,ROUND(((SQRT(E14) -0.0833) ^2),0),IF(E14&lt;&gt;F14&lt;&gt;D14,"   "))))</f>
        <v xml:space="preserve">   </v>
      </c>
      <c r="J14" s="22" t="str">
        <f t="shared" ref="J14" si="7">IF(AND(E14=0, F14=0, D14=0),"  ",IF(E14= D14,D14+0.005*D14,IF(F14= D14,D14-0.005*D14,IF(E14&lt;&gt; F14&lt;&gt; D14,"   "))))</f>
        <v xml:space="preserve">   </v>
      </c>
      <c r="K14" s="23" t="str">
        <f t="shared" ref="K14" si="8">IF(AND(E14=0, F14=0, D14=0),"  ",IF(E14= D14,(I14-G14)/I14,IF(F14= D14,(G14-I14)/I14,IF(E14&lt;&gt; F14&lt;&gt; D14,"   "))))</f>
        <v xml:space="preserve">   </v>
      </c>
      <c r="L14" s="19"/>
      <c r="M14" s="11"/>
    </row>
    <row r="15" spans="1:13" x14ac:dyDescent="0.25">
      <c r="B15" t="str">
        <f t="shared" si="2"/>
        <v>"AXISBANK","open":"513.95","high":"522.05","low":"512.50","ltP":"512.75","ptsC":"0.35","per":"0.07","trdVol":"48.92","trdVolM":"4.89","ntP":"253.12","mVal":"2.53","wkhi":"613.45","wklo":"366.75","wkhicm_adj":"493.20","wklocm_adj":"216.52","xDt":"31-DEC-2999","cAct":"-","yPC":"-10.77","mPC":"10.15"</v>
      </c>
      <c r="C15" s="18" t="s">
        <v>12</v>
      </c>
      <c r="D15" s="19" t="str">
        <f t="shared" si="0"/>
        <v>513.95</v>
      </c>
      <c r="E15" s="19" t="str">
        <f t="shared" si="0"/>
        <v>522.05</v>
      </c>
      <c r="F15" s="19" t="str">
        <f t="shared" si="0"/>
        <v>512.50</v>
      </c>
      <c r="G15" s="19" t="str">
        <f t="shared" si="0"/>
        <v>512.75</v>
      </c>
      <c r="H15" s="20" t="str">
        <f t="shared" si="1"/>
        <v xml:space="preserve">   </v>
      </c>
      <c r="I15" s="21" t="str">
        <f t="shared" si="3"/>
        <v xml:space="preserve">   </v>
      </c>
      <c r="J15" s="22" t="str">
        <f t="shared" si="4"/>
        <v xml:space="preserve">   </v>
      </c>
      <c r="K15" s="23" t="str">
        <f t="shared" ref="K15:K21" si="9">IF(AND(E15=0, F15=0, D15=0),"  ",IF(E15= D15,(I15-G15)/I15,IF(F15= D15,(G15-I15)/I15,IF(E15&lt;&gt; F15&lt;&gt; D15,"   "))))</f>
        <v xml:space="preserve">   </v>
      </c>
      <c r="L15" s="19"/>
      <c r="M15" s="11"/>
    </row>
    <row r="16" spans="1:13" x14ac:dyDescent="0.25">
      <c r="B16" t="str">
        <f t="shared" si="2"/>
        <v>"BAJAJ-AUTO","open":"2,583.00","high":"2,614.95","low":"2,570.60","ltP":"2,601.60","ptsC":"37.90","per":"1.48","trdVol":"2.81","trdVolM":"0.28","ntP":"73.00","mVal":"0.73","wkhi":"2,656.00","wklo":"2,133.65","wkhicm_adj":"2,695.00","wklocm_adj":"1,793.20","xDt":"16-MAR-2016","cAct":"INTERIM DIVIDEND - RS 50\/- PER SHARE (PURPOSE REVISED)","yPC":"12.97","mPC":"2.09"</v>
      </c>
      <c r="C16" s="18" t="s">
        <v>13</v>
      </c>
      <c r="D16" s="19" t="str">
        <f t="shared" si="0"/>
        <v>2,583.00</v>
      </c>
      <c r="E16" s="19" t="str">
        <f t="shared" si="0"/>
        <v>2,614.95</v>
      </c>
      <c r="F16" s="19" t="str">
        <f t="shared" si="0"/>
        <v>2,570.60</v>
      </c>
      <c r="G16" s="19" t="str">
        <f t="shared" si="0"/>
        <v>2,601.60</v>
      </c>
      <c r="H16" s="20" t="str">
        <f t="shared" si="1"/>
        <v xml:space="preserve">   </v>
      </c>
      <c r="I16" s="21" t="str">
        <f t="shared" si="3"/>
        <v xml:space="preserve">   </v>
      </c>
      <c r="J16" s="22" t="str">
        <f t="shared" si="4"/>
        <v xml:space="preserve">   </v>
      </c>
      <c r="K16" s="23" t="str">
        <f t="shared" si="9"/>
        <v xml:space="preserve">   </v>
      </c>
      <c r="L16" s="19"/>
      <c r="M16" s="11"/>
    </row>
    <row r="17" spans="2:13" x14ac:dyDescent="0.25">
      <c r="B17" t="str">
        <f t="shared" si="2"/>
        <v>"BANKBARODA","open":"141.00","high":"141.40","low":"136.50","ltP":"138.00","ptsC":"-0.60","per":"-0.43","trdVol":"70.10","trdVolM":"7.01","ntP":"97.28","mVal":"0.97","wkhi":"216.30","wklo":"109.35","wkhicm_adj":"1,104.70","wklocm_adj":"511.15","xDt":"31-DEC-2999","cAct":"-","yPC":"-13.80","mPC":"-14.31"</v>
      </c>
      <c r="C17" s="18" t="s">
        <v>14</v>
      </c>
      <c r="D17" s="19" t="str">
        <f t="shared" si="0"/>
        <v>141.00</v>
      </c>
      <c r="E17" s="19" t="str">
        <f t="shared" si="0"/>
        <v>141.40</v>
      </c>
      <c r="F17" s="19" t="str">
        <f t="shared" si="0"/>
        <v>136.50</v>
      </c>
      <c r="G17" s="19" t="str">
        <f t="shared" si="0"/>
        <v>138.00</v>
      </c>
      <c r="H17" s="20" t="str">
        <f t="shared" si="1"/>
        <v xml:space="preserve">   </v>
      </c>
      <c r="I17" s="21" t="str">
        <f t="shared" si="3"/>
        <v xml:space="preserve">   </v>
      </c>
      <c r="J17" s="22" t="str">
        <f t="shared" si="4"/>
        <v xml:space="preserve">   </v>
      </c>
      <c r="K17" s="23" t="str">
        <f t="shared" si="9"/>
        <v xml:space="preserve">   </v>
      </c>
      <c r="L17" s="19"/>
      <c r="M17" s="11"/>
    </row>
    <row r="18" spans="2:13" x14ac:dyDescent="0.25">
      <c r="B18" t="str">
        <f t="shared" si="2"/>
        <v>"BHARTIARTL","open":"353.10","high":"357.20","low":"352.25","ltP":"356.30","ptsC":"5.05","per":"1.44","trdVol":"25.65","trdVolM":"2.56","ntP":"91.05","mVal":"0.91","wkhi":"452.45","wklo":"282.30","wkhicm_adj":"420.00","wklocm_adj":"281.90","xDt":"31-DEC-2999","cAct":"-","yPC":"-11.59","mPC":"-4.49"</v>
      </c>
      <c r="C18" s="18" t="s">
        <v>15</v>
      </c>
      <c r="D18" s="19" t="str">
        <f t="shared" si="0"/>
        <v>353.10</v>
      </c>
      <c r="E18" s="19" t="str">
        <f t="shared" si="0"/>
        <v>357.20</v>
      </c>
      <c r="F18" s="19" t="str">
        <f t="shared" si="0"/>
        <v>352.25</v>
      </c>
      <c r="G18" s="19" t="str">
        <f t="shared" si="0"/>
        <v>356.30</v>
      </c>
      <c r="H18" s="20" t="str">
        <f t="shared" si="1"/>
        <v xml:space="preserve">   </v>
      </c>
      <c r="I18" s="21" t="str">
        <f t="shared" si="3"/>
        <v xml:space="preserve">   </v>
      </c>
      <c r="J18" s="22" t="str">
        <f t="shared" si="4"/>
        <v xml:space="preserve">   </v>
      </c>
      <c r="K18" s="23" t="str">
        <f t="shared" si="9"/>
        <v xml:space="preserve">   </v>
      </c>
      <c r="L18" s="19"/>
      <c r="M18" s="11"/>
    </row>
    <row r="19" spans="2:13" x14ac:dyDescent="0.25">
      <c r="B19" t="str">
        <f t="shared" si="2"/>
        <v>"BHEL","open":"122.90","high":"125.80","low":"120.20","ltP":"120.55","ptsC":"-7.55","per":"-5.89","trdVol":"116.85","trdVolM":"11.68","ntP":"143.56","mVal":"1.44","wkhi":"290.00","wklo":"90.15","wkhicm_adj":"291.50","wklocm_adj":"145.55","xDt":"31-DEC-2999","cAct":"-","yPC":"-52.30","mPC":"-5.64"</v>
      </c>
      <c r="C19" s="18" t="s">
        <v>16</v>
      </c>
      <c r="D19" s="19" t="str">
        <f t="shared" si="0"/>
        <v>122.90</v>
      </c>
      <c r="E19" s="19" t="str">
        <f t="shared" si="0"/>
        <v>125.80</v>
      </c>
      <c r="F19" s="19" t="str">
        <f t="shared" si="0"/>
        <v>120.20</v>
      </c>
      <c r="G19" s="19" t="str">
        <f t="shared" si="0"/>
        <v>120.55</v>
      </c>
      <c r="H19" s="20" t="str">
        <f t="shared" si="1"/>
        <v xml:space="preserve">   </v>
      </c>
      <c r="I19" s="21" t="str">
        <f t="shared" si="3"/>
        <v xml:space="preserve">   </v>
      </c>
      <c r="J19" s="22" t="str">
        <f t="shared" si="4"/>
        <v xml:space="preserve">   </v>
      </c>
      <c r="K19" s="23" t="str">
        <f t="shared" si="9"/>
        <v xml:space="preserve">   </v>
      </c>
      <c r="L19" s="19"/>
      <c r="M19" s="11"/>
    </row>
    <row r="20" spans="2:13" x14ac:dyDescent="0.25">
      <c r="B20" t="str">
        <f t="shared" si="2"/>
        <v>"BOSCHLTD","open":"21,811.00","high":"22,399.90","low":"21,811.00","ltP":"22,200.00","ptsC":"253.00","per":"1.15","trdVol":"0.16","trdVolM":"0.02","ntP":"34.86","mVal":"0.35","wkhi":"26,719.95","wklo":"15,736.05","wkhicm_adj":"19,570.00","wklocm_adj":"8,450.00","xDt":"31-DEC-2999","cAct":"-","yPC":"-3.87","mPC":"9.75"</v>
      </c>
      <c r="C20" s="18" t="s">
        <v>17</v>
      </c>
      <c r="D20" s="19" t="str">
        <f t="shared" si="0"/>
        <v>21,811.00</v>
      </c>
      <c r="E20" s="19" t="str">
        <f t="shared" si="0"/>
        <v>22,399.90</v>
      </c>
      <c r="F20" s="19" t="str">
        <f t="shared" si="0"/>
        <v>21,811.00</v>
      </c>
      <c r="G20" s="19" t="str">
        <f t="shared" si="0"/>
        <v>22,200.00</v>
      </c>
      <c r="H20" s="20" t="str">
        <f t="shared" si="1"/>
        <v xml:space="preserve">LONG </v>
      </c>
      <c r="I20" s="21">
        <f t="shared" si="3"/>
        <v>21836</v>
      </c>
      <c r="J20" s="22">
        <f t="shared" si="4"/>
        <v>21701.945</v>
      </c>
      <c r="K20" s="23">
        <f t="shared" si="9"/>
        <v>1.6669719728888074E-2</v>
      </c>
      <c r="L20" s="19"/>
      <c r="M20" s="11"/>
    </row>
    <row r="21" spans="2:13" x14ac:dyDescent="0.25">
      <c r="B21" t="str">
        <f t="shared" si="2"/>
        <v>"BPCL","open":"1,020.00","high":"1,023.95","low":"993.60","ltP":"999.70","ptsC":"-12.30","per":"-1.22","trdVol":"13.10","trdVolM":"1.31","ntP":"131.30","mVal":"1.31","wkhi":"1,024.70","wklo":"731.15","wkhicm_adj":"785.00","wklocm_adj":"316.05","xDt":"31-DEC-2999","cAct":"-","yPC":"22.26","mPC":"1.77"</v>
      </c>
      <c r="C21" s="18" t="s">
        <v>18</v>
      </c>
      <c r="D21" s="19" t="str">
        <f t="shared" si="0"/>
        <v>1,020.00</v>
      </c>
      <c r="E21" s="19" t="str">
        <f t="shared" si="0"/>
        <v>1,023.95</v>
      </c>
      <c r="F21" s="19" t="str">
        <f t="shared" si="0"/>
        <v>993.60</v>
      </c>
      <c r="G21" s="19" t="str">
        <f t="shared" si="0"/>
        <v>999.70</v>
      </c>
      <c r="H21" s="20" t="str">
        <f t="shared" si="1"/>
        <v xml:space="preserve">   </v>
      </c>
      <c r="I21" s="21" t="str">
        <f t="shared" si="3"/>
        <v xml:space="preserve">   </v>
      </c>
      <c r="J21" s="22" t="str">
        <f t="shared" si="4"/>
        <v xml:space="preserve">   </v>
      </c>
      <c r="K21" s="23" t="str">
        <f t="shared" si="9"/>
        <v xml:space="preserve">   </v>
      </c>
      <c r="L21" s="19"/>
      <c r="M21" s="11"/>
    </row>
    <row r="22" spans="2:13" x14ac:dyDescent="0.25">
      <c r="B22" t="str">
        <f t="shared" si="2"/>
        <v>"CIPLA","open":"476.95","high":"478.50","low":"470.00","ltP":"473.60","ptsC":"0.15","per":"0.03","trdVol":"11.84","trdVolM":"1.18","ntP":"56.17","mVal":"0.56","wkhi":"745.00","wklo":"457.45","wkhicm_adj":"673.00","wklocm_adj":"366.50","xDt":"31-DEC-2999","cAct":"-","yPC":"-26.46","mPC":"-12.33"</v>
      </c>
      <c r="C22" s="18" t="s">
        <v>20</v>
      </c>
      <c r="D22" s="19" t="str">
        <f t="shared" si="0"/>
        <v>476.95</v>
      </c>
      <c r="E22" s="19" t="str">
        <f t="shared" si="0"/>
        <v>478.50</v>
      </c>
      <c r="F22" s="19" t="str">
        <f t="shared" si="0"/>
        <v>470.00</v>
      </c>
      <c r="G22" s="19" t="str">
        <f t="shared" si="0"/>
        <v>473.60</v>
      </c>
      <c r="H22" s="20" t="str">
        <f t="shared" si="1"/>
        <v xml:space="preserve">   </v>
      </c>
      <c r="I22" s="21" t="str">
        <f t="shared" si="3"/>
        <v xml:space="preserve">   </v>
      </c>
      <c r="J22" s="22" t="str">
        <f t="shared" si="4"/>
        <v xml:space="preserve">   </v>
      </c>
      <c r="K22" s="23" t="str">
        <f t="shared" ref="K22:K60" si="10">IF(AND(E22=0, F22=0, D22=0),"  ",IF(E22= D22,(I22-G22)/I22,IF(F22= D22,(G22-I22)/I22,IF(E22&lt;&gt; F22&lt;&gt; D22,"   "))))</f>
        <v xml:space="preserve">   </v>
      </c>
      <c r="L22" s="19"/>
      <c r="M22" s="11"/>
    </row>
    <row r="23" spans="2:13" x14ac:dyDescent="0.25">
      <c r="B23" t="str">
        <f t="shared" si="2"/>
        <v>"COALINDIA","open":"289.25","high":"295.95","low":"288.50","ltP":"292.30","ptsC":"11.00","per":"3.91","trdVol":"178.63","trdVolM":"17.86","ntP":"522.97","mVal":"5.23","wkhi":"447.10","wklo":"271.65","wkhicm_adj":"423.70","wklocm_adj":"240.30","xDt":"14-MAR-2016","cAct":"INTERIM DIVIDEND - RS 27.40\/- PER SHARE (PURPOSE REVISED)","yPC":"-23.75","mPC":"0.48"</v>
      </c>
      <c r="C23" s="18" t="s">
        <v>21</v>
      </c>
      <c r="D23" s="19" t="str">
        <f t="shared" si="0"/>
        <v>289.25</v>
      </c>
      <c r="E23" s="19" t="str">
        <f t="shared" si="0"/>
        <v>295.95</v>
      </c>
      <c r="F23" s="19" t="str">
        <f t="shared" si="0"/>
        <v>288.50</v>
      </c>
      <c r="G23" s="19" t="str">
        <f t="shared" si="0"/>
        <v>292.30</v>
      </c>
      <c r="H23" s="20" t="str">
        <f t="shared" si="1"/>
        <v xml:space="preserve">   </v>
      </c>
      <c r="I23" s="21" t="str">
        <f t="shared" si="3"/>
        <v xml:space="preserve">   </v>
      </c>
      <c r="J23" s="22" t="str">
        <f t="shared" si="4"/>
        <v xml:space="preserve">   </v>
      </c>
      <c r="K23" s="23" t="str">
        <f t="shared" si="10"/>
        <v xml:space="preserve">   </v>
      </c>
      <c r="L23" s="19"/>
      <c r="M23" s="11"/>
    </row>
    <row r="24" spans="2:13" x14ac:dyDescent="0.25">
      <c r="B24" t="str">
        <f t="shared" si="2"/>
        <v>"DRREDDY","open":"3,112.00","high":"3,176.35","low":"3,112.00","ltP":"3,172.00","ptsC":"55.95","per":"1.80","trdVol":"2.75","trdVolM":"0.28","ntP":"87.10","mVal":"0.87","wkhi":"4,386.60","wklo":"2,750.05","wkhicm_adj":"3,666.25","wklocm_adj":"2,246.50","xDt":"31-DEC-2999","cAct":"-","yPC":"-10.09","mPC":"1.32"</v>
      </c>
      <c r="C24" s="18" t="s">
        <v>22</v>
      </c>
      <c r="D24" s="19" t="str">
        <f t="shared" si="0"/>
        <v>3,112.00</v>
      </c>
      <c r="E24" s="19" t="str">
        <f t="shared" si="0"/>
        <v>3,176.35</v>
      </c>
      <c r="F24" s="19" t="str">
        <f t="shared" si="0"/>
        <v>3,112.00</v>
      </c>
      <c r="G24" s="19" t="str">
        <f t="shared" si="0"/>
        <v>3,172.00</v>
      </c>
      <c r="H24" s="20" t="str">
        <f t="shared" si="1"/>
        <v xml:space="preserve">LONG </v>
      </c>
      <c r="I24" s="21">
        <f t="shared" si="3"/>
        <v>3121</v>
      </c>
      <c r="J24" s="22">
        <f t="shared" si="4"/>
        <v>3096.44</v>
      </c>
      <c r="K24" s="23">
        <f t="shared" si="10"/>
        <v>1.6340916372957384E-2</v>
      </c>
      <c r="L24" s="19"/>
      <c r="M24" s="11"/>
    </row>
    <row r="25" spans="2:13" x14ac:dyDescent="0.25">
      <c r="B25" t="str">
        <f t="shared" si="2"/>
        <v>"EICHERMOT","open":"18,711.00","high":"18,811.00","low":"18,600.00","ltP":"18,620.00","ptsC":"-122.30","per":"-0.65","trdVol":"0.21","trdVolM":"0.02","ntP":"38.37","mVal":"0.38","wkhi":"21,620.00","wklo":"14,800.00","wkhicm_adj":"15,149.90","wklocm_adj":"4,401.10","xDt":"22-MAR-2016","cAct":"INTERIM DIVIDEND - RS 100\/- PER SHARE","yPC":"3.52","mPC":"-7.43"</v>
      </c>
      <c r="C25" s="18" t="s">
        <v>62</v>
      </c>
      <c r="D25" s="19" t="str">
        <f t="shared" si="0"/>
        <v>18,711.00</v>
      </c>
      <c r="E25" s="19" t="str">
        <f t="shared" si="0"/>
        <v>18,811.00</v>
      </c>
      <c r="F25" s="19" t="str">
        <f t="shared" si="0"/>
        <v>18,600.00</v>
      </c>
      <c r="G25" s="19" t="str">
        <f t="shared" si="0"/>
        <v>18,620.00</v>
      </c>
      <c r="H25" s="20" t="str">
        <f t="shared" si="1"/>
        <v xml:space="preserve">   </v>
      </c>
      <c r="I25" s="21" t="str">
        <f t="shared" ref="I25" si="11">IF(AND(E25=0,F25=0,D25=0),"  ",IF(D25=F25,ROUND(((SQRT(F25) +0.0833) ^2),0),IF(E25=D25,ROUND(((SQRT(E25) -0.0833) ^2),0),IF(E25&lt;&gt;F25&lt;&gt;D25,"   "))))</f>
        <v xml:space="preserve">   </v>
      </c>
      <c r="J25" s="22" t="str">
        <f t="shared" ref="J25" si="12">IF(AND(E25=0, F25=0, D25=0),"  ",IF(E25= D25,D25+0.005*D25,IF(F25= D25,D25-0.005*D25,IF(E25&lt;&gt; F25&lt;&gt; D25,"   "))))</f>
        <v xml:space="preserve">   </v>
      </c>
      <c r="K25" s="23" t="str">
        <f t="shared" ref="K25" si="13">IF(AND(E25=0, F25=0, D25=0),"  ",IF(E25= D25,(I25-G25)/I25,IF(F25= D25,(G25-I25)/I25,IF(E25&lt;&gt; F25&lt;&gt; D25,"   "))))</f>
        <v xml:space="preserve">   </v>
      </c>
      <c r="L25" s="19"/>
      <c r="M25" s="11"/>
    </row>
    <row r="26" spans="2:13" x14ac:dyDescent="0.25">
      <c r="B26" t="str">
        <f t="shared" si="2"/>
        <v>"GAIL","open":"382.45","high":"384.80","low":"377.10","ltP":"378.65","ptsC":"-0.65","per":"-0.17","trdVol":"21.22","trdVolM":"2.12","ntP":"80.66","mVal":"0.81","wkhi":"417.90","wklo":"260.05","wkhicm_adj":"551.90","wklocm_adj":"328.80","xDt":"31-DEC-2999","cAct":"-","yPC":"-0.34","mPC":"1.46"</v>
      </c>
      <c r="C26" s="18" t="s">
        <v>23</v>
      </c>
      <c r="D26" s="19" t="str">
        <f t="shared" si="0"/>
        <v>382.45</v>
      </c>
      <c r="E26" s="19" t="str">
        <f t="shared" si="0"/>
        <v>384.80</v>
      </c>
      <c r="F26" s="19" t="str">
        <f t="shared" si="0"/>
        <v>377.10</v>
      </c>
      <c r="G26" s="19" t="str">
        <f t="shared" si="0"/>
        <v>378.65</v>
      </c>
      <c r="H26" s="20" t="str">
        <f t="shared" si="1"/>
        <v xml:space="preserve">   </v>
      </c>
      <c r="I26" s="21" t="str">
        <f t="shared" si="3"/>
        <v xml:space="preserve">   </v>
      </c>
      <c r="J26" s="22" t="str">
        <f t="shared" si="4"/>
        <v xml:space="preserve">   </v>
      </c>
      <c r="K26" s="23" t="str">
        <f t="shared" si="10"/>
        <v xml:space="preserve">   </v>
      </c>
      <c r="L26" s="19"/>
      <c r="M26" s="11"/>
    </row>
    <row r="27" spans="2:13" x14ac:dyDescent="0.25">
      <c r="B27" t="str">
        <f t="shared" si="2"/>
        <v>"GRASIM","open":"4,372.25","high":"4,404.35","low":"4,341.00","ltP":"4,341.00","ptsC":"-20.25","per":"-0.46","trdVol":"0.38","trdVolM":"0.04","ntP":"16.42","mVal":"0.16","wkhi":"4,404.35","wklo":"3,233.00","wkhicm_adj":"3,789.00","wklocm_adj":"2,426.35","xDt":"31-DEC-2999","cAct":"-","yPC":"23.61","mPC":"5.07"</v>
      </c>
      <c r="C27" s="18" t="s">
        <v>24</v>
      </c>
      <c r="D27" s="19" t="str">
        <f t="shared" si="0"/>
        <v>4,372.25</v>
      </c>
      <c r="E27" s="19" t="str">
        <f t="shared" si="0"/>
        <v>4,404.35</v>
      </c>
      <c r="F27" s="19" t="str">
        <f t="shared" si="0"/>
        <v>4,341.00</v>
      </c>
      <c r="G27" s="19" t="str">
        <f t="shared" si="0"/>
        <v>4,341.00</v>
      </c>
      <c r="H27" s="20" t="str">
        <f t="shared" si="1"/>
        <v xml:space="preserve">   </v>
      </c>
      <c r="I27" s="21" t="str">
        <f t="shared" si="3"/>
        <v xml:space="preserve">   </v>
      </c>
      <c r="J27" s="22" t="str">
        <f t="shared" si="4"/>
        <v xml:space="preserve">   </v>
      </c>
      <c r="K27" s="23" t="str">
        <f t="shared" si="10"/>
        <v xml:space="preserve">   </v>
      </c>
      <c r="L27" s="19"/>
      <c r="M27" s="11"/>
    </row>
    <row r="28" spans="2:13" x14ac:dyDescent="0.25">
      <c r="B28" t="str">
        <f t="shared" si="2"/>
        <v>"HCLTECH","open":"761.10","high":"763.70","low":"745.20","ltP":"748.00","ptsC":"-9.60","per":"-1.27","trdVol":"15.93","trdVolM":"1.59","ntP":"119.61","mVal":"1.20","wkhi":"1,044.95","wklo":"706.40","wkhicm_adj":"1,776.25","wklocm_adj":"1,057.60","xDt":"05-MAY-2016","cAct":"INTERIM DIVIDEND - RS 6\/- PER SHARE (PURPOSE REVISED)","yPC":"-23.68","mPC":"-10.69"</v>
      </c>
      <c r="C28" s="18" t="s">
        <v>25</v>
      </c>
      <c r="D28" s="19" t="str">
        <f t="shared" si="0"/>
        <v>761.10</v>
      </c>
      <c r="E28" s="19" t="str">
        <f t="shared" si="0"/>
        <v>763.70</v>
      </c>
      <c r="F28" s="19" t="str">
        <f t="shared" si="0"/>
        <v>745.20</v>
      </c>
      <c r="G28" s="19" t="str">
        <f t="shared" si="0"/>
        <v>748.00</v>
      </c>
      <c r="H28" s="20" t="str">
        <f t="shared" si="1"/>
        <v xml:space="preserve">   </v>
      </c>
      <c r="I28" s="21" t="str">
        <f t="shared" si="3"/>
        <v xml:space="preserve">   </v>
      </c>
      <c r="J28" s="22" t="str">
        <f t="shared" si="4"/>
        <v xml:space="preserve">   </v>
      </c>
      <c r="K28" s="23" t="str">
        <f t="shared" si="10"/>
        <v xml:space="preserve">   </v>
      </c>
      <c r="L28" s="19"/>
      <c r="M28" s="11"/>
    </row>
    <row r="29" spans="2:13" x14ac:dyDescent="0.25">
      <c r="B29" t="str">
        <f t="shared" si="2"/>
        <v>"HDFCBANK","open":"1,187.00","high":"1,195.00","low":"1,178.10","ltP":"1,179.00","ptsC":"-7.80","per":"-0.66","trdVol":"9.54","trdVolM":"0.95","ntP":"112.89","mVal":"1.13","wkhi":"1,195.00","wklo":"928.00","wkhicm_adj":"965.90","wklocm_adj":"616.80","xDt":"31-DEC-2999","cAct":"-","yPC":"14.53","mPC":"4.87"</v>
      </c>
      <c r="C29" s="18" t="s">
        <v>26</v>
      </c>
      <c r="D29" s="19" t="str">
        <f t="shared" si="0"/>
        <v>1,187.00</v>
      </c>
      <c r="E29" s="19" t="str">
        <f t="shared" si="0"/>
        <v>1,195.00</v>
      </c>
      <c r="F29" s="19" t="str">
        <f t="shared" si="0"/>
        <v>1,178.10</v>
      </c>
      <c r="G29" s="19" t="str">
        <f t="shared" si="0"/>
        <v>1,179.00</v>
      </c>
      <c r="H29" s="20" t="str">
        <f t="shared" si="1"/>
        <v xml:space="preserve">   </v>
      </c>
      <c r="I29" s="21" t="str">
        <f t="shared" si="3"/>
        <v xml:space="preserve">   </v>
      </c>
      <c r="J29" s="22" t="str">
        <f t="shared" si="4"/>
        <v xml:space="preserve">   </v>
      </c>
      <c r="K29" s="23" t="str">
        <f t="shared" si="10"/>
        <v xml:space="preserve">   </v>
      </c>
      <c r="L29" s="19"/>
      <c r="M29" s="11"/>
    </row>
    <row r="30" spans="2:13" x14ac:dyDescent="0.25">
      <c r="B30" t="str">
        <f t="shared" si="2"/>
        <v>"HDFCBANK","open":"1,187.00","high":"1,195.00","low":"1,178.10","ltP":"1,179.00","ptsC":"-7.80","per":"-0.66","trdVol":"9.54","trdVolM":"0.95","ntP":"112.89","mVal":"1.13","wkhi":"1,195.00","wklo":"928.00","wkhicm_adj":"965.90","wklocm_adj":"616.80","xDt":"31-DEC-2999","cAct":"-","yPC":"14.53","mPC":"4.87"</v>
      </c>
      <c r="C30" s="18" t="s">
        <v>27</v>
      </c>
      <c r="D30" s="19" t="str">
        <f t="shared" si="0"/>
        <v>1,187.00</v>
      </c>
      <c r="E30" s="19" t="str">
        <f t="shared" si="0"/>
        <v>1,195.00</v>
      </c>
      <c r="F30" s="19" t="str">
        <f t="shared" si="0"/>
        <v>1,178.10</v>
      </c>
      <c r="G30" s="19" t="str">
        <f t="shared" si="0"/>
        <v>1,179.00</v>
      </c>
      <c r="H30" s="20" t="str">
        <f t="shared" si="1"/>
        <v xml:space="preserve">   </v>
      </c>
      <c r="I30" s="21" t="str">
        <f t="shared" si="3"/>
        <v xml:space="preserve">   </v>
      </c>
      <c r="J30" s="22" t="str">
        <f t="shared" si="4"/>
        <v xml:space="preserve">   </v>
      </c>
      <c r="K30" s="23" t="str">
        <f t="shared" si="10"/>
        <v xml:space="preserve">   </v>
      </c>
      <c r="L30" s="19"/>
      <c r="M30" s="11"/>
    </row>
    <row r="31" spans="2:13" x14ac:dyDescent="0.25">
      <c r="B31" t="str">
        <f t="shared" si="2"/>
        <v>"HEROMOTOCO","open":"3,011.00","high":"3,107.50","low":"3,003.00","ltP":"3,088.00","ptsC":"85.50","per":"2.85","trdVol":"5.05","trdVolM":"0.51","ntP":"155.19","mVal":"1.55","wkhi":"3,172.00","wklo":"2,257.20","wkhicm_adj":"3,269.95","wklocm_adj":"1,907.10","xDt":"21-MAR-2016","cAct":"INTERIM DIVIDEND - RS 40\/- PER SHARE","yPC":"16.82","mPC":"4.68"</v>
      </c>
      <c r="C31" s="18" t="s">
        <v>28</v>
      </c>
      <c r="D31" s="19" t="str">
        <f t="shared" si="0"/>
        <v>3,011.00</v>
      </c>
      <c r="E31" s="19" t="str">
        <f t="shared" si="0"/>
        <v>3,107.50</v>
      </c>
      <c r="F31" s="19" t="str">
        <f t="shared" si="0"/>
        <v>3,003.00</v>
      </c>
      <c r="G31" s="19" t="str">
        <f t="shared" si="0"/>
        <v>3,088.00</v>
      </c>
      <c r="H31" s="20" t="str">
        <f t="shared" si="1"/>
        <v xml:space="preserve">   </v>
      </c>
      <c r="I31" s="21" t="str">
        <f t="shared" si="3"/>
        <v xml:space="preserve">   </v>
      </c>
      <c r="J31" s="22" t="str">
        <f t="shared" si="4"/>
        <v xml:space="preserve">   </v>
      </c>
      <c r="K31" s="23" t="str">
        <f t="shared" si="10"/>
        <v xml:space="preserve">   </v>
      </c>
      <c r="L31" s="19"/>
      <c r="M31" s="11"/>
    </row>
    <row r="32" spans="2:13" x14ac:dyDescent="0.25">
      <c r="B32" t="str">
        <f t="shared" si="2"/>
        <v>"HINDALCO","open":"100.00","high":"103.50","low":"98.15","ltP":"102.80","ptsC":"10.90","per":"11.86","trdVol":"434.97","trdVolM":"43.50","ntP":"441.80","mVal":"4.42","wkhi":"134.00","wklo":"58.80","wkhicm_adj":"198.90","wklocm_adj":"96.70","xDt":"31-DEC-2999","cAct":"-","yPC":"-21.88","mPC":"1.03"</v>
      </c>
      <c r="C32" s="18" t="s">
        <v>29</v>
      </c>
      <c r="D32" s="19" t="str">
        <f t="shared" ref="D32:G52" si="14">MID($B32,FIND(D$9,$B32)+LEN(D$9)+3,FIND(CHAR(34),$B32,FIND(D$9,$B32)+LEN(D$9)+3)-(FIND(D$9,$B32)+LEN(D$9)+3))</f>
        <v>100.00</v>
      </c>
      <c r="E32" s="19" t="str">
        <f t="shared" si="14"/>
        <v>103.50</v>
      </c>
      <c r="F32" s="19" t="str">
        <f t="shared" si="14"/>
        <v>98.15</v>
      </c>
      <c r="G32" s="19" t="str">
        <f t="shared" si="14"/>
        <v>102.80</v>
      </c>
      <c r="H32" s="20" t="str">
        <f t="shared" si="1"/>
        <v xml:space="preserve">   </v>
      </c>
      <c r="I32" s="21" t="str">
        <f t="shared" si="3"/>
        <v xml:space="preserve">   </v>
      </c>
      <c r="J32" s="22" t="str">
        <f t="shared" si="4"/>
        <v xml:space="preserve">   </v>
      </c>
      <c r="K32" s="23" t="str">
        <f t="shared" si="10"/>
        <v xml:space="preserve">   </v>
      </c>
      <c r="L32" s="19"/>
      <c r="M32" s="11"/>
    </row>
    <row r="33" spans="2:13" x14ac:dyDescent="0.25">
      <c r="B33" t="str">
        <f t="shared" si="2"/>
        <v>"HINDUNILVR","open":"864.00","high":"867.20","low":"849.75","ltP":"853.00","ptsC":"-8.20","per":"-0.95","trdVol":"7.76","trdVolM":"0.78","ntP":"66.40","mVal":"0.66","wkhi":"944.00","wklo":"766.40","wkhicm_adj":"814.85","wklocm_adj":"537.20","xDt":"31-DEC-2999","cAct":"-","yPC":"0.80","mPC":"-4.39"</v>
      </c>
      <c r="C33" s="18" t="s">
        <v>30</v>
      </c>
      <c r="D33" s="19" t="str">
        <f t="shared" si="14"/>
        <v>864.00</v>
      </c>
      <c r="E33" s="19" t="str">
        <f t="shared" si="14"/>
        <v>867.20</v>
      </c>
      <c r="F33" s="19" t="str">
        <f t="shared" si="14"/>
        <v>849.75</v>
      </c>
      <c r="G33" s="19" t="str">
        <f t="shared" si="14"/>
        <v>853.00</v>
      </c>
      <c r="H33" s="20" t="str">
        <f t="shared" si="1"/>
        <v xml:space="preserve">   </v>
      </c>
      <c r="I33" s="21" t="str">
        <f t="shared" si="3"/>
        <v xml:space="preserve">   </v>
      </c>
      <c r="J33" s="22" t="str">
        <f t="shared" si="4"/>
        <v xml:space="preserve">   </v>
      </c>
      <c r="K33" s="23" t="str">
        <f t="shared" si="10"/>
        <v xml:space="preserve">   </v>
      </c>
      <c r="L33" s="19"/>
      <c r="M33" s="11"/>
    </row>
    <row r="34" spans="2:13" x14ac:dyDescent="0.25">
      <c r="B34" t="str">
        <f t="shared" si="2"/>
        <v>"ICICIBANK","open":"243.25","high":"246.60","low":"238.80","ltP":"244.25","ptsC":"1.10","per":"0.45","trdVol":"144.18","trdVolM":"14.42","ntP":"351.39","mVal":"3.51","wkhi":"321.00","wklo":"180.75","wkhicm_adj":"1,779.00","wklocm_adj":"943.60","xDt":"31-DEC-2999","cAct":"-","yPC":"-22.34","mPC":"-0.14"</v>
      </c>
      <c r="C34" s="18" t="s">
        <v>31</v>
      </c>
      <c r="D34" s="19" t="str">
        <f t="shared" si="14"/>
        <v>243.25</v>
      </c>
      <c r="E34" s="19" t="str">
        <f t="shared" si="14"/>
        <v>246.60</v>
      </c>
      <c r="F34" s="19" t="str">
        <f t="shared" si="14"/>
        <v>238.80</v>
      </c>
      <c r="G34" s="19" t="str">
        <f t="shared" si="14"/>
        <v>244.25</v>
      </c>
      <c r="H34" s="20" t="str">
        <f t="shared" si="1"/>
        <v xml:space="preserve">   </v>
      </c>
      <c r="I34" s="21" t="str">
        <f t="shared" si="3"/>
        <v xml:space="preserve">   </v>
      </c>
      <c r="J34" s="22" t="str">
        <f t="shared" si="4"/>
        <v xml:space="preserve">   </v>
      </c>
      <c r="K34" s="23" t="str">
        <f t="shared" si="10"/>
        <v xml:space="preserve">   </v>
      </c>
      <c r="L34" s="19"/>
      <c r="M34" s="11"/>
    </row>
    <row r="35" spans="2:13" x14ac:dyDescent="0.25">
      <c r="B35" t="str">
        <f t="shared" si="2"/>
        <v>"IDEA","open":"112.80","high":"117.35","low":"112.00","ltP":"113.30","ptsC":"0.30","per":"0.27","trdVol":"48.95","trdVolM":"4.89","ntP":"56.07","mVal":"0.56","wkhi":"186.50","wklo":"97.20","wkhicm_adj":"183.70","wklocm_adj":"125.10","xDt":"31-DEC-2999","cAct":"-","yPC":"-33.04","mPC":"-9.36"</v>
      </c>
      <c r="C35" s="18" t="s">
        <v>32</v>
      </c>
      <c r="D35" s="19" t="str">
        <f t="shared" si="14"/>
        <v>112.80</v>
      </c>
      <c r="E35" s="19" t="str">
        <f t="shared" si="14"/>
        <v>117.35</v>
      </c>
      <c r="F35" s="19" t="str">
        <f t="shared" si="14"/>
        <v>112.00</v>
      </c>
      <c r="G35" s="19" t="str">
        <f t="shared" si="14"/>
        <v>113.30</v>
      </c>
      <c r="H35" s="20" t="str">
        <f t="shared" si="1"/>
        <v xml:space="preserve">   </v>
      </c>
      <c r="I35" s="21" t="str">
        <f t="shared" si="3"/>
        <v xml:space="preserve">   </v>
      </c>
      <c r="J35" s="22" t="str">
        <f t="shared" si="4"/>
        <v xml:space="preserve">   </v>
      </c>
      <c r="K35" s="23" t="str">
        <f t="shared" si="10"/>
        <v xml:space="preserve">   </v>
      </c>
      <c r="L35" s="19"/>
      <c r="M35" s="11"/>
    </row>
    <row r="36" spans="2:13" x14ac:dyDescent="0.25">
      <c r="B36" t="str">
        <f t="shared" si="2"/>
        <v>"INDUSINDBK","open":"1,106.20","high":"1,113.55","low":"1,096.90","ltP":"1,098.15","ptsC":"-5.95","per":"-0.54","trdVol":"9.28","trdVolM":"0.93","ntP":"102.30","mVal":"1.02","wkhi":"1,113.55","wklo":"784.00","wkhicm_adj":"776.00","wklocm_adj":"369.50","xDt":"31-DEC-2999","cAct":"-","yPC":"28.39","mPC":"5.59"</v>
      </c>
      <c r="C36" s="18" t="s">
        <v>33</v>
      </c>
      <c r="D36" s="19" t="str">
        <f t="shared" si="14"/>
        <v>1,106.20</v>
      </c>
      <c r="E36" s="19" t="str">
        <f t="shared" si="14"/>
        <v>1,113.55</v>
      </c>
      <c r="F36" s="19" t="str">
        <f t="shared" si="14"/>
        <v>1,096.90</v>
      </c>
      <c r="G36" s="19" t="str">
        <f t="shared" si="14"/>
        <v>1,098.15</v>
      </c>
      <c r="H36" s="20" t="str">
        <f t="shared" si="1"/>
        <v xml:space="preserve">   </v>
      </c>
      <c r="I36" s="21" t="str">
        <f t="shared" si="3"/>
        <v xml:space="preserve">   </v>
      </c>
      <c r="J36" s="22" t="str">
        <f t="shared" si="4"/>
        <v xml:space="preserve">   </v>
      </c>
      <c r="K36" s="23" t="str">
        <f t="shared" si="10"/>
        <v xml:space="preserve">   </v>
      </c>
      <c r="L36" s="19"/>
      <c r="M36" s="11"/>
    </row>
    <row r="37" spans="2:13" x14ac:dyDescent="0.25">
      <c r="B37" t="str">
        <f t="shared" si="2"/>
        <v>"INFRATEL","open":"387.80","high":"392.00","low":"384.50","ltP":"385.75","ptsC":"-1.10","per":"-0.28","trdVol":"9.74","trdVolM":"0.97","ntP":"37.83","mVal":"0.38","wkhi":"499.65","wklo":"341.35","wkhicm_adj":"322.00","wklocm_adj":"156.00","xDt":"31-DEC-2999","cAct":"-","yPC":"-12.48","mPC":"2.68"</v>
      </c>
      <c r="C37" s="18" t="s">
        <v>63</v>
      </c>
      <c r="D37" s="19" t="str">
        <f t="shared" si="14"/>
        <v>387.80</v>
      </c>
      <c r="E37" s="19" t="str">
        <f t="shared" si="14"/>
        <v>392.00</v>
      </c>
      <c r="F37" s="19" t="str">
        <f t="shared" si="14"/>
        <v>384.50</v>
      </c>
      <c r="G37" s="19" t="str">
        <f t="shared" si="14"/>
        <v>385.75</v>
      </c>
      <c r="H37" s="20" t="str">
        <f t="shared" si="1"/>
        <v xml:space="preserve">   </v>
      </c>
      <c r="I37" s="21" t="str">
        <f t="shared" ref="I37" si="15">IF(AND(E37=0,F37=0,D37=0),"  ",IF(D37=F37,ROUND(((SQRT(F37) +0.0833) ^2),0),IF(E37=D37,ROUND(((SQRT(E37) -0.0833) ^2),0),IF(E37&lt;&gt;F37&lt;&gt;D37,"   "))))</f>
        <v xml:space="preserve">   </v>
      </c>
      <c r="J37" s="22" t="str">
        <f t="shared" ref="J37" si="16">IF(AND(E37=0, F37=0, D37=0),"  ",IF(E37= D37,D37+0.005*D37,IF(F37= D37,D37-0.005*D37,IF(E37&lt;&gt; F37&lt;&gt; D37,"   "))))</f>
        <v xml:space="preserve">   </v>
      </c>
      <c r="K37" s="23" t="str">
        <f t="shared" ref="K37" si="17">IF(AND(E37=0, F37=0, D37=0),"  ",IF(E37= D37,(I37-G37)/I37,IF(F37= D37,(G37-I37)/I37,IF(E37&lt;&gt; F37&lt;&gt; D37,"   "))))</f>
        <v xml:space="preserve">   </v>
      </c>
      <c r="L37" s="19"/>
      <c r="M37" s="11"/>
    </row>
    <row r="38" spans="2:13" x14ac:dyDescent="0.25">
      <c r="B38" t="str">
        <f t="shared" si="2"/>
        <v>"INFY","open":"1,241.50","high":"1,272.00","low":"1,241.50","ltP":"1,267.00","ptsC":"19.50","per":"1.56","trdVol":"26.43","trdVolM":"2.64","ntP":"334.92","mVal":"3.35","wkhi":"1,272.00","wklo":"932.65","wkhicm_adj":"4,402.20","wklocm_adj":"2,880.00","xDt":"31-DEC-2999","cAct":"-","yPC":"25.66","mPC":"2.17"</v>
      </c>
      <c r="C38" s="18" t="s">
        <v>34</v>
      </c>
      <c r="D38" s="19" t="str">
        <f t="shared" si="14"/>
        <v>1,241.50</v>
      </c>
      <c r="E38" s="19" t="str">
        <f t="shared" si="14"/>
        <v>1,272.00</v>
      </c>
      <c r="F38" s="19" t="str">
        <f t="shared" si="14"/>
        <v>1,241.50</v>
      </c>
      <c r="G38" s="19" t="str">
        <f t="shared" si="14"/>
        <v>1,267.00</v>
      </c>
      <c r="H38" s="20" t="str">
        <f t="shared" si="1"/>
        <v xml:space="preserve">LONG </v>
      </c>
      <c r="I38" s="21">
        <f t="shared" si="3"/>
        <v>1247</v>
      </c>
      <c r="J38" s="22">
        <f t="shared" si="4"/>
        <v>1235.2925</v>
      </c>
      <c r="K38" s="23">
        <f t="shared" si="10"/>
        <v>1.6038492381716118E-2</v>
      </c>
      <c r="L38" s="19"/>
      <c r="M38" s="11"/>
    </row>
    <row r="39" spans="2:13" x14ac:dyDescent="0.25">
      <c r="B39" t="str">
        <f t="shared" si="2"/>
        <v>"ITC","open":"353.40","high":"358.50","low":"352.80","ltP":"356.00","ptsC":"5.20","per":"1.48","trdVol":"49.08","trdVolM":"4.91","ntP":"174.93","mVal":"1.75","wkhi":"364.00","wklo":"268.00","wkhicm_adj":"387.50","wklocm_adj":"307.55","xDt":"30-MAY-2016","cAct":"DIVIDEND-RS.8.50 PER SHARE (INCLUDING SPECIAL DIVIDEND OF RS.2\/- PER SHARE).","yPC":"10.75","mPC":"6.73"</v>
      </c>
      <c r="C39" s="18" t="s">
        <v>35</v>
      </c>
      <c r="D39" s="19" t="str">
        <f t="shared" si="14"/>
        <v>353.40</v>
      </c>
      <c r="E39" s="19" t="str">
        <f t="shared" si="14"/>
        <v>358.50</v>
      </c>
      <c r="F39" s="19" t="str">
        <f t="shared" si="14"/>
        <v>352.80</v>
      </c>
      <c r="G39" s="19" t="str">
        <f t="shared" si="14"/>
        <v>356.00</v>
      </c>
      <c r="H39" s="20" t="str">
        <f t="shared" si="1"/>
        <v xml:space="preserve">   </v>
      </c>
      <c r="I39" s="21" t="str">
        <f t="shared" si="3"/>
        <v xml:space="preserve">   </v>
      </c>
      <c r="J39" s="22" t="str">
        <f t="shared" si="4"/>
        <v xml:space="preserve">   </v>
      </c>
      <c r="K39" s="23" t="str">
        <f t="shared" si="10"/>
        <v xml:space="preserve">   </v>
      </c>
      <c r="L39" s="19"/>
      <c r="M39" s="11"/>
    </row>
    <row r="40" spans="2:13" x14ac:dyDescent="0.25">
      <c r="B40" t="str">
        <f t="shared" si="2"/>
        <v>"KOTAKBANK","open":"748.70","high":"754.50","low":"740.05","ltP":"741.00","ptsC":"-1.55","per":"-0.21","trdVol":"7.29","trdVolM":"0.73","ntP":"54.36","mVal":"0.54","wkhi":"754.50","wklo":"585.75","wkhicm_adj":"1,264.70","wklocm_adj":"630.50","xDt":"31-DEC-2999","cAct":"-","yPC":"8.32","mPC":"4.00"</v>
      </c>
      <c r="C40" s="18" t="s">
        <v>36</v>
      </c>
      <c r="D40" s="19" t="str">
        <f t="shared" si="14"/>
        <v>748.70</v>
      </c>
      <c r="E40" s="19" t="str">
        <f t="shared" si="14"/>
        <v>754.50</v>
      </c>
      <c r="F40" s="19" t="str">
        <f t="shared" si="14"/>
        <v>740.05</v>
      </c>
      <c r="G40" s="19" t="str">
        <f t="shared" si="14"/>
        <v>741.00</v>
      </c>
      <c r="H40" s="20" t="str">
        <f t="shared" si="1"/>
        <v xml:space="preserve">   </v>
      </c>
      <c r="I40" s="21" t="str">
        <f t="shared" si="3"/>
        <v xml:space="preserve">   </v>
      </c>
      <c r="J40" s="22" t="str">
        <f t="shared" si="4"/>
        <v xml:space="preserve">   </v>
      </c>
      <c r="K40" s="23" t="str">
        <f t="shared" si="10"/>
        <v xml:space="preserve">   </v>
      </c>
      <c r="L40" s="19"/>
      <c r="M40" s="11"/>
    </row>
    <row r="41" spans="2:13" x14ac:dyDescent="0.25">
      <c r="B41" t="str">
        <f t="shared" si="2"/>
        <v>HLTD","open":"21,811.00","high":"22,399.90","low":"21,811.00","ltP":"22,200.00","ptsC":"253.00","per":"1.15","trdVol":"0.16","trdVolM":"0.02","ntP":"34.86","mVal":"0.35","wkhi":"26,719.95","wklo":"15,736.05","wkhicm_adj":"19,570.00","wklocm_adj":"8,450.00","xDt":"31-DEC-2999","cAct":"-","yPC":"-3.87","mPC":"9.75"</v>
      </c>
      <c r="C41" s="18" t="s">
        <v>37</v>
      </c>
      <c r="D41" s="19" t="str">
        <f t="shared" si="14"/>
        <v>21,811.00</v>
      </c>
      <c r="E41" s="19" t="str">
        <f t="shared" si="14"/>
        <v>22,399.90</v>
      </c>
      <c r="F41" s="19" t="str">
        <f t="shared" si="14"/>
        <v>21,811.00</v>
      </c>
      <c r="G41" s="19" t="str">
        <f t="shared" si="14"/>
        <v>22,200.00</v>
      </c>
      <c r="H41" s="20" t="str">
        <f t="shared" si="1"/>
        <v xml:space="preserve">LONG </v>
      </c>
      <c r="I41" s="21">
        <f t="shared" si="3"/>
        <v>21836</v>
      </c>
      <c r="J41" s="22">
        <f t="shared" si="4"/>
        <v>21701.945</v>
      </c>
      <c r="K41" s="23">
        <f t="shared" si="10"/>
        <v>1.6669719728888074E-2</v>
      </c>
      <c r="L41" s="19"/>
      <c r="M41" s="11"/>
    </row>
    <row r="42" spans="2:13" x14ac:dyDescent="0.25">
      <c r="B42" t="str">
        <f t="shared" si="2"/>
        <v>"LUPIN","open":"1,489.95","high":"1,493.70","low":"1,454.10","ltP":"1,465.10","ptsC":"-15.00","per":"-1.01","trdVol":"13.65","trdVolM":"1.37","ntP":"200.40","mVal":"2.00","wkhi":"2,129.00","wklo":"1,280.00","wkhicm_adj":"1,497.50","wklocm_adj":"851.50","xDt":"31-DEC-2999","cAct":"-","yPC":"-16.03","mPC":"-6.68"</v>
      </c>
      <c r="C42" s="18" t="s">
        <v>38</v>
      </c>
      <c r="D42" s="19" t="str">
        <f t="shared" si="14"/>
        <v>1,489.95</v>
      </c>
      <c r="E42" s="19" t="str">
        <f t="shared" si="14"/>
        <v>1,493.70</v>
      </c>
      <c r="F42" s="19" t="str">
        <f t="shared" si="14"/>
        <v>1,454.10</v>
      </c>
      <c r="G42" s="19" t="str">
        <f t="shared" si="14"/>
        <v>1,465.10</v>
      </c>
      <c r="H42" s="20" t="str">
        <f t="shared" si="1"/>
        <v xml:space="preserve">   </v>
      </c>
      <c r="I42" s="21" t="str">
        <f t="shared" si="3"/>
        <v xml:space="preserve">   </v>
      </c>
      <c r="J42" s="22" t="str">
        <f t="shared" si="4"/>
        <v xml:space="preserve">   </v>
      </c>
      <c r="K42" s="23" t="str">
        <f t="shared" si="10"/>
        <v xml:space="preserve">   </v>
      </c>
      <c r="L42" s="19"/>
      <c r="M42" s="11"/>
    </row>
    <row r="43" spans="2:13" x14ac:dyDescent="0.25">
      <c r="B43" t="str">
        <f t="shared" si="2"/>
        <v>"M&amp;M","open":"1,334.00","high":"1,351.70","low":"1,312.80","ltP":"1,329.60","ptsC":"-4.10","per":"-0.31","trdVol":"24.12","trdVolM":"2.41","ntP":"321.70","mVal":"3.22","wkhi":"1,442.05","wklo":"1,091.25","wkhicm_adj":"1,433.70","wklocm_adj":"846.60","xDt":"31-DEC-2999","cAct":"-","yPC":"10.97","mPC":"-3.98"</v>
      </c>
      <c r="C43" s="18" t="s">
        <v>39</v>
      </c>
      <c r="D43" s="19" t="str">
        <f t="shared" si="14"/>
        <v>1,334.00</v>
      </c>
      <c r="E43" s="19" t="str">
        <f t="shared" si="14"/>
        <v>1,351.70</v>
      </c>
      <c r="F43" s="19" t="str">
        <f t="shared" si="14"/>
        <v>1,312.80</v>
      </c>
      <c r="G43" s="19" t="str">
        <f t="shared" si="14"/>
        <v>1,329.60</v>
      </c>
      <c r="H43" s="20" t="str">
        <f t="shared" si="1"/>
        <v xml:space="preserve">   </v>
      </c>
      <c r="I43" s="21" t="str">
        <f t="shared" si="3"/>
        <v xml:space="preserve">   </v>
      </c>
      <c r="J43" s="22" t="str">
        <f t="shared" si="4"/>
        <v xml:space="preserve">   </v>
      </c>
      <c r="K43" s="23" t="str">
        <f t="shared" si="10"/>
        <v xml:space="preserve">   </v>
      </c>
      <c r="L43" s="19"/>
      <c r="M43" s="11"/>
    </row>
    <row r="44" spans="2:13" x14ac:dyDescent="0.25">
      <c r="B44" t="str">
        <f t="shared" si="2"/>
        <v>"MARUTI","open":"4,132.00","high":"4,155.20","low":"4,054.00","ltP":"4,069.15","ptsC":"-77.45","per":"-1.87","trdVol":"5.55","trdVolM":"0.56","ntP":"227.54","mVal":"2.28","wkhi":"4,790.00","wklo":"3,193.25","wkhicm_adj":"3,432.00","wklocm_adj":"1,540.40","xDt":"31-DEC-2999","cAct":"-","yPC":"9.71","mPC":"5.43"</v>
      </c>
      <c r="C44" s="18" t="s">
        <v>40</v>
      </c>
      <c r="D44" s="19" t="str">
        <f t="shared" si="14"/>
        <v>4,132.00</v>
      </c>
      <c r="E44" s="19" t="str">
        <f t="shared" si="14"/>
        <v>4,155.20</v>
      </c>
      <c r="F44" s="19" t="str">
        <f t="shared" si="14"/>
        <v>4,054.00</v>
      </c>
      <c r="G44" s="19" t="str">
        <f t="shared" si="14"/>
        <v>4,069.15</v>
      </c>
      <c r="H44" s="20" t="str">
        <f t="shared" si="1"/>
        <v xml:space="preserve">   </v>
      </c>
      <c r="I44" s="21" t="str">
        <f t="shared" si="3"/>
        <v xml:space="preserve">   </v>
      </c>
      <c r="J44" s="22" t="str">
        <f t="shared" si="4"/>
        <v xml:space="preserve">   </v>
      </c>
      <c r="K44" s="23" t="str">
        <f t="shared" si="10"/>
        <v xml:space="preserve">   </v>
      </c>
      <c r="L44" s="19"/>
      <c r="M44" s="11"/>
    </row>
    <row r="45" spans="2:13" x14ac:dyDescent="0.25">
      <c r="B45" t="str">
        <f t="shared" si="2"/>
        <v>"NTPC","open":"140.35","high":"145.80","low":"137.65","ltP":"144.50","ptsC":"4.40","per":"3.14","trdVol":"95.44","trdVolM":"9.54","ntP":"135.11","mVal":"1.35","wkhi":"148.85","wklo":"107.10","wkhicm_adj":"168.90","wklocm_adj":"110.65","xDt":"31-DEC-2999","cAct":"-","yPC":"7.32","mPC":"2.70"</v>
      </c>
      <c r="C45" s="18" t="s">
        <v>41</v>
      </c>
      <c r="D45" s="19" t="str">
        <f t="shared" si="14"/>
        <v>140.35</v>
      </c>
      <c r="E45" s="19" t="str">
        <f t="shared" si="14"/>
        <v>145.80</v>
      </c>
      <c r="F45" s="19" t="str">
        <f t="shared" si="14"/>
        <v>137.65</v>
      </c>
      <c r="G45" s="19" t="str">
        <f t="shared" si="14"/>
        <v>144.50</v>
      </c>
      <c r="H45" s="20" t="str">
        <f t="shared" si="1"/>
        <v xml:space="preserve">   </v>
      </c>
      <c r="I45" s="21" t="str">
        <f t="shared" si="3"/>
        <v xml:space="preserve">   </v>
      </c>
      <c r="J45" s="22" t="str">
        <f t="shared" si="4"/>
        <v xml:space="preserve">   </v>
      </c>
      <c r="K45" s="23" t="str">
        <f t="shared" si="10"/>
        <v xml:space="preserve">   </v>
      </c>
      <c r="L45" s="19"/>
      <c r="M45" s="11"/>
    </row>
    <row r="46" spans="2:13" x14ac:dyDescent="0.25">
      <c r="B46" t="str">
        <f t="shared" si="2"/>
        <v>"ONGC","open":"214.00","high":"215.70","low":"213.00","ltP":"213.00","ptsC":"0.00","per":"0.00","trdVol":"30.59","trdVolM":"3.06","ntP":"65.51","mVal":"0.66","wkhi":"337.20","wklo":"187.75","wkhicm_adj":"471.85","wklocm_adj":"264.15","xDt":"16-MAR-2016","cAct":"INTERIM DIVIDEND - RE 0.75\/- PER SHARE (PURPOSE REVISED)","yPC":"-35.04","mPC":"-3.97"</v>
      </c>
      <c r="C46" s="18" t="s">
        <v>42</v>
      </c>
      <c r="D46" s="19" t="str">
        <f t="shared" si="14"/>
        <v>214.00</v>
      </c>
      <c r="E46" s="19" t="str">
        <f t="shared" si="14"/>
        <v>215.70</v>
      </c>
      <c r="F46" s="19" t="str">
        <f t="shared" si="14"/>
        <v>213.00</v>
      </c>
      <c r="G46" s="19" t="str">
        <f t="shared" si="14"/>
        <v>213.00</v>
      </c>
      <c r="H46" s="20" t="str">
        <f t="shared" si="1"/>
        <v xml:space="preserve">   </v>
      </c>
      <c r="I46" s="21" t="str">
        <f t="shared" si="3"/>
        <v xml:space="preserve">   </v>
      </c>
      <c r="J46" s="22" t="str">
        <f t="shared" si="4"/>
        <v xml:space="preserve">   </v>
      </c>
      <c r="K46" s="23" t="str">
        <f t="shared" si="10"/>
        <v xml:space="preserve">   </v>
      </c>
      <c r="L46" s="19"/>
      <c r="M46" s="11"/>
    </row>
    <row r="47" spans="2:13" x14ac:dyDescent="0.25">
      <c r="B47" t="str">
        <f t="shared" si="2"/>
        <v>"POWERGRID","open":"151.10","high":"152.95","low":"149.35","ltP":"152.00","ptsC":"1.15","per":"0.76","trdVol":"34.03","trdVolM":"3.40","ntP":"51.35","mVal":"0.51","wkhi":"152.95","wklo":"120.55","wkhicm_adj":"150.90","wklocm_adj":"91.65","xDt":"31-DEC-2999","cAct":"-","yPC":"6.15","mPC":"5.30"</v>
      </c>
      <c r="C47" s="18" t="s">
        <v>44</v>
      </c>
      <c r="D47" s="19" t="str">
        <f t="shared" si="14"/>
        <v>151.10</v>
      </c>
      <c r="E47" s="19" t="str">
        <f t="shared" si="14"/>
        <v>152.95</v>
      </c>
      <c r="F47" s="19" t="str">
        <f t="shared" si="14"/>
        <v>149.35</v>
      </c>
      <c r="G47" s="19" t="str">
        <f t="shared" si="14"/>
        <v>152.00</v>
      </c>
      <c r="H47" s="20" t="str">
        <f t="shared" si="1"/>
        <v xml:space="preserve">   </v>
      </c>
      <c r="I47" s="21" t="str">
        <f t="shared" si="3"/>
        <v xml:space="preserve">   </v>
      </c>
      <c r="J47" s="22" t="str">
        <f t="shared" si="4"/>
        <v xml:space="preserve">   </v>
      </c>
      <c r="K47" s="23" t="str">
        <f t="shared" si="10"/>
        <v xml:space="preserve">   </v>
      </c>
      <c r="L47" s="19"/>
      <c r="M47" s="11"/>
    </row>
    <row r="48" spans="2:13" x14ac:dyDescent="0.25">
      <c r="B48" t="str">
        <f t="shared" si="2"/>
        <v>"RELIANCE","open":"976.40","high":"981.50","low":"965.00","ltP":"965.80","ptsC":"-8.90","per":"-0.91","trdVol":"22.02","trdVolM":"2.20","ntP":"214.08","mVal":"2.14","wkhi":"1,089.75","wklo":"818.00","wkhicm_adj":"1,145.25","wklocm_adj":"793.10","xDt":"17-MAR-2016","cAct":"INTERIM DIVIDEND - RS 10.50\/- PER SHARE (PURPOSE REVISED)","yPC":"10.28","mPC":"-5.26"</v>
      </c>
      <c r="C48" s="18" t="s">
        <v>45</v>
      </c>
      <c r="D48" s="19" t="str">
        <f t="shared" si="14"/>
        <v>976.40</v>
      </c>
      <c r="E48" s="19" t="str">
        <f t="shared" si="14"/>
        <v>981.50</v>
      </c>
      <c r="F48" s="19" t="str">
        <f t="shared" si="14"/>
        <v>965.00</v>
      </c>
      <c r="G48" s="19" t="str">
        <f t="shared" si="14"/>
        <v>965.80</v>
      </c>
      <c r="H48" s="20" t="str">
        <f t="shared" si="1"/>
        <v xml:space="preserve">   </v>
      </c>
      <c r="I48" s="21" t="str">
        <f t="shared" si="3"/>
        <v xml:space="preserve">   </v>
      </c>
      <c r="J48" s="22" t="str">
        <f t="shared" si="4"/>
        <v xml:space="preserve">   </v>
      </c>
      <c r="K48" s="23" t="str">
        <f t="shared" si="10"/>
        <v xml:space="preserve">   </v>
      </c>
      <c r="L48" s="19"/>
      <c r="M48" s="11"/>
    </row>
    <row r="49" spans="2:13" x14ac:dyDescent="0.25">
      <c r="B49" t="str">
        <f t="shared" si="2"/>
        <v>"SBIN","open":"200.20","high":"203.90","low":"194.60","ltP":"197.80","ptsC":"1.90","per":"0.97","trdVol":"460.76","trdVolM":"46.08","ntP":"914.42","mVal":"9.14","wkhi":"291.80","wklo":"148.25","wkhicm_adj":"326.95","wklocm_adj":"145.51","xDt":"31-DEC-2999","cAct":"-","yPC":"-28.75","mPC":"0.84"</v>
      </c>
      <c r="C49" s="18" t="s">
        <v>46</v>
      </c>
      <c r="D49" s="19" t="str">
        <f t="shared" si="14"/>
        <v>200.20</v>
      </c>
      <c r="E49" s="19" t="str">
        <f t="shared" si="14"/>
        <v>203.90</v>
      </c>
      <c r="F49" s="19" t="str">
        <f t="shared" si="14"/>
        <v>194.60</v>
      </c>
      <c r="G49" s="19" t="str">
        <f t="shared" si="14"/>
        <v>197.80</v>
      </c>
      <c r="H49" s="20" t="str">
        <f t="shared" si="1"/>
        <v xml:space="preserve">   </v>
      </c>
      <c r="I49" s="21" t="str">
        <f t="shared" si="3"/>
        <v xml:space="preserve">   </v>
      </c>
      <c r="J49" s="22" t="str">
        <f t="shared" si="4"/>
        <v xml:space="preserve">   </v>
      </c>
      <c r="K49" s="23" t="str">
        <f t="shared" si="10"/>
        <v xml:space="preserve">   </v>
      </c>
      <c r="L49" s="19"/>
      <c r="M49" s="11"/>
    </row>
    <row r="50" spans="2:13" x14ac:dyDescent="0.25">
      <c r="B50" t="str">
        <f t="shared" si="2"/>
        <v>"SUNPHARMA","open":"831.00","high":"842.00","low":"808.25","ltP":"815.70","ptsC":"-9.25","per":"-1.12","trdVol":"48.88","trdVolM":"4.89","ntP":"399.64","mVal":"4.00","wkhi":"979.00","wklo":"704.00","wkhicm_adj":"932.50","wklocm_adj":"552.55","xDt":"31-DEC-2999","cAct":"-","yPC":"-14.57","mPC":"0.22"</v>
      </c>
      <c r="C50" s="18" t="s">
        <v>47</v>
      </c>
      <c r="D50" s="19" t="str">
        <f t="shared" si="14"/>
        <v>831.00</v>
      </c>
      <c r="E50" s="19" t="str">
        <f t="shared" si="14"/>
        <v>842.00</v>
      </c>
      <c r="F50" s="19" t="str">
        <f t="shared" si="14"/>
        <v>808.25</v>
      </c>
      <c r="G50" s="19" t="str">
        <f t="shared" si="14"/>
        <v>815.70</v>
      </c>
      <c r="H50" s="20" t="str">
        <f t="shared" si="1"/>
        <v xml:space="preserve">   </v>
      </c>
      <c r="I50" s="21" t="str">
        <f t="shared" si="3"/>
        <v xml:space="preserve">   </v>
      </c>
      <c r="J50" s="22" t="str">
        <f t="shared" si="4"/>
        <v xml:space="preserve">   </v>
      </c>
      <c r="K50" s="23" t="str">
        <f t="shared" si="10"/>
        <v xml:space="preserve">   </v>
      </c>
      <c r="L50" s="19"/>
      <c r="M50" s="11"/>
    </row>
    <row r="51" spans="2:13" x14ac:dyDescent="0.25">
      <c r="B51" t="str">
        <f t="shared" si="2"/>
        <v>"TATAMOTORS","open":"404.80","high":"423.60","low":"401.30","ltP":"423.00","ptsC":"19.10","per":"4.73","trdVol":"157.67","trdVolM":"15.77","ntP":"654.62","mVal":"6.55","wkhi":"490.25","wklo":"265.80","wkhicm_adj":"550.70","wklocm_adj":"332.10","xDt":"31-DEC-2999","cAct":"-","yPC":"-12.67","mPC":"1.06"</v>
      </c>
      <c r="C51" s="18" t="s">
        <v>48</v>
      </c>
      <c r="D51" s="19" t="str">
        <f t="shared" si="14"/>
        <v>404.80</v>
      </c>
      <c r="E51" s="19" t="str">
        <f t="shared" si="14"/>
        <v>423.60</v>
      </c>
      <c r="F51" s="19" t="str">
        <f t="shared" si="14"/>
        <v>401.30</v>
      </c>
      <c r="G51" s="19" t="str">
        <f t="shared" si="14"/>
        <v>423.00</v>
      </c>
      <c r="H51" s="20" t="str">
        <f t="shared" si="1"/>
        <v xml:space="preserve">   </v>
      </c>
      <c r="I51" s="21" t="str">
        <f t="shared" si="3"/>
        <v xml:space="preserve">   </v>
      </c>
      <c r="J51" s="22" t="str">
        <f t="shared" si="4"/>
        <v xml:space="preserve">   </v>
      </c>
      <c r="K51" s="23" t="str">
        <f t="shared" si="10"/>
        <v xml:space="preserve">   </v>
      </c>
      <c r="L51" s="19"/>
      <c r="M51" s="11"/>
    </row>
    <row r="52" spans="2:13" x14ac:dyDescent="0.25">
      <c r="B52" t="str">
        <f t="shared" si="2"/>
        <v>"TATAMTRDVR","open":"272.95","high":"282.35","low":"272.95","ltP":"281.60","ptsC":"9.90","per":"3.64","trdVol":"62.94","trdVolM":"6.29","ntP":"175.61","mVal":"1.76","wkhi":"311.90","wklo":"200.20","wkhicm_adj":"391.35","wklocm_adj":"168.25","xDt":"31-DEC-2999","cAct":"-","yPC":"-5.80","mPC":"-7.46"</v>
      </c>
      <c r="C52" s="18" t="s">
        <v>64</v>
      </c>
      <c r="D52" s="19" t="str">
        <f t="shared" si="14"/>
        <v>272.95</v>
      </c>
      <c r="E52" s="19" t="str">
        <f t="shared" si="14"/>
        <v>282.35</v>
      </c>
      <c r="F52" s="19" t="str">
        <f t="shared" si="14"/>
        <v>272.95</v>
      </c>
      <c r="G52" s="19" t="str">
        <f t="shared" si="14"/>
        <v>281.60</v>
      </c>
      <c r="H52" s="20" t="str">
        <f t="shared" si="1"/>
        <v xml:space="preserve">LONG </v>
      </c>
      <c r="I52" s="21">
        <f t="shared" ref="I52" si="18">IF(AND(E52=0,F52=0,D52=0),"  ",IF(D52=F52,ROUND(((SQRT(F52) +0.0833) ^2),0),IF(E52=D52,ROUND(((SQRT(E52) -0.0833) ^2),0),IF(E52&lt;&gt;F52&lt;&gt;D52,"   "))))</f>
        <v>276</v>
      </c>
      <c r="J52" s="22">
        <f t="shared" ref="J52" si="19">IF(AND(E52=0, F52=0, D52=0),"  ",IF(E52= D52,D52+0.005*D52,IF(F52= D52,D52-0.005*D52,IF(E52&lt;&gt; F52&lt;&gt; D52,"   "))))</f>
        <v>271.58524999999997</v>
      </c>
      <c r="K52" s="23">
        <f t="shared" ref="K52" si="20">IF(AND(E52=0, F52=0, D52=0),"  ",IF(E52= D52,(I52-G52)/I52,IF(F52= D52,(G52-I52)/I52,IF(E52&lt;&gt; F52&lt;&gt; D52,"   "))))</f>
        <v>2.028985507246385E-2</v>
      </c>
      <c r="L52" s="19"/>
      <c r="M52" s="11"/>
    </row>
    <row r="53" spans="2:13" x14ac:dyDescent="0.25">
      <c r="B53" t="str">
        <f t="shared" si="2"/>
        <v>"TATAPOWER","open":"72.90","high":"76.00","low":"72.30","ltP":"75.45","ptsC":"2.85","per":"3.93","trdVol":"40.12","trdVolM":"4.01","ntP":"29.85","mVal":"0.30","wkhi":"76.85","wklo":"55.00","wkhicm_adj":"115.60","wklocm_adj":"68.65","xDt":"31-DEC-2999","cAct":"-","yPC":"1.82","mPC":"6.64"</v>
      </c>
      <c r="C53" s="18" t="s">
        <v>49</v>
      </c>
      <c r="D53" s="19" t="str">
        <f t="shared" ref="D53:G60" si="21">MID($B53,FIND(D$9,$B53)+LEN(D$9)+3,FIND(CHAR(34),$B53,FIND(D$9,$B53)+LEN(D$9)+3)-(FIND(D$9,$B53)+LEN(D$9)+3))</f>
        <v>72.90</v>
      </c>
      <c r="E53" s="19" t="str">
        <f t="shared" si="21"/>
        <v>76.00</v>
      </c>
      <c r="F53" s="19" t="str">
        <f t="shared" si="21"/>
        <v>72.30</v>
      </c>
      <c r="G53" s="19" t="str">
        <f t="shared" si="21"/>
        <v>75.45</v>
      </c>
      <c r="H53" s="20" t="str">
        <f t="shared" si="1"/>
        <v xml:space="preserve">   </v>
      </c>
      <c r="I53" s="21" t="str">
        <f t="shared" si="3"/>
        <v xml:space="preserve">   </v>
      </c>
      <c r="J53" s="22" t="str">
        <f t="shared" si="4"/>
        <v xml:space="preserve">   </v>
      </c>
      <c r="K53" s="23" t="str">
        <f t="shared" si="10"/>
        <v xml:space="preserve">   </v>
      </c>
      <c r="L53" s="19"/>
      <c r="M53" s="11"/>
    </row>
    <row r="54" spans="2:13" x14ac:dyDescent="0.25">
      <c r="B54" t="str">
        <f t="shared" si="2"/>
        <v>"TATASTEEL","open":"332.05","high":"334.60","low":"321.45","ltP":"321.90","ptsC":"-7.70","per":"-2.34","trdVol":"66.18","trdVolM":"6.62","ntP":"215.83","mVal":"2.16","wkhi":"364.05","wklo":"199.70","wkhicm_adj":"579.90","wklocm_adj":"332.00","xDt":"31-DEC-2999","cAct":"-","yPC":"-0.86","mPC":"-9.77"</v>
      </c>
      <c r="C54" s="18" t="s">
        <v>50</v>
      </c>
      <c r="D54" s="19" t="str">
        <f t="shared" si="21"/>
        <v>332.05</v>
      </c>
      <c r="E54" s="19" t="str">
        <f t="shared" si="21"/>
        <v>334.60</v>
      </c>
      <c r="F54" s="19" t="str">
        <f t="shared" si="21"/>
        <v>321.45</v>
      </c>
      <c r="G54" s="19" t="str">
        <f t="shared" si="21"/>
        <v>321.90</v>
      </c>
      <c r="H54" s="20" t="str">
        <f t="shared" si="1"/>
        <v xml:space="preserve">   </v>
      </c>
      <c r="I54" s="21" t="str">
        <f t="shared" si="3"/>
        <v xml:space="preserve">   </v>
      </c>
      <c r="J54" s="22" t="str">
        <f t="shared" si="4"/>
        <v xml:space="preserve">   </v>
      </c>
      <c r="K54" s="23" t="str">
        <f t="shared" si="10"/>
        <v xml:space="preserve">   </v>
      </c>
      <c r="L54" s="19"/>
      <c r="M54" s="11"/>
    </row>
    <row r="55" spans="2:13" x14ac:dyDescent="0.25">
      <c r="B55" t="str">
        <f t="shared" si="2"/>
        <v>"TCS","open":"2,583.00","high":"2,641.95","low":"2,582.00","ltP":"2,636.05","ptsC":"63.40","per":"2.46","trdVol":"6.75","trdVolM":"0.67","ntP":"176.61","mVal":"1.77","wkhi":"2,770.00","wklo":"2,115.00","wkhicm_adj":"2,839.70","wklocm_adj":"1,970.00","xDt":"31-DEC-2999","cAct":"-","yPC":"1.02","mPC":"4.98"</v>
      </c>
      <c r="C55" s="18" t="s">
        <v>51</v>
      </c>
      <c r="D55" s="19" t="str">
        <f t="shared" si="21"/>
        <v>2,583.00</v>
      </c>
      <c r="E55" s="19" t="str">
        <f t="shared" si="21"/>
        <v>2,641.95</v>
      </c>
      <c r="F55" s="19" t="str">
        <f t="shared" si="21"/>
        <v>2,582.00</v>
      </c>
      <c r="G55" s="19" t="str">
        <f t="shared" si="21"/>
        <v>2,636.05</v>
      </c>
      <c r="H55" s="20" t="str">
        <f t="shared" si="1"/>
        <v xml:space="preserve">   </v>
      </c>
      <c r="I55" s="21" t="str">
        <f t="shared" si="3"/>
        <v xml:space="preserve">   </v>
      </c>
      <c r="J55" s="22" t="str">
        <f t="shared" si="4"/>
        <v xml:space="preserve">   </v>
      </c>
      <c r="K55" s="23" t="str">
        <f t="shared" si="10"/>
        <v xml:space="preserve">   </v>
      </c>
      <c r="L55" s="19"/>
      <c r="M55" s="11"/>
    </row>
    <row r="56" spans="2:13" x14ac:dyDescent="0.25">
      <c r="B56" t="str">
        <f t="shared" si="2"/>
        <v>"TECHM","open":"535.80","high":"564.00","low":"535.00","ltP":"543.00","ptsC":"7.10","per":"1.32","trdVol":"29.02","trdVolM":"2.90","ntP":"160.07","mVal":"1.60","wkhi":"582.00","wklo":"407.40","wkhicm_adj":"2,734.00","wklocm_adj":"1,662.00","xDt":"31-DEC-2999","cAct":"-","yPC":"-0.39","mPC":"13.30"</v>
      </c>
      <c r="C56" s="18" t="s">
        <v>52</v>
      </c>
      <c r="D56" s="19" t="str">
        <f t="shared" si="21"/>
        <v>535.80</v>
      </c>
      <c r="E56" s="19" t="str">
        <f t="shared" si="21"/>
        <v>564.00</v>
      </c>
      <c r="F56" s="19" t="str">
        <f t="shared" si="21"/>
        <v>535.00</v>
      </c>
      <c r="G56" s="19" t="str">
        <f t="shared" si="21"/>
        <v>543.00</v>
      </c>
      <c r="H56" s="20" t="str">
        <f t="shared" si="1"/>
        <v xml:space="preserve">   </v>
      </c>
      <c r="I56" s="21" t="str">
        <f t="shared" si="3"/>
        <v xml:space="preserve">   </v>
      </c>
      <c r="J56" s="22" t="str">
        <f t="shared" si="4"/>
        <v xml:space="preserve">   </v>
      </c>
      <c r="K56" s="23" t="str">
        <f t="shared" si="10"/>
        <v xml:space="preserve">   </v>
      </c>
      <c r="L56" s="19"/>
      <c r="M56" s="11"/>
    </row>
    <row r="57" spans="2:13" x14ac:dyDescent="0.25">
      <c r="B57" t="str">
        <f t="shared" si="2"/>
        <v>"ULTRACEMCO","open":"3,257.10","high":"3,257.10","low":"3,192.05","ltP":"3,209.65","ptsC":"-38.65","per":"-1.19","trdVol":"1.77","trdVolM":"0.18","ntP":"56.86","mVal":"0.57","wkhi":"3,454.90","wklo":"2,579.00","wkhicm_adj":"2,872.00","wklocm_adj":"1,634.00","xDt":"31-DEC-2999","cAct":"-","yPC":"10.02","mPC":"0.56"</v>
      </c>
      <c r="C57" s="18" t="s">
        <v>53</v>
      </c>
      <c r="D57" s="19" t="str">
        <f t="shared" si="21"/>
        <v>3,257.10</v>
      </c>
      <c r="E57" s="19" t="str">
        <f t="shared" si="21"/>
        <v>3,257.10</v>
      </c>
      <c r="F57" s="19" t="str">
        <f t="shared" si="21"/>
        <v>3,192.05</v>
      </c>
      <c r="G57" s="19" t="str">
        <f t="shared" si="21"/>
        <v>3,209.65</v>
      </c>
      <c r="H57" s="20" t="str">
        <f t="shared" si="1"/>
        <v xml:space="preserve">SHORT </v>
      </c>
      <c r="I57" s="21">
        <f t="shared" si="3"/>
        <v>3248</v>
      </c>
      <c r="J57" s="22">
        <f t="shared" si="4"/>
        <v>3273.3854999999999</v>
      </c>
      <c r="K57" s="23">
        <f t="shared" si="10"/>
        <v>1.1807266009852189E-2</v>
      </c>
      <c r="L57" s="19"/>
      <c r="M57" s="11"/>
    </row>
    <row r="58" spans="2:13" x14ac:dyDescent="0.25">
      <c r="B58" t="str">
        <f t="shared" si="2"/>
        <v>"WIPRO","open":"547.20","high":"552.50","low":"544.45","ltP":"551.50","ptsC":"6.10","per":"1.12","trdVol":"10.70","trdVolM":"1.07","ntP":"58.73","mVal":"0.59","wkhi":"613.30","wklo":"507.90","wkhicm_adj":"621.90","wklocm_adj":"466.65","xDt":"05-MAY-2016","cAct":"BUYBACK OF SHARES","yPC":"-0.55","mPC":"-1.52"</v>
      </c>
      <c r="C58" s="18" t="s">
        <v>55</v>
      </c>
      <c r="D58" s="19" t="str">
        <f t="shared" si="21"/>
        <v>547.20</v>
      </c>
      <c r="E58" s="19" t="str">
        <f t="shared" si="21"/>
        <v>552.50</v>
      </c>
      <c r="F58" s="19" t="str">
        <f t="shared" si="21"/>
        <v>544.45</v>
      </c>
      <c r="G58" s="19" t="str">
        <f t="shared" si="21"/>
        <v>551.50</v>
      </c>
      <c r="H58" s="20" t="str">
        <f t="shared" si="1"/>
        <v xml:space="preserve">   </v>
      </c>
      <c r="I58" s="21" t="str">
        <f t="shared" si="3"/>
        <v xml:space="preserve">   </v>
      </c>
      <c r="J58" s="22" t="str">
        <f t="shared" si="4"/>
        <v xml:space="preserve">   </v>
      </c>
      <c r="K58" s="23" t="str">
        <f t="shared" si="10"/>
        <v xml:space="preserve">   </v>
      </c>
      <c r="L58" s="19"/>
      <c r="M58" s="11"/>
    </row>
    <row r="59" spans="2:13" x14ac:dyDescent="0.25">
      <c r="B59" t="str">
        <f t="shared" si="2"/>
        <v>"YESBANK","open":"1,024.40","high":"1,034.85","low":"1,021.30","ltP":"1,026.15","ptsC":"10.65","per":"1.05","trdVol":"29.24","trdVolM":"2.92","ntP":"300.68","mVal":"3.01","wkhi":"1,041.80","wklo":"595.00","wkhicm_adj":"719.90","wklocm_adj":"291.40","xDt":"30-MAY-2016","cAct":"ANNUAL GENERAL MEETING\/ DIVIDEND - RS 10\/- PER SHARE","yPC":"19.45","mPC":"12.09"</v>
      </c>
      <c r="C59" s="18" t="s">
        <v>56</v>
      </c>
      <c r="D59" s="19" t="str">
        <f t="shared" si="21"/>
        <v>1,024.40</v>
      </c>
      <c r="E59" s="19" t="str">
        <f t="shared" si="21"/>
        <v>1,034.85</v>
      </c>
      <c r="F59" s="19" t="str">
        <f t="shared" si="21"/>
        <v>1,021.30</v>
      </c>
      <c r="G59" s="19" t="str">
        <f t="shared" si="21"/>
        <v>1,026.15</v>
      </c>
      <c r="H59" s="20" t="str">
        <f t="shared" si="1"/>
        <v xml:space="preserve">   </v>
      </c>
      <c r="I59" s="21" t="str">
        <f t="shared" si="3"/>
        <v xml:space="preserve">   </v>
      </c>
      <c r="J59" s="22" t="str">
        <f t="shared" si="4"/>
        <v xml:space="preserve">   </v>
      </c>
      <c r="K59" s="23" t="str">
        <f t="shared" si="10"/>
        <v xml:space="preserve">   </v>
      </c>
      <c r="L59" s="19"/>
      <c r="M59" s="11"/>
    </row>
    <row r="60" spans="2:13" x14ac:dyDescent="0.25">
      <c r="B60" t="str">
        <f t="shared" si="2"/>
        <v>"ZEEL","open":"456.50","high":"456.50","low":"441.60","ltP":"443.30","ptsC":"-10.10","per":"-2.23","trdVol":"13.66","trdVolM":"1.37","ntP":"60.67","mVal":"0.61","wkhi":"458.95","wklo":"317.45","wkhicm_adj":"402.40","wklocm_adj":"251.80","xDt":"31-DEC-2999","cAct":"-","yPC":"39.34","mPC":"8.69"</v>
      </c>
      <c r="C60" s="18" t="s">
        <v>57</v>
      </c>
      <c r="D60" s="19" t="str">
        <f t="shared" si="21"/>
        <v>456.50</v>
      </c>
      <c r="E60" s="19" t="str">
        <f t="shared" si="21"/>
        <v>456.50</v>
      </c>
      <c r="F60" s="19" t="str">
        <f t="shared" si="21"/>
        <v>441.60</v>
      </c>
      <c r="G60" s="19" t="str">
        <f t="shared" si="21"/>
        <v>443.30</v>
      </c>
      <c r="H60" s="20" t="str">
        <f t="shared" si="1"/>
        <v xml:space="preserve">SHORT </v>
      </c>
      <c r="I60" s="21">
        <f t="shared" si="3"/>
        <v>453</v>
      </c>
      <c r="J60" s="22">
        <f t="shared" si="4"/>
        <v>458.78250000000003</v>
      </c>
      <c r="K60" s="23">
        <f t="shared" si="10"/>
        <v>2.1412803532008806E-2</v>
      </c>
      <c r="L60" s="19"/>
      <c r="M60" s="11"/>
    </row>
    <row r="61" spans="2:13" x14ac:dyDescent="0.25">
      <c r="M61" s="11"/>
    </row>
    <row r="64" spans="2:13" x14ac:dyDescent="0.25">
      <c r="C64" s="13" t="s">
        <v>65</v>
      </c>
    </row>
    <row r="65" spans="2:12" x14ac:dyDescent="0.25">
      <c r="B65" t="s">
        <v>0</v>
      </c>
      <c r="C65" s="4" t="s">
        <v>1</v>
      </c>
      <c r="D65" s="4" t="s">
        <v>2</v>
      </c>
      <c r="E65" s="4" t="s">
        <v>3</v>
      </c>
      <c r="F65" s="4" t="s">
        <v>4</v>
      </c>
      <c r="G65" s="4" t="s">
        <v>5</v>
      </c>
      <c r="H65" s="4" t="s">
        <v>6</v>
      </c>
      <c r="I65" s="4" t="s">
        <v>7</v>
      </c>
      <c r="J65" s="4" t="s">
        <v>8</v>
      </c>
      <c r="K65" s="4" t="s">
        <v>58</v>
      </c>
      <c r="L65" s="4" t="s">
        <v>165</v>
      </c>
    </row>
    <row r="66" spans="2:12" x14ac:dyDescent="0.25">
      <c r="B66" t="str">
        <f>MID($O$500,FIND(C66,$O$500)-1,FIND("}",$O$500,FIND(C66,$O$500))-FIND(C66,$O$500)+1)</f>
        <v>"ABB","open":"1,259.30","high":"1,259.30","low":"1,208.00","ltP":"1,213.00","ptsC":"-40.95","per":"-3.27","trdVol":"0.89","trdVolM":"0.09","ntP":"10.87","mVal":"0.11","wkhi":"1,445.00","wklo":"955.20","wkhicm_adj":"1,263.50","wklocm_adj":"566.95","xDt":"13-APR-2016","cAct":"ANNUAL GENERAL MEETING\/DIVIDEND - RS 3.70 PER SHARE","yPC":"-9.64","mPC":"-4.75"</v>
      </c>
      <c r="C66" s="12" t="s">
        <v>67</v>
      </c>
      <c r="D66" s="5" t="str">
        <f t="shared" ref="D66:G85" si="22">MID($B66,FIND(D$9,$B66)+LEN(D$9)+3,FIND(CHAR(34),$B66,FIND(D$9,$B66)+LEN(D$9)+3)-(FIND(D$9,$B66)+LEN(D$9)+3))</f>
        <v>1,259.30</v>
      </c>
      <c r="E66" s="5" t="str">
        <f t="shared" si="22"/>
        <v>1,259.30</v>
      </c>
      <c r="F66" s="5" t="str">
        <f t="shared" si="22"/>
        <v>1,208.00</v>
      </c>
      <c r="G66" s="5" t="str">
        <f t="shared" si="22"/>
        <v>1,213.00</v>
      </c>
      <c r="H66" s="6" t="str">
        <f t="shared" ref="H66" si="23">IF(AND(E66=0, F66=0, D66=0),"  ",IF(E66= D66,"SHORT ",IF(F66= D66,"LONG ",IF(E66&lt;&gt; F66&lt;&gt; D66,"   "))))</f>
        <v xml:space="preserve">SHORT </v>
      </c>
      <c r="I66" s="7">
        <f t="shared" ref="I66" si="24">IF(AND(E66=0,F66=0,D66=0),"  ",IF(D66=F66,ROUND(((SQRT(F66) +0.0833) ^2),0),IF(E66=D66,ROUND(((SQRT(E66) -0.0833) ^2),0),IF(E66&lt;&gt;F66&lt;&gt;D66,"   "))))</f>
        <v>1253</v>
      </c>
      <c r="J66" s="8">
        <f t="shared" ref="J66" si="25">IF(AND(E66=0, F66=0, D66=0),"  ",IF(E66= D66,D66+0.005*D66,IF(F66= D66,D66-0.005*D66,IF(E66&lt;&gt; F66&lt;&gt; D66,"   "))))</f>
        <v>1265.5964999999999</v>
      </c>
      <c r="K66" s="9">
        <f t="shared" ref="K66" si="26">IF(AND(E66=0, F66=0, D66=0),"  ",IF(E66= D66,(I66-G66)/I66,IF(F66= D66,(G66-I66)/I66,IF(E66&lt;&gt; F66&lt;&gt; D66,"   "))))</f>
        <v>3.192338387869114E-2</v>
      </c>
      <c r="L66" s="5"/>
    </row>
    <row r="67" spans="2:12" x14ac:dyDescent="0.25">
      <c r="B67" t="str">
        <f t="shared" ref="B67:B115" si="27">MID($O$500,FIND(C67,$O$500)-1,FIND("}",$O$500,FIND(C67,$O$500))-FIND(C67,$O$500)+1)</f>
        <v>"APOLLOHOSP","open":"1,348.75","high":"1,406.40","low":"1,348.20","ltP":"1,403.00","ptsC":"54.80","per":"4.06","trdVol":"3.39","trdVolM":"0.34","ntP":"46.78","mVal":"0.47","wkhi":"1,544.90","wklo":"1,150.00","wkhicm_adj":"1,246.50","wklocm_adj":"815.35","xDt":"22-MAR-2016","cAct":"INTERIM DIVIDEND - RS 6\/- PER SHARE (PURPOSE REVISED)","yPC":"14.79","mPC":"6.55"</v>
      </c>
      <c r="C67" s="12" t="s">
        <v>68</v>
      </c>
      <c r="D67" s="5" t="str">
        <f t="shared" si="22"/>
        <v>1,348.75</v>
      </c>
      <c r="E67" s="5" t="str">
        <f t="shared" si="22"/>
        <v>1,406.40</v>
      </c>
      <c r="F67" s="5" t="str">
        <f t="shared" si="22"/>
        <v>1,348.20</v>
      </c>
      <c r="G67" s="5" t="str">
        <f t="shared" si="22"/>
        <v>1,403.00</v>
      </c>
      <c r="H67" s="6" t="str">
        <f t="shared" ref="H67:H115" si="28">IF(AND(E67=0, F67=0, D67=0),"  ",IF(E67= D67,"SHORT ",IF(F67= D67,"LONG ",IF(E67&lt;&gt; F67&lt;&gt; D67,"   "))))</f>
        <v xml:space="preserve">   </v>
      </c>
      <c r="I67" s="7" t="str">
        <f t="shared" ref="I67:I115" si="29">IF(AND(E67=0,F67=0,D67=0),"  ",IF(D67=F67,ROUND(((SQRT(F67) +0.0833) ^2),0),IF(E67=D67,ROUND(((SQRT(E67) -0.0833) ^2),0),IF(E67&lt;&gt;F67&lt;&gt;D67,"   "))))</f>
        <v xml:space="preserve">   </v>
      </c>
      <c r="J67" s="8" t="str">
        <f t="shared" ref="J67:J115" si="30">IF(AND(E67=0, F67=0, D67=0),"  ",IF(E67= D67,D67+0.005*D67,IF(F67= D67,D67-0.005*D67,IF(E67&lt;&gt; F67&lt;&gt; D67,"   "))))</f>
        <v xml:space="preserve">   </v>
      </c>
      <c r="K67" s="9" t="str">
        <f t="shared" ref="K67:K115" si="31">IF(AND(E67=0, F67=0, D67=0),"  ",IF(E67= D67,(I67-G67)/I67,IF(F67= D67,(G67-I67)/I67,IF(E67&lt;&gt; F67&lt;&gt; D67,"   "))))</f>
        <v xml:space="preserve">   </v>
      </c>
      <c r="L67" s="14"/>
    </row>
    <row r="68" spans="2:12" x14ac:dyDescent="0.25">
      <c r="B68" t="str">
        <f t="shared" si="27"/>
        <v>"ASHOKLEY","open":"107.30","high":"107.45","low":"105.10","ltP":"106.10","ptsC":"-0.70","per":"-0.66","trdVol":"87.31","trdVolM":"8.73","ntP":"92.59","mVal":"0.93","wkhi":"112.90","wklo":"64.00","wkhicm_adj":"56.20","wklocm_adj":"14.85","xDt":"31-DEC-2999","cAct":"-","yPC":"50.50","mPC":"-1.71"</v>
      </c>
      <c r="C68" s="12" t="s">
        <v>69</v>
      </c>
      <c r="D68" s="5" t="str">
        <f t="shared" si="22"/>
        <v>107.30</v>
      </c>
      <c r="E68" s="5" t="str">
        <f t="shared" si="22"/>
        <v>107.45</v>
      </c>
      <c r="F68" s="5" t="str">
        <f t="shared" si="22"/>
        <v>105.10</v>
      </c>
      <c r="G68" s="5" t="str">
        <f t="shared" si="22"/>
        <v>106.10</v>
      </c>
      <c r="H68" s="6" t="str">
        <f t="shared" si="28"/>
        <v xml:space="preserve">   </v>
      </c>
      <c r="I68" s="7" t="str">
        <f t="shared" si="29"/>
        <v xml:space="preserve">   </v>
      </c>
      <c r="J68" s="8" t="str">
        <f t="shared" si="30"/>
        <v xml:space="preserve">   </v>
      </c>
      <c r="K68" s="9" t="str">
        <f t="shared" si="31"/>
        <v xml:space="preserve">   </v>
      </c>
      <c r="L68" s="5"/>
    </row>
    <row r="69" spans="2:12" x14ac:dyDescent="0.25">
      <c r="B69" t="str">
        <f t="shared" si="27"/>
        <v>"BAJAJFINSV","open":"1,838.00","high":"1,864.85","low":"1,828.25","ltP":"1,840.00","ptsC":"4.30","per":"0.23","trdVol":"0.52","trdVolM":"0.05","ntP":"9.53","mVal":"0.10","wkhi":"2,160.00","wklo":"1,435.15","wkhicm_adj":"1,173.95","wklocm_adj":"658.35","xDt":"16-MAR-2016","cAct":"INTERIM DIVIDEND - RS 1.75\/- PER SHARE (PURPOSE REVISED)","yPC":"20.27","mPC":"-2.11"</v>
      </c>
      <c r="C69" s="12" t="s">
        <v>70</v>
      </c>
      <c r="D69" s="5" t="str">
        <f t="shared" si="22"/>
        <v>1,838.00</v>
      </c>
      <c r="E69" s="5" t="str">
        <f t="shared" si="22"/>
        <v>1,864.85</v>
      </c>
      <c r="F69" s="5" t="str">
        <f t="shared" si="22"/>
        <v>1,828.25</v>
      </c>
      <c r="G69" s="5" t="str">
        <f t="shared" si="22"/>
        <v>1,840.00</v>
      </c>
      <c r="H69" s="6" t="str">
        <f t="shared" si="28"/>
        <v xml:space="preserve">   </v>
      </c>
      <c r="I69" s="7" t="str">
        <f t="shared" si="29"/>
        <v xml:space="preserve">   </v>
      </c>
      <c r="J69" s="8" t="str">
        <f t="shared" si="30"/>
        <v xml:space="preserve">   </v>
      </c>
      <c r="K69" s="9" t="str">
        <f t="shared" si="31"/>
        <v xml:space="preserve">   </v>
      </c>
      <c r="L69" s="5"/>
    </row>
    <row r="70" spans="2:12" x14ac:dyDescent="0.25">
      <c r="B70" t="str">
        <f t="shared" si="27"/>
        <v>"BAJFINANCE","open":"7,700.00","high":"7,720.00","low":"7,559.40","ltP":"7,630.00","ptsC":"-37.90","per":"-0.49","trdVol":"0.76","trdVolM":"0.08","ntP":"58.16","mVal":"0.58","wkhi":"7,858.05","wklo":"4,115.70","wkhicm_adj":"3,385.00","wklocm_adj":"1,375.00","xDt":"16-MAR-2016","cAct":"INTERIM DIVIDEND - RS 18\/- PER SHARE (PURPOSE REVISED)","yPC":"72.46","mPC":"9.85"</v>
      </c>
      <c r="C70" s="12" t="s">
        <v>71</v>
      </c>
      <c r="D70" s="5" t="str">
        <f t="shared" si="22"/>
        <v>7,700.00</v>
      </c>
      <c r="E70" s="5" t="str">
        <f t="shared" si="22"/>
        <v>7,720.00</v>
      </c>
      <c r="F70" s="5" t="str">
        <f t="shared" si="22"/>
        <v>7,559.40</v>
      </c>
      <c r="G70" s="5" t="str">
        <f t="shared" si="22"/>
        <v>7,630.00</v>
      </c>
      <c r="H70" s="6" t="str">
        <f t="shared" si="28"/>
        <v xml:space="preserve">   </v>
      </c>
      <c r="I70" s="7" t="str">
        <f t="shared" si="29"/>
        <v xml:space="preserve">   </v>
      </c>
      <c r="J70" s="8" t="str">
        <f t="shared" si="30"/>
        <v xml:space="preserve">   </v>
      </c>
      <c r="K70" s="9" t="str">
        <f t="shared" si="31"/>
        <v xml:space="preserve">   </v>
      </c>
      <c r="L70" s="5"/>
    </row>
    <row r="71" spans="2:12" x14ac:dyDescent="0.25">
      <c r="B71" t="str">
        <f t="shared" si="27"/>
        <v>"BEL","open":"1,195.00","high":"1,199.00","low":"1,170.00","ltP":"1,193.00","ptsC":"9.95","per":"0.84","trdVol":"3.17","trdVolM":"0.32","ntP":"37.50","mVal":"0.38","wkhi":"1,416.85","wklo":"984.00","wkhicm_adj":"2,375.00","wklocm_adj":"893.00","xDt":"31-DEC-2999","cAct":"-","yPC":"7.27","mPC":"-1.62"</v>
      </c>
      <c r="C71" s="12" t="s">
        <v>72</v>
      </c>
      <c r="D71" s="5" t="str">
        <f t="shared" si="22"/>
        <v>1,195.00</v>
      </c>
      <c r="E71" s="5" t="str">
        <f t="shared" si="22"/>
        <v>1,199.00</v>
      </c>
      <c r="F71" s="5" t="str">
        <f t="shared" si="22"/>
        <v>1,170.00</v>
      </c>
      <c r="G71" s="5" t="str">
        <f t="shared" si="22"/>
        <v>1,193.00</v>
      </c>
      <c r="H71" s="6" t="str">
        <f t="shared" si="28"/>
        <v xml:space="preserve">   </v>
      </c>
      <c r="I71" s="7" t="str">
        <f t="shared" si="29"/>
        <v xml:space="preserve">   </v>
      </c>
      <c r="J71" s="8" t="str">
        <f t="shared" si="30"/>
        <v xml:space="preserve">   </v>
      </c>
      <c r="K71" s="9" t="str">
        <f t="shared" si="31"/>
        <v xml:space="preserve">   </v>
      </c>
      <c r="L71" s="5"/>
    </row>
    <row r="72" spans="2:12" x14ac:dyDescent="0.25">
      <c r="B72" t="str">
        <f t="shared" si="27"/>
        <v>"BHARATFORG","open":"751.50","high":"752.95","low":"735.50","ltP":"750.00","ptsC":"5.30","per":"0.71","trdVol":"4.84","trdVolM":"0.48","ntP":"36.03","mVal":"0.36","wkhi":"1,293.00","wklo":"704.90","wkhicm_adj":"979.00","wklocm_adj":"291.10","xDt":"18-MAR-2016","cAct":"INTERIM DIVIDEND - RS 4\/- PER SHARE (PURPOSE REVISED)","yPC":"-37.99","mPC":"-6.60"</v>
      </c>
      <c r="C72" s="12" t="s">
        <v>73</v>
      </c>
      <c r="D72" s="5" t="str">
        <f t="shared" si="22"/>
        <v>751.50</v>
      </c>
      <c r="E72" s="5" t="str">
        <f t="shared" si="22"/>
        <v>752.95</v>
      </c>
      <c r="F72" s="5" t="str">
        <f t="shared" si="22"/>
        <v>735.50</v>
      </c>
      <c r="G72" s="5" t="str">
        <f t="shared" si="22"/>
        <v>750.00</v>
      </c>
      <c r="H72" s="6" t="str">
        <f t="shared" si="28"/>
        <v xml:space="preserve">   </v>
      </c>
      <c r="I72" s="7" t="str">
        <f t="shared" si="29"/>
        <v xml:space="preserve">   </v>
      </c>
      <c r="J72" s="8" t="str">
        <f t="shared" si="30"/>
        <v xml:space="preserve">   </v>
      </c>
      <c r="K72" s="9" t="str">
        <f t="shared" si="31"/>
        <v xml:space="preserve">   </v>
      </c>
      <c r="L72" s="5"/>
    </row>
    <row r="73" spans="2:12" x14ac:dyDescent="0.25">
      <c r="B73" t="str">
        <f t="shared" si="27"/>
        <v>"BRITANNIA","open":"2,720.00","high":"2,758.00","low":"2,720.00","ltP":"2,747.00","ptsC":"27.70","per":"1.02","trdVol":"1.11","trdVolM":"0.11","ntP":"30.43","mVal":"0.30","wkhi":"3,434.20","wklo":"2,424.00","wkhicm_adj":"1,729.80","wklocm_adj":"809.10","xDt":"31-DEC-2999","cAct":"-","yPC":"3.38","mPC":"-4.00"</v>
      </c>
      <c r="C73" s="12" t="s">
        <v>74</v>
      </c>
      <c r="D73" s="5" t="str">
        <f t="shared" si="22"/>
        <v>2,720.00</v>
      </c>
      <c r="E73" s="5" t="str">
        <f t="shared" si="22"/>
        <v>2,758.00</v>
      </c>
      <c r="F73" s="5" t="str">
        <f t="shared" si="22"/>
        <v>2,720.00</v>
      </c>
      <c r="G73" s="5" t="str">
        <f t="shared" si="22"/>
        <v>2,747.00</v>
      </c>
      <c r="H73" s="6" t="str">
        <f t="shared" si="28"/>
        <v xml:space="preserve">LONG </v>
      </c>
      <c r="I73" s="7">
        <f t="shared" si="29"/>
        <v>2729</v>
      </c>
      <c r="J73" s="8">
        <f t="shared" si="30"/>
        <v>2706.4</v>
      </c>
      <c r="K73" s="9">
        <f t="shared" si="31"/>
        <v>6.5958226456577498E-3</v>
      </c>
      <c r="L73" s="5"/>
    </row>
    <row r="74" spans="2:12" x14ac:dyDescent="0.25">
      <c r="B74" t="str">
        <f t="shared" si="27"/>
        <v>"CADILAHC","open":"329.25","high":"335.00","low":"326.10","ltP":"334.50","ptsC":"7.30","per":"2.23","trdVol":"4.46","trdVolM":"0.45","ntP":"14.85","mVal":"0.15","wkhi":"453.30","wklo":"295.00","wkhicm_adj":"1,760.15","wklocm_adj":"723.20","xDt":"17-MAR-2016","cAct":"INTERIM DIVIDEND - RS 3.20\/- PER SHARE","yPC":"-10.39","mPC":"2.34"</v>
      </c>
      <c r="C74" s="12" t="s">
        <v>75</v>
      </c>
      <c r="D74" s="5" t="str">
        <f t="shared" si="22"/>
        <v>329.25</v>
      </c>
      <c r="E74" s="5" t="str">
        <f t="shared" si="22"/>
        <v>335.00</v>
      </c>
      <c r="F74" s="5" t="str">
        <f t="shared" si="22"/>
        <v>326.10</v>
      </c>
      <c r="G74" s="5" t="str">
        <f t="shared" si="22"/>
        <v>334.50</v>
      </c>
      <c r="H74" s="6" t="str">
        <f t="shared" si="28"/>
        <v xml:space="preserve">   </v>
      </c>
      <c r="I74" s="7" t="str">
        <f t="shared" si="29"/>
        <v xml:space="preserve">   </v>
      </c>
      <c r="J74" s="8" t="str">
        <f t="shared" si="30"/>
        <v xml:space="preserve">   </v>
      </c>
      <c r="K74" s="9" t="str">
        <f t="shared" si="31"/>
        <v xml:space="preserve">   </v>
      </c>
      <c r="L74" s="5"/>
    </row>
    <row r="75" spans="2:12" x14ac:dyDescent="0.25">
      <c r="B75" t="str">
        <f t="shared" si="27"/>
        <v>"CAIRN","open":"139.20","high":"144.80","low":"139.20","ltP":"144.30","ptsC":"6.25","per":"4.53","trdVol":"18.78","trdVolM":"1.88","ntP":"26.68","mVal":"0.27","wkhi":"197.90","wklo":"106.50","wkhicm_adj":"386.00","wklocm_adj":"255.00","xDt":"31-DEC-2999","cAct":"-","yPC":"-24.43","mPC":"-1.94"</v>
      </c>
      <c r="C75" s="12" t="s">
        <v>19</v>
      </c>
      <c r="D75" s="5" t="str">
        <f t="shared" si="22"/>
        <v>139.20</v>
      </c>
      <c r="E75" s="5" t="str">
        <f t="shared" si="22"/>
        <v>144.80</v>
      </c>
      <c r="F75" s="5" t="str">
        <f t="shared" si="22"/>
        <v>139.20</v>
      </c>
      <c r="G75" s="5" t="str">
        <f t="shared" si="22"/>
        <v>144.30</v>
      </c>
      <c r="H75" s="6" t="str">
        <f t="shared" si="28"/>
        <v xml:space="preserve">LONG </v>
      </c>
      <c r="I75" s="7">
        <f t="shared" si="29"/>
        <v>141</v>
      </c>
      <c r="J75" s="8">
        <f t="shared" si="30"/>
        <v>138.50399999999999</v>
      </c>
      <c r="K75" s="9">
        <f t="shared" si="31"/>
        <v>2.3404255319149019E-2</v>
      </c>
      <c r="L75" s="5"/>
    </row>
    <row r="76" spans="2:12" x14ac:dyDescent="0.25">
      <c r="B76" t="str">
        <f t="shared" si="27"/>
        <v>"CASTROLIND","open":"376.05","high":"379.45","low":"372.80","ltP":"375.65","ptsC":"-1.10","per":"-0.29","trdVol":"7.58","trdVolM":"0.76","ntP":"28.45","mVal":"0.28","wkhi":"513.80","wklo":"360.85","wkhicm_adj":"523.50","wklocm_adj":"283.10","xDt":"27-APR-2016","cAct":"ANNUAL GENERAL MEETING\/ DIVIDEND - RS 5\/- PER SHARE","yPC":"-20.32","mPC":"-3.58"</v>
      </c>
      <c r="C76" s="12" t="s">
        <v>76</v>
      </c>
      <c r="D76" s="5" t="str">
        <f t="shared" si="22"/>
        <v>376.05</v>
      </c>
      <c r="E76" s="5" t="str">
        <f t="shared" si="22"/>
        <v>379.45</v>
      </c>
      <c r="F76" s="5" t="str">
        <f t="shared" si="22"/>
        <v>372.80</v>
      </c>
      <c r="G76" s="5" t="str">
        <f t="shared" si="22"/>
        <v>375.65</v>
      </c>
      <c r="H76" s="6" t="str">
        <f t="shared" si="28"/>
        <v xml:space="preserve">   </v>
      </c>
      <c r="I76" s="7" t="str">
        <f t="shared" si="29"/>
        <v xml:space="preserve">   </v>
      </c>
      <c r="J76" s="8" t="str">
        <f t="shared" si="30"/>
        <v xml:space="preserve">   </v>
      </c>
      <c r="K76" s="9" t="str">
        <f t="shared" si="31"/>
        <v xml:space="preserve">   </v>
      </c>
      <c r="L76" s="5"/>
    </row>
    <row r="77" spans="2:12" x14ac:dyDescent="0.25">
      <c r="B77" t="str">
        <f t="shared" si="27"/>
        <v>"COLPAL","open":"838.00","high":"857.90","low":"835.80","ltP":"854.65","ptsC":"15.35","per":"1.83","trdVol":"1.97","trdVolM":"0.20","ntP":"16.68","mVal":"0.17","wkhi":"1,050.00","wklo":"787.20","wkhicm_adj":"2,049.00","wklocm_adj":"1,235.20","xDt":"06-APR-2016","cAct":"INTERIM DIVIDEND - RS 3\/- PER SHARE (PURPOSE REVISED)","yPC":"-14.29","mPC":"-0.11"</v>
      </c>
      <c r="C77" s="12" t="s">
        <v>77</v>
      </c>
      <c r="D77" s="5" t="str">
        <f t="shared" si="22"/>
        <v>838.00</v>
      </c>
      <c r="E77" s="5" t="str">
        <f t="shared" si="22"/>
        <v>857.90</v>
      </c>
      <c r="F77" s="5" t="str">
        <f t="shared" si="22"/>
        <v>835.80</v>
      </c>
      <c r="G77" s="5" t="str">
        <f t="shared" si="22"/>
        <v>854.65</v>
      </c>
      <c r="H77" s="6" t="str">
        <f t="shared" si="28"/>
        <v xml:space="preserve">   </v>
      </c>
      <c r="I77" s="7" t="str">
        <f t="shared" si="29"/>
        <v xml:space="preserve">   </v>
      </c>
      <c r="J77" s="8" t="str">
        <f t="shared" si="30"/>
        <v xml:space="preserve">   </v>
      </c>
      <c r="K77" s="9" t="str">
        <f t="shared" si="31"/>
        <v xml:space="preserve">   </v>
      </c>
      <c r="L77" s="5"/>
    </row>
    <row r="78" spans="2:12" x14ac:dyDescent="0.25">
      <c r="B78" t="str">
        <f t="shared" si="27"/>
        <v>"CONCOR","open":"1,385.05","high":"1,448.00","low":"1,385.05","ltP":"1,438.00","ptsC":"57.75","per":"4.18","trdVol":"3.22","trdVolM":"0.32","ntP":"46.16","mVal":"0.46","wkhi":"1,947.70","wklo":"1,051.00","wkhicm_adj":"1,504.70","wklocm_adj":"697.55","xDt":"31-DEC-2999","cAct":"-","yPC":"-14.82","mPC":"6.78"</v>
      </c>
      <c r="C78" s="12" t="s">
        <v>78</v>
      </c>
      <c r="D78" s="5" t="str">
        <f t="shared" si="22"/>
        <v>1,385.05</v>
      </c>
      <c r="E78" s="5" t="str">
        <f t="shared" si="22"/>
        <v>1,448.00</v>
      </c>
      <c r="F78" s="5" t="str">
        <f t="shared" si="22"/>
        <v>1,385.05</v>
      </c>
      <c r="G78" s="5" t="str">
        <f t="shared" si="22"/>
        <v>1,438.00</v>
      </c>
      <c r="H78" s="6" t="str">
        <f t="shared" si="28"/>
        <v xml:space="preserve">LONG </v>
      </c>
      <c r="I78" s="7">
        <f t="shared" si="29"/>
        <v>1391</v>
      </c>
      <c r="J78" s="8">
        <f t="shared" si="30"/>
        <v>1378.1247499999999</v>
      </c>
      <c r="K78" s="9">
        <f t="shared" si="31"/>
        <v>3.3788641265276781E-2</v>
      </c>
      <c r="L78" s="5"/>
    </row>
    <row r="79" spans="2:12" x14ac:dyDescent="0.25">
      <c r="B79" t="str">
        <f t="shared" si="27"/>
        <v>"CUMMINSIND","open":"778.00","high":"793.90","low":"778.00","ltP":"790.00","ptsC":"6.10","per":"0.78","trdVol":"2.67","trdVolM":"0.27","ntP":"21.04","mVal":"0.21","wkhi":"1,247.65","wklo":"746.15","wkhicm_adj":"955.60","wklocm_adj":"417.70","xDt":"31-DEC-2999","cAct":"-","yPC":"-7.09","mPC":"-11.09"</v>
      </c>
      <c r="C79" s="12" t="s">
        <v>79</v>
      </c>
      <c r="D79" s="5" t="str">
        <f t="shared" si="22"/>
        <v>778.00</v>
      </c>
      <c r="E79" s="5" t="str">
        <f t="shared" si="22"/>
        <v>793.90</v>
      </c>
      <c r="F79" s="5" t="str">
        <f t="shared" si="22"/>
        <v>778.00</v>
      </c>
      <c r="G79" s="5" t="str">
        <f t="shared" si="22"/>
        <v>790.00</v>
      </c>
      <c r="H79" s="6" t="str">
        <f t="shared" si="28"/>
        <v xml:space="preserve">LONG </v>
      </c>
      <c r="I79" s="7">
        <f t="shared" si="29"/>
        <v>783</v>
      </c>
      <c r="J79" s="8">
        <f t="shared" si="30"/>
        <v>774.11</v>
      </c>
      <c r="K79" s="9">
        <f t="shared" si="31"/>
        <v>8.9399744572158362E-3</v>
      </c>
      <c r="L79" s="5"/>
    </row>
    <row r="80" spans="2:12" x14ac:dyDescent="0.25">
      <c r="B80" t="str">
        <f t="shared" si="27"/>
        <v>"DABUR","open":"295.55","high":"299.90","low":"292.00","ltP":"297.05","ptsC":"1.25","per":"0.42","trdVol":"7.94","trdVolM":"0.79","ntP":"23.61","mVal":"0.24","wkhi":"316.40","wklo":"231.50","wkhicm_adj":"249.15","wklocm_adj":"159.50","xDt":"31-DEC-2999","cAct":"-","yPC":"9.33","mPC":"9.01"</v>
      </c>
      <c r="C80" s="12" t="s">
        <v>80</v>
      </c>
      <c r="D80" s="5" t="str">
        <f t="shared" si="22"/>
        <v>295.55</v>
      </c>
      <c r="E80" s="5" t="str">
        <f t="shared" si="22"/>
        <v>299.90</v>
      </c>
      <c r="F80" s="5" t="str">
        <f t="shared" si="22"/>
        <v>292.00</v>
      </c>
      <c r="G80" s="5" t="str">
        <f t="shared" si="22"/>
        <v>297.05</v>
      </c>
      <c r="H80" s="6" t="str">
        <f t="shared" si="28"/>
        <v xml:space="preserve">   </v>
      </c>
      <c r="I80" s="7" t="str">
        <f t="shared" si="29"/>
        <v xml:space="preserve">   </v>
      </c>
      <c r="J80" s="8" t="str">
        <f t="shared" si="30"/>
        <v xml:space="preserve">   </v>
      </c>
      <c r="K80" s="9" t="str">
        <f t="shared" si="31"/>
        <v xml:space="preserve">   </v>
      </c>
      <c r="L80" s="5"/>
    </row>
    <row r="81" spans="2:12" x14ac:dyDescent="0.25">
      <c r="B81" t="str">
        <f t="shared" si="27"/>
        <v>"DIVISLAB","open":"1,120.65","high":"1,120.80","low":"1,081.00","ltP":"1,116.00","ptsC":"31.35","per":"2.89","trdVol":"6.94","trdVolM":"0.69","ntP":"76.16","mVal":"0.76","wkhi":"1,242.35","wklo":"863.90","wkhicm_adj":"1,888.05","wklocm_adj":"1,097.00","xDt":"17-MAR-2016","cAct":"INTERIM DIVIDEND - RS 10\/- PER SHARE (PURPOSE REVISED)","yPC":"-38.27","mPC":"7.08"</v>
      </c>
      <c r="C81" s="12" t="s">
        <v>81</v>
      </c>
      <c r="D81" s="5" t="str">
        <f t="shared" si="22"/>
        <v>1,120.65</v>
      </c>
      <c r="E81" s="5" t="str">
        <f t="shared" si="22"/>
        <v>1,120.80</v>
      </c>
      <c r="F81" s="5" t="str">
        <f t="shared" si="22"/>
        <v>1,081.00</v>
      </c>
      <c r="G81" s="5" t="str">
        <f t="shared" si="22"/>
        <v>1,116.00</v>
      </c>
      <c r="H81" s="6" t="str">
        <f t="shared" si="28"/>
        <v xml:space="preserve">   </v>
      </c>
      <c r="I81" s="7" t="str">
        <f t="shared" si="29"/>
        <v xml:space="preserve">   </v>
      </c>
      <c r="J81" s="8" t="str">
        <f t="shared" si="30"/>
        <v xml:space="preserve">   </v>
      </c>
      <c r="K81" s="9" t="str">
        <f t="shared" si="31"/>
        <v xml:space="preserve">   </v>
      </c>
      <c r="L81" s="5"/>
    </row>
    <row r="82" spans="2:12" x14ac:dyDescent="0.25">
      <c r="B82" t="str">
        <f t="shared" si="27"/>
        <v>"DLF","open":"129.00","high":"133.90","low":"126.05","ltP":"126.15","ptsC":"-2.80","per":"-2.17","trdVol":"115.31","trdVolM":"11.53","ntP":"148.79","mVal":"1.49","wkhi":"142.90","wklo":"72.35","wkhicm_adj":"242.95","wklocm_adj":"100.10","xDt":"28-MAR-2016","cAct":"INTERIM DIVIDEND - RS 2\/- PER SHARE (PURPOSE REVISED)","yPC":"5.65","mPC":"2.31"</v>
      </c>
      <c r="C82" s="12" t="s">
        <v>82</v>
      </c>
      <c r="D82" s="5" t="str">
        <f t="shared" si="22"/>
        <v>129.00</v>
      </c>
      <c r="E82" s="5" t="str">
        <f t="shared" si="22"/>
        <v>133.90</v>
      </c>
      <c r="F82" s="5" t="str">
        <f t="shared" si="22"/>
        <v>126.05</v>
      </c>
      <c r="G82" s="5" t="str">
        <f t="shared" si="22"/>
        <v>126.15</v>
      </c>
      <c r="H82" s="6" t="str">
        <f t="shared" si="28"/>
        <v xml:space="preserve">   </v>
      </c>
      <c r="I82" s="7" t="str">
        <f t="shared" si="29"/>
        <v xml:space="preserve">   </v>
      </c>
      <c r="J82" s="8" t="str">
        <f t="shared" si="30"/>
        <v xml:space="preserve">   </v>
      </c>
      <c r="K82" s="9" t="str">
        <f t="shared" si="31"/>
        <v xml:space="preserve">   </v>
      </c>
      <c r="L82" s="5"/>
    </row>
    <row r="83" spans="2:12" x14ac:dyDescent="0.25">
      <c r="B83" t="str">
        <f t="shared" si="27"/>
        <v>"EMAMILTD","open":"1,016.20","high":"1,032.00","low":"1,007.50","ltP":"1,017.80","ptsC":"2.90","per":"0.29","trdVol":"1.00","trdVolM":"0.10","ntP":"10.23","mVal":"0.10","wkhi":"1,365.00","wklo":"901.00","wkhicm_adj":"824.70","wklocm_adj":"420.00","xDt":"31-DEC-2999","cAct":"-","yPC":"-7.80","mPC":"1.03"</v>
      </c>
      <c r="C83" s="12" t="s">
        <v>83</v>
      </c>
      <c r="D83" s="5" t="str">
        <f t="shared" si="22"/>
        <v>1,016.20</v>
      </c>
      <c r="E83" s="5" t="str">
        <f t="shared" si="22"/>
        <v>1,032.00</v>
      </c>
      <c r="F83" s="5" t="str">
        <f t="shared" si="22"/>
        <v>1,007.50</v>
      </c>
      <c r="G83" s="5" t="str">
        <f t="shared" si="22"/>
        <v>1,017.80</v>
      </c>
      <c r="H83" s="6" t="str">
        <f t="shared" si="28"/>
        <v xml:space="preserve">   </v>
      </c>
      <c r="I83" s="7" t="str">
        <f t="shared" si="29"/>
        <v xml:space="preserve">   </v>
      </c>
      <c r="J83" s="8" t="str">
        <f t="shared" si="30"/>
        <v xml:space="preserve">   </v>
      </c>
      <c r="K83" s="9" t="str">
        <f t="shared" si="31"/>
        <v xml:space="preserve">   </v>
      </c>
      <c r="L83" s="5"/>
    </row>
    <row r="84" spans="2:12" x14ac:dyDescent="0.25">
      <c r="B84" t="str">
        <f t="shared" si="27"/>
        <v>"GLAXO","open":"3,482.00","high":"3,594.00","low":"3,482.00","ltP":"3,559.00","ptsC":"30.65","per":"0.87","trdVol":"0.05","trdVolM":"0.01","ntP":"1.87","mVal":"0.02","wkhi":"3,872.00","wklo":"3,032.05","wkhicm_adj":"3,054.50","wklocm_adj":"2,365.00","xDt":"31-DEC-2999","cAct":"-","yPC":"11.19","mPC":"-5.57"</v>
      </c>
      <c r="C84" s="12" t="s">
        <v>84</v>
      </c>
      <c r="D84" s="5" t="str">
        <f t="shared" si="22"/>
        <v>3,482.00</v>
      </c>
      <c r="E84" s="5" t="str">
        <f t="shared" si="22"/>
        <v>3,594.00</v>
      </c>
      <c r="F84" s="5" t="str">
        <f t="shared" si="22"/>
        <v>3,482.00</v>
      </c>
      <c r="G84" s="5" t="str">
        <f t="shared" si="22"/>
        <v>3,559.00</v>
      </c>
      <c r="H84" s="6" t="str">
        <f t="shared" si="28"/>
        <v xml:space="preserve">LONG </v>
      </c>
      <c r="I84" s="7">
        <f t="shared" si="29"/>
        <v>3492</v>
      </c>
      <c r="J84" s="8">
        <f t="shared" si="30"/>
        <v>3464.59</v>
      </c>
      <c r="K84" s="9">
        <f t="shared" si="31"/>
        <v>1.9186712485681559E-2</v>
      </c>
      <c r="L84" s="5"/>
    </row>
    <row r="85" spans="2:12" x14ac:dyDescent="0.25">
      <c r="B85" t="str">
        <f t="shared" si="27"/>
        <v>"GLENMARK","open":"876.50","high":"887.35","low":"873.45","ltP":"877.00","ptsC":"1.50","per":"0.17","trdVol":"2.86","trdVolM":"0.29","ntP":"25.15","mVal":"0.25","wkhi":"1,262.90","wklo":"671.10","wkhicm_adj":"841.00","wklocm_adj":"493.00","xDt":"31-DEC-2999","cAct":"-","yPC":"2.28","mPC":"6.09"</v>
      </c>
      <c r="C85" s="12" t="s">
        <v>85</v>
      </c>
      <c r="D85" s="5" t="str">
        <f t="shared" si="22"/>
        <v>876.50</v>
      </c>
      <c r="E85" s="5" t="str">
        <f t="shared" si="22"/>
        <v>887.35</v>
      </c>
      <c r="F85" s="5" t="str">
        <f t="shared" si="22"/>
        <v>873.45</v>
      </c>
      <c r="G85" s="5" t="str">
        <f t="shared" si="22"/>
        <v>877.00</v>
      </c>
      <c r="H85" s="6" t="str">
        <f t="shared" si="28"/>
        <v xml:space="preserve">   </v>
      </c>
      <c r="I85" s="7" t="str">
        <f t="shared" si="29"/>
        <v xml:space="preserve">   </v>
      </c>
      <c r="J85" s="8" t="str">
        <f t="shared" si="30"/>
        <v xml:space="preserve">   </v>
      </c>
      <c r="K85" s="9" t="str">
        <f t="shared" si="31"/>
        <v xml:space="preserve">   </v>
      </c>
      <c r="L85" s="5"/>
    </row>
    <row r="86" spans="2:12" x14ac:dyDescent="0.25">
      <c r="B86" t="str">
        <f t="shared" si="27"/>
        <v>"GODREJCP","open":"1,527.10","high":"1,536.85","low":"1,512.00","ltP":"1,521.20","ptsC":"-5.25","per":"-0.34","trdVol":"1.98","trdVolM":"0.20","ntP":"30.21","mVal":"0.30","wkhi":"1,536.85","wklo":"1,037.00","wkhicm_adj":"1,119.00","wklocm_adj":"667.00","xDt":"10-MAY-2016","cAct":"INTERIM DIVIDEND - RS 2.75\/- PER SHARE (PURPOSE REVISED)","yPC":"38.76","mPC":"11.15"</v>
      </c>
      <c r="C86" s="12" t="s">
        <v>86</v>
      </c>
      <c r="D86" s="5" t="str">
        <f t="shared" ref="D86:G105" si="32">MID($B86,FIND(D$9,$B86)+LEN(D$9)+3,FIND(CHAR(34),$B86,FIND(D$9,$B86)+LEN(D$9)+3)-(FIND(D$9,$B86)+LEN(D$9)+3))</f>
        <v>1,527.10</v>
      </c>
      <c r="E86" s="5" t="str">
        <f t="shared" si="32"/>
        <v>1,536.85</v>
      </c>
      <c r="F86" s="5" t="str">
        <f t="shared" si="32"/>
        <v>1,512.00</v>
      </c>
      <c r="G86" s="5" t="str">
        <f t="shared" si="32"/>
        <v>1,521.20</v>
      </c>
      <c r="H86" s="6" t="str">
        <f t="shared" si="28"/>
        <v xml:space="preserve">   </v>
      </c>
      <c r="I86" s="7" t="str">
        <f t="shared" si="29"/>
        <v xml:space="preserve">   </v>
      </c>
      <c r="J86" s="8" t="str">
        <f t="shared" si="30"/>
        <v xml:space="preserve">   </v>
      </c>
      <c r="K86" s="9" t="str">
        <f t="shared" si="31"/>
        <v xml:space="preserve">   </v>
      </c>
      <c r="L86" s="5"/>
    </row>
    <row r="87" spans="2:12" x14ac:dyDescent="0.25">
      <c r="B87" t="str">
        <f t="shared" si="27"/>
        <v>"GSKCONS","open":"5,919.00","high":"6,036.00","low":"5,880.00","ltP":"5,948.00","ptsC":"35.20","per":"0.60","trdVol":"0.09","trdVolM":"0.01","ntP":"5.41","mVal":"0.05","wkhi":"6,800.00","wklo":"5,405.00","wkhicm_adj":"5,999.00","wklocm_adj":"4,011.00","xDt":"31-DEC-2999","cAct":"-","yPC":"-6.72","mPC":"-1.14"</v>
      </c>
      <c r="C87" s="12" t="s">
        <v>87</v>
      </c>
      <c r="D87" s="5" t="str">
        <f t="shared" si="32"/>
        <v>5,919.00</v>
      </c>
      <c r="E87" s="5" t="str">
        <f t="shared" si="32"/>
        <v>6,036.00</v>
      </c>
      <c r="F87" s="5" t="str">
        <f t="shared" si="32"/>
        <v>5,880.00</v>
      </c>
      <c r="G87" s="5" t="str">
        <f t="shared" si="32"/>
        <v>5,948.00</v>
      </c>
      <c r="H87" s="6" t="str">
        <f t="shared" si="28"/>
        <v xml:space="preserve">   </v>
      </c>
      <c r="I87" s="7" t="str">
        <f t="shared" si="29"/>
        <v xml:space="preserve">   </v>
      </c>
      <c r="J87" s="8" t="str">
        <f t="shared" si="30"/>
        <v xml:space="preserve">   </v>
      </c>
      <c r="K87" s="9" t="str">
        <f t="shared" si="31"/>
        <v xml:space="preserve">   </v>
      </c>
      <c r="L87" s="5"/>
    </row>
    <row r="88" spans="2:12" x14ac:dyDescent="0.25">
      <c r="B88" t="str">
        <f t="shared" si="27"/>
        <v>"HINDPETRO","open":"938.00","high":"945.10","low":"910.05","ltP":"914.55","ptsC":"-17.10","per":"-1.84","trdVol":"21.94","trdVolM":"2.19","ntP":"201.49","mVal":"2.01","wkhi":"990.95","wklo":"625.70","wkhicm_adj":"627.80","wklocm_adj":"205.05","xDt":"17-MAR-2016","cAct":"INTERIM DIVIDEND - RS 7\/- PER SHARE (PURPOSE REVISED)","yPC":"43.83","mPC":"6.58"</v>
      </c>
      <c r="C88" s="12" t="s">
        <v>66</v>
      </c>
      <c r="D88" s="5" t="str">
        <f t="shared" si="32"/>
        <v>938.00</v>
      </c>
      <c r="E88" s="5" t="str">
        <f t="shared" si="32"/>
        <v>945.10</v>
      </c>
      <c r="F88" s="5" t="str">
        <f t="shared" si="32"/>
        <v>910.05</v>
      </c>
      <c r="G88" s="5" t="str">
        <f t="shared" si="32"/>
        <v>914.55</v>
      </c>
      <c r="H88" s="6" t="str">
        <f t="shared" si="28"/>
        <v xml:space="preserve">   </v>
      </c>
      <c r="I88" s="7" t="str">
        <f t="shared" si="29"/>
        <v xml:space="preserve">   </v>
      </c>
      <c r="J88" s="8" t="str">
        <f t="shared" si="30"/>
        <v xml:space="preserve">   </v>
      </c>
      <c r="K88" s="9" t="str">
        <f t="shared" si="31"/>
        <v xml:space="preserve">   </v>
      </c>
      <c r="L88" s="5"/>
    </row>
    <row r="89" spans="2:12" x14ac:dyDescent="0.25">
      <c r="B89" t="str">
        <f t="shared" si="27"/>
        <v>"HINDZINC","open":"169.95","high":"172.90","low":"167.15","ltP":"171.55","ptsC":"3.05","per":"1.81","trdVol":"9.76","trdVolM":"0.98","ntP":"16.60","mVal":"0.17","wkhi":"196.80","wklo":"117.05","wkhicm_adj":"184.00","wklocm_adj":"114.80","xDt":"31-DEC-2999","cAct":"-","yPC":"0.15","mPC":"-0.78"</v>
      </c>
      <c r="C89" s="12" t="s">
        <v>88</v>
      </c>
      <c r="D89" s="5" t="str">
        <f t="shared" si="32"/>
        <v>169.95</v>
      </c>
      <c r="E89" s="5" t="str">
        <f t="shared" si="32"/>
        <v>172.90</v>
      </c>
      <c r="F89" s="5" t="str">
        <f t="shared" si="32"/>
        <v>167.15</v>
      </c>
      <c r="G89" s="5" t="str">
        <f t="shared" si="32"/>
        <v>171.55</v>
      </c>
      <c r="H89" s="6" t="str">
        <f t="shared" si="28"/>
        <v xml:space="preserve">   </v>
      </c>
      <c r="I89" s="7" t="str">
        <f t="shared" si="29"/>
        <v xml:space="preserve">   </v>
      </c>
      <c r="J89" s="8" t="str">
        <f t="shared" si="30"/>
        <v xml:space="preserve">   </v>
      </c>
      <c r="K89" s="9" t="str">
        <f t="shared" si="31"/>
        <v xml:space="preserve">   </v>
      </c>
      <c r="L89" s="5"/>
    </row>
    <row r="90" spans="2:12" x14ac:dyDescent="0.25">
      <c r="B90" t="str">
        <f t="shared" si="27"/>
        <v>"IBULHSGFIN","open":"750.00","high":"754.25","low":"730.25","ltP":"737.45","ptsC":"-6.30","per":"-0.85","trdVol":"6.78","trdVolM":"0.68","ntP":"50.45","mVal":"0.50","wkhi":"820.85","wklo":"541.50","wkhicm_adj":"484.95","wklocm_adj":"187.05","xDt":"18-MAR-2016","cAct":"INTERIM DIVIDEND - RS 9\/- PER SHARE","yPC":"24.35","mPC":"4.92"</v>
      </c>
      <c r="C90" s="12" t="s">
        <v>89</v>
      </c>
      <c r="D90" s="5" t="str">
        <f t="shared" si="32"/>
        <v>750.00</v>
      </c>
      <c r="E90" s="5" t="str">
        <f t="shared" si="32"/>
        <v>754.25</v>
      </c>
      <c r="F90" s="5" t="str">
        <f t="shared" si="32"/>
        <v>730.25</v>
      </c>
      <c r="G90" s="5" t="str">
        <f t="shared" si="32"/>
        <v>737.45</v>
      </c>
      <c r="H90" s="6" t="str">
        <f t="shared" si="28"/>
        <v xml:space="preserve">   </v>
      </c>
      <c r="I90" s="7" t="str">
        <f t="shared" si="29"/>
        <v xml:space="preserve">   </v>
      </c>
      <c r="J90" s="8" t="str">
        <f t="shared" si="30"/>
        <v xml:space="preserve">   </v>
      </c>
      <c r="K90" s="9" t="str">
        <f t="shared" si="31"/>
        <v xml:space="preserve">   </v>
      </c>
      <c r="L90" s="5"/>
    </row>
    <row r="91" spans="2:12" x14ac:dyDescent="0.25">
      <c r="B91" t="str">
        <f t="shared" si="27"/>
        <v>"IOC","open":"412.00","high":"412.80","low":"402.05","ltP":"402.60","ptsC":"-10.35","per":"-2.51","trdVol":"19.80","trdVolM":"1.98","ntP":"80.31","mVal":"0.80","wkhi":"465.90","wklo":"336.20","wkhicm_adj":"411.20","wklocm_adj":"193.75","xDt":"31-DEC-2999","cAct":"-","yPC":"11.63","mPC":"-7.90"</v>
      </c>
      <c r="C91" s="12" t="s">
        <v>90</v>
      </c>
      <c r="D91" s="5" t="str">
        <f t="shared" si="32"/>
        <v>412.00</v>
      </c>
      <c r="E91" s="5" t="str">
        <f t="shared" si="32"/>
        <v>412.80</v>
      </c>
      <c r="F91" s="5" t="str">
        <f t="shared" si="32"/>
        <v>402.05</v>
      </c>
      <c r="G91" s="5" t="str">
        <f t="shared" si="32"/>
        <v>402.60</v>
      </c>
      <c r="H91" s="6" t="str">
        <f t="shared" si="28"/>
        <v xml:space="preserve">   </v>
      </c>
      <c r="I91" s="7" t="str">
        <f t="shared" si="29"/>
        <v xml:space="preserve">   </v>
      </c>
      <c r="J91" s="8" t="str">
        <f t="shared" si="30"/>
        <v xml:space="preserve">   </v>
      </c>
      <c r="K91" s="9" t="str">
        <f t="shared" si="31"/>
        <v xml:space="preserve">   </v>
      </c>
      <c r="L91" s="5"/>
    </row>
    <row r="92" spans="2:12" x14ac:dyDescent="0.25">
      <c r="B92" t="str">
        <f t="shared" si="27"/>
        <v>"JSWSTEEL","open":"1,378.00","high":"1,393.00","low":"1,357.80","ltP":"1,365.00","ptsC":"-10.65","per":"-0.77","trdVol":"5.17","trdVolM":"0.52","ntP":"71.07","mVal":"0.71","wkhi":"1,393.00","wklo":"800.00","wkhicm_adj":"1,366.50","wklocm_adj":"804.00","xDt":"31-DEC-2999","cAct":"-","yPC":"49.00","mPC":"0.18"</v>
      </c>
      <c r="C92" s="12" t="s">
        <v>91</v>
      </c>
      <c r="D92" s="5" t="str">
        <f t="shared" si="32"/>
        <v>1,378.00</v>
      </c>
      <c r="E92" s="5" t="str">
        <f t="shared" si="32"/>
        <v>1,393.00</v>
      </c>
      <c r="F92" s="5" t="str">
        <f t="shared" si="32"/>
        <v>1,357.80</v>
      </c>
      <c r="G92" s="5" t="str">
        <f t="shared" si="32"/>
        <v>1,365.00</v>
      </c>
      <c r="H92" s="6" t="str">
        <f t="shared" si="28"/>
        <v xml:space="preserve">   </v>
      </c>
      <c r="I92" s="7" t="str">
        <f t="shared" si="29"/>
        <v xml:space="preserve">   </v>
      </c>
      <c r="J92" s="8" t="str">
        <f t="shared" si="30"/>
        <v xml:space="preserve">   </v>
      </c>
      <c r="K92" s="9" t="str">
        <f t="shared" si="31"/>
        <v xml:space="preserve">   </v>
      </c>
      <c r="L92" s="5"/>
    </row>
    <row r="93" spans="2:12" x14ac:dyDescent="0.25">
      <c r="B93" t="str">
        <f t="shared" si="27"/>
        <v>"LICHSGFIN","open":"463.90","high":"470.40","low":"460.55","ltP":"468.00","ptsC":"6.05","per":"1.31","trdVol":"15.45","trdVolM":"1.54","ntP":"72.05","mVal":"0.72","wkhi":"523.95","wklo":"388.65","wkhicm_adj":"429.50","wklocm_adj":"187.05","xDt":"31-DEC-2999","cAct":"-","yPC":"13.81","mPC":"1.18"</v>
      </c>
      <c r="C93" s="12" t="s">
        <v>92</v>
      </c>
      <c r="D93" s="5" t="str">
        <f t="shared" si="32"/>
        <v>463.90</v>
      </c>
      <c r="E93" s="5" t="str">
        <f t="shared" si="32"/>
        <v>470.40</v>
      </c>
      <c r="F93" s="5" t="str">
        <f t="shared" si="32"/>
        <v>460.55</v>
      </c>
      <c r="G93" s="5" t="str">
        <f t="shared" si="32"/>
        <v>468.00</v>
      </c>
      <c r="H93" s="6" t="str">
        <f t="shared" si="28"/>
        <v xml:space="preserve">   </v>
      </c>
      <c r="I93" s="7" t="str">
        <f t="shared" si="29"/>
        <v xml:space="preserve">   </v>
      </c>
      <c r="J93" s="8" t="str">
        <f t="shared" si="30"/>
        <v xml:space="preserve">   </v>
      </c>
      <c r="K93" s="9" t="str">
        <f t="shared" si="31"/>
        <v xml:space="preserve">   </v>
      </c>
      <c r="L93" s="5"/>
    </row>
    <row r="94" spans="2:12" x14ac:dyDescent="0.25">
      <c r="B94" t="str">
        <f t="shared" si="27"/>
        <v>"MARICO","open":"257.00","high":"260.45","low":"252.60","ltP":"252.75","ptsC":"-4.55","per":"-1.77","trdVol":"5.42","trdVolM":"0.54","ntP":"13.87","mVal":"0.14","wkhi":"269.25","wklo":"189.30","wkhicm_adj":"350.20","wklocm_adj":"200.05","xDt":"17-MAR-2016","cAct":"INTERIM DIVIDEND - RE 1\/- PER SHARE (PURPOSE REVISED)","yPC":"-38.32","mPC":"1.10"</v>
      </c>
      <c r="C94" s="12" t="s">
        <v>93</v>
      </c>
      <c r="D94" s="5" t="str">
        <f t="shared" si="32"/>
        <v>257.00</v>
      </c>
      <c r="E94" s="5" t="str">
        <f t="shared" si="32"/>
        <v>260.45</v>
      </c>
      <c r="F94" s="5" t="str">
        <f t="shared" si="32"/>
        <v>252.60</v>
      </c>
      <c r="G94" s="5" t="str">
        <f t="shared" si="32"/>
        <v>252.75</v>
      </c>
      <c r="H94" s="6" t="str">
        <f t="shared" si="28"/>
        <v xml:space="preserve">   </v>
      </c>
      <c r="I94" s="7" t="str">
        <f t="shared" si="29"/>
        <v xml:space="preserve">   </v>
      </c>
      <c r="J94" s="8" t="str">
        <f t="shared" si="30"/>
        <v xml:space="preserve">   </v>
      </c>
      <c r="K94" s="9" t="str">
        <f t="shared" si="31"/>
        <v xml:space="preserve">   </v>
      </c>
      <c r="L94" s="5"/>
    </row>
    <row r="95" spans="2:12" x14ac:dyDescent="0.25">
      <c r="B95" t="str">
        <f t="shared" si="27"/>
        <v>"MCDOWELL-N","open":"2,505.00","high":"2,507.00","low":"2,464.10","ltP":"2,476.15","ptsC":"-5.00","per":"-0.20","trdVol":"1.56","trdVolM":"0.16","ntP":"38.73","mVal":"0.39","wkhi":"3,837.90","wklo":"2,225.45","wkhicm_adj":"2,940.80","wklocm_adj":"2,225.00","xDt":"31-DEC-2999","cAct":"-","yPC":"-27.74","mPC":"4.77"</v>
      </c>
      <c r="C95" s="12" t="s">
        <v>94</v>
      </c>
      <c r="D95" s="5" t="str">
        <f t="shared" si="32"/>
        <v>2,505.00</v>
      </c>
      <c r="E95" s="5" t="str">
        <f t="shared" si="32"/>
        <v>2,507.00</v>
      </c>
      <c r="F95" s="5" t="str">
        <f t="shared" si="32"/>
        <v>2,464.10</v>
      </c>
      <c r="G95" s="5" t="str">
        <f t="shared" si="32"/>
        <v>2,476.15</v>
      </c>
      <c r="H95" s="6" t="str">
        <f t="shared" si="28"/>
        <v xml:space="preserve">   </v>
      </c>
      <c r="I95" s="7" t="str">
        <f t="shared" si="29"/>
        <v xml:space="preserve">   </v>
      </c>
      <c r="J95" s="8" t="str">
        <f t="shared" si="30"/>
        <v xml:space="preserve">   </v>
      </c>
      <c r="K95" s="9" t="str">
        <f t="shared" si="31"/>
        <v xml:space="preserve">   </v>
      </c>
      <c r="L95" s="5"/>
    </row>
    <row r="96" spans="2:12" x14ac:dyDescent="0.25">
      <c r="B96" t="str">
        <f t="shared" si="27"/>
        <v>"MOTHERSUMI","open":"278.10","high":"286.75","low":"276.00","ltP":"283.00","ptsC":"3.75","per":"1.34","trdVol":"25.61","trdVolM":"2.56","ntP":"72.47","mVal":"0.72","wkhi":"396.00","wklo":"205.90","wkhicm_adj":"450.70","wklocm_adj":"178.25","xDt":"22-MAR-2016","cAct":"INTERIM DIVIDEND - RS 2.50\/- PER SHARE (PURPOSE REVISED)","yPC":"-40.26","mPC":"7.60"</v>
      </c>
      <c r="C96" s="12" t="s">
        <v>95</v>
      </c>
      <c r="D96" s="5" t="str">
        <f t="shared" si="32"/>
        <v>278.10</v>
      </c>
      <c r="E96" s="5" t="str">
        <f t="shared" si="32"/>
        <v>286.75</v>
      </c>
      <c r="F96" s="5" t="str">
        <f t="shared" si="32"/>
        <v>276.00</v>
      </c>
      <c r="G96" s="5" t="str">
        <f t="shared" si="32"/>
        <v>283.00</v>
      </c>
      <c r="H96" s="6" t="str">
        <f t="shared" si="28"/>
        <v xml:space="preserve">   </v>
      </c>
      <c r="I96" s="7" t="str">
        <f t="shared" si="29"/>
        <v xml:space="preserve">   </v>
      </c>
      <c r="J96" s="8" t="str">
        <f t="shared" si="30"/>
        <v xml:space="preserve">   </v>
      </c>
      <c r="K96" s="9" t="str">
        <f t="shared" si="31"/>
        <v xml:space="preserve">   </v>
      </c>
      <c r="L96" s="5"/>
    </row>
    <row r="97" spans="2:12" x14ac:dyDescent="0.25">
      <c r="B97" t="str">
        <f t="shared" si="27"/>
        <v>"NHPC","open":"22.80","high":"23.95","low":"22.05","ltP":"22.90","ptsC":"-0.20","per":"-0.87","trdVol":"129.74","trdVolM":"12.97","ntP":"29.68","mVal":"0.30","wkhi":"24.45","wklo":"15.55","wkhicm_adj":"29.60","wklocm_adj":"17.35","xDt":"31-DEC-2999","cAct":"-","yPC":"13.37","mPC":"6.26"</v>
      </c>
      <c r="C97" s="12" t="s">
        <v>96</v>
      </c>
      <c r="D97" s="5" t="str">
        <f t="shared" si="32"/>
        <v>22.80</v>
      </c>
      <c r="E97" s="5" t="str">
        <f t="shared" si="32"/>
        <v>23.95</v>
      </c>
      <c r="F97" s="5" t="str">
        <f t="shared" si="32"/>
        <v>22.05</v>
      </c>
      <c r="G97" s="5" t="str">
        <f t="shared" si="32"/>
        <v>22.90</v>
      </c>
      <c r="H97" s="6" t="str">
        <f t="shared" si="28"/>
        <v xml:space="preserve">   </v>
      </c>
      <c r="I97" s="7" t="str">
        <f t="shared" si="29"/>
        <v xml:space="preserve">   </v>
      </c>
      <c r="J97" s="8" t="str">
        <f t="shared" si="30"/>
        <v xml:space="preserve">   </v>
      </c>
      <c r="K97" s="9" t="str">
        <f t="shared" si="31"/>
        <v xml:space="preserve">   </v>
      </c>
      <c r="L97" s="5"/>
    </row>
    <row r="98" spans="2:12" x14ac:dyDescent="0.25">
      <c r="B98" t="str">
        <f t="shared" si="27"/>
        <v>"NMDC","open":"93.05","high":"93.25","low":"87.95","ltP":"89.30","ptsC":"-3.40","per":"-3.67","trdVol":"28.91","trdVolM":"2.89","ntP":"26.13","mVal":"0.26","wkhi":"133.50","wklo":"75.15","wkhicm_adj":"196.00","wklocm_adj":"123.10","xDt":"30-MAR-2016","cAct":"INTERIM DIVIDEND - RS 1.50\/- PER SHARE (PURPOSE REVISED)","yPC":"-32.01","mPC":"-9.57"</v>
      </c>
      <c r="C98" s="12" t="s">
        <v>59</v>
      </c>
      <c r="D98" s="5" t="str">
        <f t="shared" si="32"/>
        <v>93.05</v>
      </c>
      <c r="E98" s="5" t="str">
        <f t="shared" si="32"/>
        <v>93.25</v>
      </c>
      <c r="F98" s="5" t="str">
        <f t="shared" si="32"/>
        <v>87.95</v>
      </c>
      <c r="G98" s="5" t="str">
        <f t="shared" si="32"/>
        <v>89.30</v>
      </c>
      <c r="H98" s="6" t="str">
        <f t="shared" si="28"/>
        <v xml:space="preserve">   </v>
      </c>
      <c r="I98" s="7" t="str">
        <f t="shared" si="29"/>
        <v xml:space="preserve">   </v>
      </c>
      <c r="J98" s="8" t="str">
        <f t="shared" si="30"/>
        <v xml:space="preserve">   </v>
      </c>
      <c r="K98" s="9" t="str">
        <f t="shared" si="31"/>
        <v xml:space="preserve">   </v>
      </c>
      <c r="L98" s="5"/>
    </row>
    <row r="99" spans="2:12" x14ac:dyDescent="0.25">
      <c r="B99" t="str">
        <f t="shared" si="27"/>
        <v>"OFSS","open":"3,524.00","high":"3,524.00","low":"3,462.70","ltP":"3,485.00","ptsC":"-1.75","per":"-0.05","trdVol":"0.22","trdVolM":"0.02","ntP":"7.69","mVal":"0.08","wkhi":"4,444.00","wklo":"3,100.00","wkhicm_adj":"4,180.00","wklocm_adj":"2,770.00","xDt":"31-DEC-2999","cAct":"-","yPC":"-3.99","mPC":"-1.89"</v>
      </c>
      <c r="C99" s="12" t="s">
        <v>97</v>
      </c>
      <c r="D99" s="5" t="str">
        <f t="shared" si="32"/>
        <v>3,524.00</v>
      </c>
      <c r="E99" s="5" t="str">
        <f t="shared" si="32"/>
        <v>3,524.00</v>
      </c>
      <c r="F99" s="5" t="str">
        <f t="shared" si="32"/>
        <v>3,462.70</v>
      </c>
      <c r="G99" s="5" t="str">
        <f t="shared" si="32"/>
        <v>3,485.00</v>
      </c>
      <c r="H99" s="6" t="str">
        <f t="shared" si="28"/>
        <v xml:space="preserve">SHORT </v>
      </c>
      <c r="I99" s="7">
        <f t="shared" si="29"/>
        <v>3514</v>
      </c>
      <c r="J99" s="8">
        <f t="shared" si="30"/>
        <v>3541.62</v>
      </c>
      <c r="K99" s="9">
        <f t="shared" si="31"/>
        <v>8.2527034718269787E-3</v>
      </c>
      <c r="L99" s="5"/>
    </row>
    <row r="100" spans="2:12" x14ac:dyDescent="0.25">
      <c r="B100" t="str">
        <f t="shared" si="27"/>
        <v>"OIL","open":"351.90","high":"354.95","low":"343.10","ltP":"348.65","ptsC":"-0.05","per":"-0.01","trdVol":"2.95","trdVolM":"0.29","ntP":"10.28","mVal":"0.10","wkhi":"487.55","wklo":"300.35","wkhicm_adj":"669.95","wklocm_adj":"438.00","xDt":"31-DEC-2999","cAct":"-","yPC":"-26.76","mPC":"6.33"</v>
      </c>
      <c r="C100" s="12" t="s">
        <v>98</v>
      </c>
      <c r="D100" s="5" t="str">
        <f t="shared" si="32"/>
        <v>351.90</v>
      </c>
      <c r="E100" s="5" t="str">
        <f t="shared" si="32"/>
        <v>354.95</v>
      </c>
      <c r="F100" s="5" t="str">
        <f t="shared" si="32"/>
        <v>343.10</v>
      </c>
      <c r="G100" s="5" t="str">
        <f t="shared" si="32"/>
        <v>348.65</v>
      </c>
      <c r="H100" s="6" t="str">
        <f t="shared" si="28"/>
        <v xml:space="preserve">   </v>
      </c>
      <c r="I100" s="7" t="str">
        <f t="shared" si="29"/>
        <v xml:space="preserve">   </v>
      </c>
      <c r="J100" s="8" t="str">
        <f t="shared" si="30"/>
        <v xml:space="preserve">   </v>
      </c>
      <c r="K100" s="9" t="str">
        <f t="shared" si="31"/>
        <v xml:space="preserve">   </v>
      </c>
      <c r="L100" s="5"/>
    </row>
    <row r="101" spans="2:12" x14ac:dyDescent="0.25">
      <c r="B101" t="str">
        <f t="shared" si="27"/>
        <v>"PFC","open":"166.55","high":"170.90","low":"165.80","ltP":"168.30","ptsC":"2.00","per":"1.20","trdVol":"17.85","trdVolM":"1.79","ntP":"30.00","mVal":"0.30","wkhi":"283.40","wklo":"140.25","wkhicm_adj":"344.75","wklocm_adj":"128.75","xDt":"31-DEC-2999","cAct":"-","yPC":"-39.98","mPC":"-6.13"</v>
      </c>
      <c r="C101" s="12" t="s">
        <v>99</v>
      </c>
      <c r="D101" s="5" t="str">
        <f t="shared" si="32"/>
        <v>166.55</v>
      </c>
      <c r="E101" s="5" t="str">
        <f t="shared" si="32"/>
        <v>170.90</v>
      </c>
      <c r="F101" s="5" t="str">
        <f t="shared" si="32"/>
        <v>165.80</v>
      </c>
      <c r="G101" s="5" t="str">
        <f t="shared" si="32"/>
        <v>168.30</v>
      </c>
      <c r="H101" s="6" t="str">
        <f t="shared" si="28"/>
        <v xml:space="preserve">   </v>
      </c>
      <c r="I101" s="7" t="str">
        <f t="shared" si="29"/>
        <v xml:space="preserve">   </v>
      </c>
      <c r="J101" s="8" t="str">
        <f t="shared" si="30"/>
        <v xml:space="preserve">   </v>
      </c>
      <c r="K101" s="9" t="str">
        <f t="shared" si="31"/>
        <v xml:space="preserve">   </v>
      </c>
      <c r="L101" s="5"/>
    </row>
    <row r="102" spans="2:12" x14ac:dyDescent="0.25">
      <c r="B102" t="str">
        <f t="shared" si="27"/>
        <v>"PGHH","open":"6,289.00","high":"6,294.70","low":"6,177.10","ltP":"6,185.00","ptsC":"-104.55","per":"-1.66","trdVol":"0.03","trdVolM":"0.00","ntP":"2.07","mVal":"0.02","wkhi":"6,995.00","wklo":"5,178.65","wkhicm_adj":"5,949.00","wklocm_adj":"2,752.00","xDt":"31-DEC-2999","cAct":"-","yPC":"-3.71","mPC":"-3.72"</v>
      </c>
      <c r="C102" s="12" t="s">
        <v>100</v>
      </c>
      <c r="D102" s="5" t="str">
        <f t="shared" si="32"/>
        <v>6,289.00</v>
      </c>
      <c r="E102" s="5" t="str">
        <f t="shared" si="32"/>
        <v>6,294.70</v>
      </c>
      <c r="F102" s="5" t="str">
        <f t="shared" si="32"/>
        <v>6,177.10</v>
      </c>
      <c r="G102" s="5" t="str">
        <f t="shared" si="32"/>
        <v>6,185.00</v>
      </c>
      <c r="H102" s="6" t="str">
        <f t="shared" si="28"/>
        <v xml:space="preserve">   </v>
      </c>
      <c r="I102" s="7" t="str">
        <f t="shared" si="29"/>
        <v xml:space="preserve">   </v>
      </c>
      <c r="J102" s="8" t="str">
        <f t="shared" si="30"/>
        <v xml:space="preserve">   </v>
      </c>
      <c r="K102" s="9" t="str">
        <f t="shared" si="31"/>
        <v xml:space="preserve">   </v>
      </c>
      <c r="L102" s="5"/>
    </row>
    <row r="103" spans="2:12" x14ac:dyDescent="0.25">
      <c r="B103" t="str">
        <f t="shared" si="27"/>
        <v>"PIDILITIND","open":"698.50","high":"708.65","low":"691.35","ltP":"695.00","ptsC":"0.35","per":"0.05","trdVol":"3.55","trdVolM":"0.35","ntP":"24.81","mVal":"0.25","wkhi":"709.00","wklo":"507.30","wkhicm_adj":"505.90","wklocm_adj":"269.60","xDt":"18-MAR-2016","cAct":"INTERIM DIVIDEND - RS 3.65\/- PER SHARE (PURPOSE REVISED)","yPC":"26.03","mPC":"14.61"</v>
      </c>
      <c r="C103" s="12" t="s">
        <v>101</v>
      </c>
      <c r="D103" s="5" t="str">
        <f t="shared" si="32"/>
        <v>698.50</v>
      </c>
      <c r="E103" s="5" t="str">
        <f t="shared" si="32"/>
        <v>708.65</v>
      </c>
      <c r="F103" s="5" t="str">
        <f t="shared" si="32"/>
        <v>691.35</v>
      </c>
      <c r="G103" s="5" t="str">
        <f t="shared" si="32"/>
        <v>695.00</v>
      </c>
      <c r="H103" s="6" t="str">
        <f t="shared" si="28"/>
        <v xml:space="preserve">   </v>
      </c>
      <c r="I103" s="7" t="str">
        <f t="shared" si="29"/>
        <v xml:space="preserve">   </v>
      </c>
      <c r="J103" s="8" t="str">
        <f t="shared" si="30"/>
        <v xml:space="preserve">   </v>
      </c>
      <c r="K103" s="9" t="str">
        <f t="shared" si="31"/>
        <v xml:space="preserve">   </v>
      </c>
      <c r="L103" s="5"/>
    </row>
    <row r="104" spans="2:12" x14ac:dyDescent="0.25">
      <c r="B104" t="str">
        <f t="shared" si="27"/>
        <v>"PNB","open":"78.00","high":"78.90","low":"76.40","ltP":"77.20","ptsC":"0.60","per":"0.78","trdVol":"87.99","trdVolM":"8.80","ntP":"68.30","mVal":"0.68","wkhi":"180.55","wklo":"69.25","wkhicm_adj":"1,096.50","wklocm_adj":"509.15","xDt":"31-DEC-2999","cAct":"-","yPC":"-50.59","mPC":"-14.32"</v>
      </c>
      <c r="C104" s="12" t="s">
        <v>43</v>
      </c>
      <c r="D104" s="5" t="str">
        <f t="shared" si="32"/>
        <v>78.00</v>
      </c>
      <c r="E104" s="5" t="str">
        <f t="shared" si="32"/>
        <v>78.90</v>
      </c>
      <c r="F104" s="5" t="str">
        <f t="shared" si="32"/>
        <v>76.40</v>
      </c>
      <c r="G104" s="5" t="str">
        <f t="shared" si="32"/>
        <v>77.20</v>
      </c>
      <c r="H104" s="6" t="str">
        <f t="shared" si="28"/>
        <v xml:space="preserve">   </v>
      </c>
      <c r="I104" s="7" t="str">
        <f t="shared" si="29"/>
        <v xml:space="preserve">   </v>
      </c>
      <c r="J104" s="8" t="str">
        <f t="shared" si="30"/>
        <v xml:space="preserve">   </v>
      </c>
      <c r="K104" s="9" t="str">
        <f t="shared" si="31"/>
        <v xml:space="preserve">   </v>
      </c>
      <c r="L104" s="5"/>
    </row>
    <row r="105" spans="2:12" x14ac:dyDescent="0.25">
      <c r="B105" t="str">
        <f t="shared" si="27"/>
        <v>"RCOM","open":"49.30","high":"50.65","low":"48.65","ltP":"48.80","ptsC":"-0.15","per":"-0.31","trdVol":"208.82","trdVolM":"20.88","ntP":"103.47","mVal":"1.03","wkhi":"91.75","wklo":"45.50","wkhicm_adj":"157.25","wklocm_adj":"93.05","xDt":"31-DEC-2999","cAct":"-","yPC":"-24.40","mPC":"-17.85"</v>
      </c>
      <c r="C105" s="12" t="s">
        <v>102</v>
      </c>
      <c r="D105" s="5" t="str">
        <f t="shared" si="32"/>
        <v>49.30</v>
      </c>
      <c r="E105" s="5" t="str">
        <f t="shared" si="32"/>
        <v>50.65</v>
      </c>
      <c r="F105" s="5" t="str">
        <f t="shared" si="32"/>
        <v>48.65</v>
      </c>
      <c r="G105" s="5" t="str">
        <f t="shared" si="32"/>
        <v>48.80</v>
      </c>
      <c r="H105" s="6" t="str">
        <f t="shared" si="28"/>
        <v xml:space="preserve">   </v>
      </c>
      <c r="I105" s="7" t="str">
        <f t="shared" si="29"/>
        <v xml:space="preserve">   </v>
      </c>
      <c r="J105" s="8" t="str">
        <f t="shared" si="30"/>
        <v xml:space="preserve">   </v>
      </c>
      <c r="K105" s="9" t="str">
        <f t="shared" si="31"/>
        <v xml:space="preserve">   </v>
      </c>
      <c r="L105" s="5"/>
    </row>
    <row r="106" spans="2:12" x14ac:dyDescent="0.25">
      <c r="B106" t="str">
        <f t="shared" si="27"/>
        <v>"RECLTD","open":"159.50","high":"163.50","low":"159.50","ltP":"160.40","ptsC":"5.00","per":"3.22","trdVol":"58.19","trdVolM":"5.82","ntP":"93.95","mVal":"0.94","wkhi":"304.90","wklo":"152.25","wkhicm_adj":"383.40","wklocm_adj":"166.50","xDt":"31-DEC-2999","cAct":"-","yPC":"-46.83","mPC":"-12.01"</v>
      </c>
      <c r="C106" s="12" t="s">
        <v>103</v>
      </c>
      <c r="D106" s="5" t="str">
        <f t="shared" ref="D106:G115" si="33">MID($B106,FIND(D$9,$B106)+LEN(D$9)+3,FIND(CHAR(34),$B106,FIND(D$9,$B106)+LEN(D$9)+3)-(FIND(D$9,$B106)+LEN(D$9)+3))</f>
        <v>159.50</v>
      </c>
      <c r="E106" s="5" t="str">
        <f t="shared" si="33"/>
        <v>163.50</v>
      </c>
      <c r="F106" s="5" t="str">
        <f t="shared" si="33"/>
        <v>159.50</v>
      </c>
      <c r="G106" s="5" t="str">
        <f t="shared" si="33"/>
        <v>160.40</v>
      </c>
      <c r="H106" s="6" t="str">
        <f t="shared" si="28"/>
        <v xml:space="preserve">LONG </v>
      </c>
      <c r="I106" s="7">
        <f t="shared" si="29"/>
        <v>162</v>
      </c>
      <c r="J106" s="8">
        <f t="shared" si="30"/>
        <v>158.70249999999999</v>
      </c>
      <c r="K106" s="9">
        <f t="shared" si="31"/>
        <v>-9.8765432098765083E-3</v>
      </c>
      <c r="L106" s="5"/>
    </row>
    <row r="107" spans="2:12" x14ac:dyDescent="0.25">
      <c r="B107" t="str">
        <f t="shared" si="27"/>
        <v>"SAIL","open":"43.00","high":"43.65","low":"42.35","ltP":"42.90","ptsC":"0.20","per":"0.47","trdVol":"64.96","trdVolM":"6.50","ntP":"27.94","mVal":"0.28","wkhi":"67.30","wklo":"33.50","wkhicm_adj":"112.95","wklocm_adj":"54.05","xDt":"31-DEC-2999","cAct":"-","yPC":"-34.80","mPC":"-6.64"</v>
      </c>
      <c r="C107" s="12" t="s">
        <v>104</v>
      </c>
      <c r="D107" s="5" t="str">
        <f t="shared" si="33"/>
        <v>43.00</v>
      </c>
      <c r="E107" s="5" t="str">
        <f t="shared" si="33"/>
        <v>43.65</v>
      </c>
      <c r="F107" s="5" t="str">
        <f t="shared" si="33"/>
        <v>42.35</v>
      </c>
      <c r="G107" s="5" t="str">
        <f t="shared" si="33"/>
        <v>42.90</v>
      </c>
      <c r="H107" s="6" t="str">
        <f t="shared" si="28"/>
        <v xml:space="preserve">   </v>
      </c>
      <c r="I107" s="7" t="str">
        <f t="shared" si="29"/>
        <v xml:space="preserve">   </v>
      </c>
      <c r="J107" s="8" t="str">
        <f t="shared" si="30"/>
        <v xml:space="preserve">   </v>
      </c>
      <c r="K107" s="9" t="str">
        <f t="shared" si="31"/>
        <v xml:space="preserve">   </v>
      </c>
      <c r="L107" s="5"/>
    </row>
    <row r="108" spans="2:12" x14ac:dyDescent="0.25">
      <c r="B108" t="str">
        <f t="shared" si="27"/>
        <v>"SHREECEM","open":"13,142.00","high":"13,450.00","low":"13,140.00","ltP":"13,351.00","ptsC":"210.95","per":"1.61","trdVol":"0.09","trdVolM":"0.01","ntP":"11.89","mVal":"0.12","wkhi":"13,888.00","wklo":"9,399.95","wkhicm_adj":"9,297.70","wklocm_adj":"4,100.10","xDt":"17-MAR-2016","cAct":"INTERIM DIVIDEND - RS 12\/- PER SHARE (PUPOSE REVISED)","yPC":"22.45","mPC":"4.91"</v>
      </c>
      <c r="C108" s="12" t="s">
        <v>105</v>
      </c>
      <c r="D108" s="5" t="str">
        <f t="shared" si="33"/>
        <v>13,142.00</v>
      </c>
      <c r="E108" s="5" t="str">
        <f t="shared" si="33"/>
        <v>13,450.00</v>
      </c>
      <c r="F108" s="5" t="str">
        <f t="shared" si="33"/>
        <v>13,140.00</v>
      </c>
      <c r="G108" s="5" t="str">
        <f t="shared" si="33"/>
        <v>13,351.00</v>
      </c>
      <c r="H108" s="6" t="str">
        <f t="shared" si="28"/>
        <v xml:space="preserve">   </v>
      </c>
      <c r="I108" s="7" t="str">
        <f t="shared" si="29"/>
        <v xml:space="preserve">   </v>
      </c>
      <c r="J108" s="8" t="str">
        <f t="shared" si="30"/>
        <v xml:space="preserve">   </v>
      </c>
      <c r="K108" s="9" t="str">
        <f t="shared" si="31"/>
        <v xml:space="preserve">   </v>
      </c>
      <c r="L108" s="5"/>
    </row>
    <row r="109" spans="2:12" x14ac:dyDescent="0.25">
      <c r="B109" t="str">
        <f t="shared" si="27"/>
        <v>"SIEMENS","open":"1,202.80","high":"1,231.00","low":"1,198.10","ltP":"1,218.95","ptsC":"16.20","per":"1.35","trdVol":"3.05","trdVolM":"0.30","ntP":"37.16","mVal":"0.37","wkhi":"1,559.70","wklo":"968.60","wkhicm_adj":"1,010.00","wklocm_adj":"513.00","xDt":"31-DEC-2999","cAct":"-","yPC":"-12.13","mPC":"3.10"</v>
      </c>
      <c r="C109" s="12" t="s">
        <v>106</v>
      </c>
      <c r="D109" s="5" t="str">
        <f t="shared" si="33"/>
        <v>1,202.80</v>
      </c>
      <c r="E109" s="5" t="str">
        <f t="shared" si="33"/>
        <v>1,231.00</v>
      </c>
      <c r="F109" s="5" t="str">
        <f t="shared" si="33"/>
        <v>1,198.10</v>
      </c>
      <c r="G109" s="5" t="str">
        <f t="shared" si="33"/>
        <v>1,218.95</v>
      </c>
      <c r="H109" s="6" t="str">
        <f t="shared" si="28"/>
        <v xml:space="preserve">   </v>
      </c>
      <c r="I109" s="7" t="str">
        <f t="shared" si="29"/>
        <v xml:space="preserve">   </v>
      </c>
      <c r="J109" s="8" t="str">
        <f t="shared" si="30"/>
        <v xml:space="preserve">   </v>
      </c>
      <c r="K109" s="9" t="str">
        <f t="shared" si="31"/>
        <v xml:space="preserve">   </v>
      </c>
      <c r="L109" s="5"/>
    </row>
    <row r="110" spans="2:12" x14ac:dyDescent="0.25">
      <c r="B110" t="str">
        <f t="shared" si="27"/>
        <v>"SRTRANSFIN","open":"1,190.15","high":"1,219.80","low":"1,175.65","ltP":"1,201.00","ptsC":"6.95","per":"0.58","trdVol":"5.17","trdVolM":"0.52","ntP":"61.93","mVal":"0.62","wkhi":"1,219.80","wklo":"736.95","wkhicm_adj":"1,139.00","wklocm_adj":"548.70","xDt":"31-DEC-2999","cAct":"-","yPC":"44.19","mPC":"20.78"</v>
      </c>
      <c r="C110" s="12" t="s">
        <v>107</v>
      </c>
      <c r="D110" s="5" t="str">
        <f t="shared" si="33"/>
        <v>1,190.15</v>
      </c>
      <c r="E110" s="5" t="str">
        <f t="shared" si="33"/>
        <v>1,219.80</v>
      </c>
      <c r="F110" s="5" t="str">
        <f t="shared" si="33"/>
        <v>1,175.65</v>
      </c>
      <c r="G110" s="5" t="str">
        <f t="shared" si="33"/>
        <v>1,201.00</v>
      </c>
      <c r="H110" s="6" t="str">
        <f t="shared" si="28"/>
        <v xml:space="preserve">   </v>
      </c>
      <c r="I110" s="7" t="str">
        <f t="shared" si="29"/>
        <v xml:space="preserve">   </v>
      </c>
      <c r="J110" s="8" t="str">
        <f t="shared" si="30"/>
        <v xml:space="preserve">   </v>
      </c>
      <c r="K110" s="9" t="str">
        <f t="shared" si="31"/>
        <v xml:space="preserve">   </v>
      </c>
      <c r="L110" s="5"/>
    </row>
    <row r="111" spans="2:12" x14ac:dyDescent="0.25">
      <c r="B111" t="str">
        <f t="shared" si="27"/>
        <v>"TITAN","open":"361.10","high":"365.60","low":"354.25","ltP":"363.20","ptsC":"2.75","per":"0.76","trdVol":"21.02","trdVolM":"2.10","ntP":"75.40","mVal":"0.75","wkhi":"392.40","wklo":"301.70","wkhicm_adj":"425.00","wklocm_adj":"202.45","xDt":"22-MAR-2016","cAct":"INTERIM DIVIDEND - RS 2.20\/- PER SHARE (PURPOSE REVISED)","yPC":"-4.48","mPC":"-2.23"</v>
      </c>
      <c r="C111" s="12" t="s">
        <v>108</v>
      </c>
      <c r="D111" s="5" t="str">
        <f t="shared" si="33"/>
        <v>361.10</v>
      </c>
      <c r="E111" s="5" t="str">
        <f t="shared" si="33"/>
        <v>365.60</v>
      </c>
      <c r="F111" s="5" t="str">
        <f t="shared" si="33"/>
        <v>354.25</v>
      </c>
      <c r="G111" s="5" t="str">
        <f t="shared" si="33"/>
        <v>363.20</v>
      </c>
      <c r="H111" s="6" t="str">
        <f t="shared" si="28"/>
        <v xml:space="preserve">   </v>
      </c>
      <c r="I111" s="7" t="str">
        <f t="shared" si="29"/>
        <v xml:space="preserve">   </v>
      </c>
      <c r="J111" s="8" t="str">
        <f t="shared" si="30"/>
        <v xml:space="preserve">   </v>
      </c>
      <c r="K111" s="9" t="str">
        <f t="shared" si="31"/>
        <v xml:space="preserve">   </v>
      </c>
      <c r="L111" s="5"/>
    </row>
    <row r="112" spans="2:12" x14ac:dyDescent="0.25">
      <c r="B112" t="str">
        <f t="shared" si="27"/>
        <v>"TORNTPHARM","open":"1,379.00","high":"1,384.80","low":"1,353.25","ltP":"1,363.00","ptsC":"-15.50","per":"-1.12","trdVol":"0.50","trdVolM":"0.05","ntP":"6.90","mVal":"0.07","wkhi":"1,718.40","wklo":"1,169.05","wkhicm_adj":"1,135.00","wklocm_adj":"458.00","xDt":"16-MAR-2016","cAct":"INTERIM DIVIDEND - RS 15\/- PER SHARE (PURPOSE REVISED)","yPC":"10.02","mPC":"-5.53"</v>
      </c>
      <c r="C112" s="12" t="s">
        <v>109</v>
      </c>
      <c r="D112" s="5" t="str">
        <f t="shared" si="33"/>
        <v>1,379.00</v>
      </c>
      <c r="E112" s="5" t="str">
        <f t="shared" si="33"/>
        <v>1,384.80</v>
      </c>
      <c r="F112" s="5" t="str">
        <f t="shared" si="33"/>
        <v>1,353.25</v>
      </c>
      <c r="G112" s="5" t="str">
        <f t="shared" si="33"/>
        <v>1,363.00</v>
      </c>
      <c r="H112" s="6" t="str">
        <f t="shared" si="28"/>
        <v xml:space="preserve">   </v>
      </c>
      <c r="I112" s="7" t="str">
        <f t="shared" si="29"/>
        <v xml:space="preserve">   </v>
      </c>
      <c r="J112" s="8" t="str">
        <f t="shared" si="30"/>
        <v xml:space="preserve">   </v>
      </c>
      <c r="K112" s="9" t="str">
        <f t="shared" si="31"/>
        <v xml:space="preserve">   </v>
      </c>
      <c r="L112" s="5"/>
    </row>
    <row r="113" spans="2:12" x14ac:dyDescent="0.25">
      <c r="B113" t="str">
        <f t="shared" si="27"/>
        <v>"UBL","open":"726.80","high":"727.90","low":"709.00","ltP":"715.00","ptsC":"-7.30","per":"-1.01","trdVol":"3.48","trdVolM":"0.35","ntP":"24.94","mVal":"0.25","wkhi":"1,074.95","wklo":"690.00","wkhicm_adj":"859.00","wklocm_adj":"615.65","xDt":"31-DEC-2999","cAct":"-","yPC":"-24.91","mPC":"-5.66"</v>
      </c>
      <c r="C113" s="12" t="s">
        <v>110</v>
      </c>
      <c r="D113" s="5" t="str">
        <f t="shared" si="33"/>
        <v>726.80</v>
      </c>
      <c r="E113" s="5" t="str">
        <f t="shared" si="33"/>
        <v>727.90</v>
      </c>
      <c r="F113" s="5" t="str">
        <f t="shared" si="33"/>
        <v>709.00</v>
      </c>
      <c r="G113" s="5" t="str">
        <f t="shared" si="33"/>
        <v>715.00</v>
      </c>
      <c r="H113" s="6" t="str">
        <f t="shared" si="28"/>
        <v xml:space="preserve">   </v>
      </c>
      <c r="I113" s="7" t="str">
        <f t="shared" si="29"/>
        <v xml:space="preserve">   </v>
      </c>
      <c r="J113" s="8" t="str">
        <f t="shared" si="30"/>
        <v xml:space="preserve">   </v>
      </c>
      <c r="K113" s="9" t="str">
        <f t="shared" si="31"/>
        <v xml:space="preserve">   </v>
      </c>
      <c r="L113" s="5"/>
    </row>
    <row r="114" spans="2:12" x14ac:dyDescent="0.25">
      <c r="B114" t="str">
        <f t="shared" si="27"/>
        <v>"UPL","open":"597.90","high":"602.60","low":"586.40","ltP":"593.50","ptsC":"-1.90","per":"-0.32","trdVol":"11.65","trdVolM":"1.17","ntP":"69.07","mVal":"0.69","wkhi":"612.95","wklo":"367.25","wkhicm_adj":"388.70","wklocm_adj":"161.10","xDt":"31-DEC-2999","cAct":"-","yPC":"14.38","mPC":"15.25"</v>
      </c>
      <c r="C114" s="12" t="s">
        <v>111</v>
      </c>
      <c r="D114" s="5" t="str">
        <f t="shared" si="33"/>
        <v>597.90</v>
      </c>
      <c r="E114" s="5" t="str">
        <f t="shared" si="33"/>
        <v>602.60</v>
      </c>
      <c r="F114" s="5" t="str">
        <f t="shared" si="33"/>
        <v>586.40</v>
      </c>
      <c r="G114" s="5" t="str">
        <f t="shared" si="33"/>
        <v>593.50</v>
      </c>
      <c r="H114" s="6" t="str">
        <f t="shared" si="28"/>
        <v xml:space="preserve">   </v>
      </c>
      <c r="I114" s="7" t="str">
        <f t="shared" si="29"/>
        <v xml:space="preserve">   </v>
      </c>
      <c r="J114" s="8" t="str">
        <f t="shared" si="30"/>
        <v xml:space="preserve">   </v>
      </c>
      <c r="K114" s="9" t="str">
        <f t="shared" si="31"/>
        <v xml:space="preserve">   </v>
      </c>
      <c r="L114" s="5"/>
    </row>
    <row r="115" spans="2:12" x14ac:dyDescent="0.25">
      <c r="B115" t="str">
        <f t="shared" si="27"/>
        <v>"VEDL","open":"104.50","high":"107.45","low":"104.15","ltP":"106.40","ptsC":"3.60","per":"3.50","trdVol":"132.91","trdVolM":"13.29","ntP":"140.83","mVal":"1.41","wkhi":"204.00","wklo":"58.15","wkhicm_adj":"318.30","wklocm_adj":"168.85","xDt":"31-DEC-2999","cAct":"-","yPC":"-45.92","mPC":"1.48"</v>
      </c>
      <c r="C115" s="12" t="s">
        <v>54</v>
      </c>
      <c r="D115" s="5" t="str">
        <f t="shared" si="33"/>
        <v>104.50</v>
      </c>
      <c r="E115" s="5" t="str">
        <f t="shared" si="33"/>
        <v>107.45</v>
      </c>
      <c r="F115" s="5" t="str">
        <f t="shared" si="33"/>
        <v>104.15</v>
      </c>
      <c r="G115" s="5" t="str">
        <f t="shared" si="33"/>
        <v>106.40</v>
      </c>
      <c r="H115" s="6" t="str">
        <f t="shared" si="28"/>
        <v xml:space="preserve">   </v>
      </c>
      <c r="I115" s="7" t="str">
        <f t="shared" si="29"/>
        <v xml:space="preserve">   </v>
      </c>
      <c r="J115" s="8" t="str">
        <f t="shared" si="30"/>
        <v xml:space="preserve">   </v>
      </c>
      <c r="K115" s="9" t="str">
        <f t="shared" si="31"/>
        <v xml:space="preserve">   </v>
      </c>
      <c r="L115" s="5"/>
    </row>
    <row r="116" spans="2:12" x14ac:dyDescent="0.25">
      <c r="L116" s="15"/>
    </row>
    <row r="119" spans="2:12" x14ac:dyDescent="0.25">
      <c r="C119" s="13" t="s">
        <v>112</v>
      </c>
    </row>
    <row r="120" spans="2:12" x14ac:dyDescent="0.25">
      <c r="B120" t="s">
        <v>0</v>
      </c>
      <c r="C120" s="4" t="s">
        <v>1</v>
      </c>
      <c r="D120" s="4" t="s">
        <v>2</v>
      </c>
      <c r="E120" s="4" t="s">
        <v>3</v>
      </c>
      <c r="F120" s="4" t="s">
        <v>4</v>
      </c>
      <c r="G120" s="4" t="s">
        <v>5</v>
      </c>
      <c r="H120" s="4" t="s">
        <v>6</v>
      </c>
      <c r="I120" s="4" t="s">
        <v>7</v>
      </c>
      <c r="J120" s="4" t="s">
        <v>8</v>
      </c>
      <c r="K120" s="4" t="s">
        <v>58</v>
      </c>
      <c r="L120" s="4" t="s">
        <v>165</v>
      </c>
    </row>
    <row r="121" spans="2:12" x14ac:dyDescent="0.25">
      <c r="B121" t="str">
        <f>MID($P$500,FIND(C121,$P$500)-1,FIND("}",$P$500,FIND(C121,$P$500))-FIND(C121,$P$500)+1)</f>
        <v>"ADANIENT","open":"73.90","high":"75.25","low":"72.75","ltP":"74.50","ptsC":"1.15","per":"1.57","trdVol":"13.26","trdVolM":"1.33","ntP":"9.81","mVal":"0.10","wkhi":"791.00","wklo":"58.20","wkhicm_adj":"585.00","wklocm_adj":"210.10","xDt":"22-MAR-2016","cAct":"INTERIM DIVIDEND - RE 0.40\/- PER SHARE (PURPOSE REVISED)","yPC":"-89.86","mPC":"-13.12"</v>
      </c>
      <c r="C121" s="12" t="s">
        <v>113</v>
      </c>
      <c r="D121" s="5" t="str">
        <f>MID($B121,FIND(D$9,$B121)+LEN(D$9)+3,FIND(CHAR(34),$B121,FIND(D$9,$B121)+LEN(D$9)+3)-(FIND(D$9,$B121)+LEN(D$9)+3))</f>
        <v>73.90</v>
      </c>
      <c r="E121" s="5" t="str">
        <f>MID($B121,FIND(E$9,$B121)+LEN(E$9)+3,FIND(CHAR(34),$B121,FIND(E$9,$B121)+LEN(E$9)+3)-(FIND(E$9,$B121)+LEN(E$9)+3))</f>
        <v>75.25</v>
      </c>
      <c r="F121" s="5" t="str">
        <f>MID($B121,FIND(F$9,$B121)+LEN(F$9)+3,FIND(CHAR(34),$B121,FIND(F$9,$B121)+LEN(F$9)+3)-(FIND(F$9,$B121)+LEN(F$9)+3))</f>
        <v>72.75</v>
      </c>
      <c r="G121" s="5" t="str">
        <f>MID($B121,FIND(G$9,$B121)+LEN(G$9)+3,FIND(CHAR(34),$B121,FIND(G$9,$B121)+LEN(G$9)+3)-(FIND(G$9,$B121)+LEN(G$9)+3))</f>
        <v>74.50</v>
      </c>
      <c r="H121" s="6" t="str">
        <f t="shared" ref="H121" si="34">IF(AND(E121=0, F121=0, D121=0),"  ",IF(E121= D121,"SHORT ",IF(F121= D121,"LONG ",IF(E121&lt;&gt; F121&lt;&gt; D121,"   "))))</f>
        <v xml:space="preserve">   </v>
      </c>
      <c r="I121" s="7" t="str">
        <f t="shared" ref="I121" si="35">IF(AND(E121=0,F121=0,D121=0),"  ",IF(D121=F121,ROUND(((SQRT(F121) +0.0833) ^2),0),IF(E121=D121,ROUND(((SQRT(E121) -0.0833) ^2),0),IF(E121&lt;&gt;F121&lt;&gt;D121,"   "))))</f>
        <v xml:space="preserve">   </v>
      </c>
      <c r="J121" s="8" t="str">
        <f t="shared" ref="J121" si="36">IF(AND(E121=0, F121=0, D121=0),"  ",IF(E121= D121,D121+0.005*D121,IF(F121= D121,D121-0.005*D121,IF(E121&lt;&gt; F121&lt;&gt; D121,"   "))))</f>
        <v xml:space="preserve">   </v>
      </c>
      <c r="K121" s="9" t="str">
        <f t="shared" ref="K121" si="37">IF(AND(E121=0, F121=0, D121=0),"  ",IF(E121= D121,(I121-G121)/I121,IF(F121= D121,(G121-I121)/I121,IF(E121&lt;&gt; F121&lt;&gt; D121,"   "))))</f>
        <v xml:space="preserve">   </v>
      </c>
      <c r="L121" s="5"/>
    </row>
    <row r="122" spans="2:12" x14ac:dyDescent="0.25">
      <c r="B122" t="str">
        <f t="shared" ref="B122:B170" si="38">MID($P$500,FIND(C122,$P$500)-1,FIND("}",$P$500,FIND(C122,$P$500))-FIND(C122,$P$500)+1)</f>
        <v>"ADANIPOWER","open":"30.25","high":"30.50","low":"29.75","ltP":"30.25","ptsC":"0.20","per":"0.67","trdVol":"38.16","trdVolM":"3.82","ntP":"11.50","mVal":"0.12","wkhi":"40.15","wklo":"19.60","wkhicm_adj":"68.35","wklocm_adj":"31.80","xDt":"31-DEC-2999","cAct":"-","yPC":"-21.53","mPC":"-6.35"</v>
      </c>
      <c r="C122" s="12" t="s">
        <v>114</v>
      </c>
      <c r="D122" s="5" t="str">
        <f t="shared" ref="D122:G158" si="39">MID($B122,FIND(D$9,$B122)+LEN(D$9)+3,FIND(CHAR(34),$B122,FIND(D$9,$B122)+LEN(D$9)+3)-(FIND(D$9,$B122)+LEN(D$9)+3))</f>
        <v>30.25</v>
      </c>
      <c r="E122" s="5" t="str">
        <f t="shared" si="39"/>
        <v>30.50</v>
      </c>
      <c r="F122" s="5" t="str">
        <f t="shared" si="39"/>
        <v>29.75</v>
      </c>
      <c r="G122" s="5" t="str">
        <f t="shared" si="39"/>
        <v>30.25</v>
      </c>
      <c r="H122" s="6" t="str">
        <f t="shared" ref="H122:H157" si="40">IF(AND(E122=0, F122=0, D122=0),"  ",IF(E122= D122,"SHORT ",IF(F122= D122,"LONG ",IF(E122&lt;&gt; F122&lt;&gt; D122,"   "))))</f>
        <v xml:space="preserve">   </v>
      </c>
      <c r="I122" s="7" t="str">
        <f t="shared" ref="I122:I157" si="41">IF(AND(E122=0,F122=0,D122=0),"  ",IF(D122=F122,ROUND(((SQRT(F122) +0.0833) ^2),0),IF(E122=D122,ROUND(((SQRT(E122) -0.0833) ^2),0),IF(E122&lt;&gt;F122&lt;&gt;D122,"   "))))</f>
        <v xml:space="preserve">   </v>
      </c>
      <c r="J122" s="8" t="str">
        <f t="shared" ref="J122:J157" si="42">IF(AND(E122=0, F122=0, D122=0),"  ",IF(E122= D122,D122+0.005*D122,IF(F122= D122,D122-0.005*D122,IF(E122&lt;&gt; F122&lt;&gt; D122,"   "))))</f>
        <v xml:space="preserve">   </v>
      </c>
      <c r="K122" s="9" t="str">
        <f t="shared" ref="K122:K157" si="43">IF(AND(E122=0, F122=0, D122=0),"  ",IF(E122= D122,(I122-G122)/I122,IF(F122= D122,(G122-I122)/I122,IF(E122&lt;&gt; F122&lt;&gt; D122,"   "))))</f>
        <v xml:space="preserve">   </v>
      </c>
      <c r="L122" s="14"/>
    </row>
    <row r="123" spans="2:12" x14ac:dyDescent="0.25">
      <c r="B123" t="str">
        <f t="shared" si="38"/>
        <v>"AJANTPHARM","open":"1,524.05","high":"1,555.00","low":"1,524.05","ltP":"1,538.50","ptsC":"8.30","per":"0.54","trdVol":"0.70","trdVolM":"0.07","ntP":"10.84","mVal":"0.11","wkhi":"1,720.00","wklo":"1,101.05","wkhicm_adj":"2,526.95","wklocm_adj":"776.65","xDt":"31-DEC-2999","cAct":"-","yPC":"6.01","mPC":"0.40"</v>
      </c>
      <c r="C123" s="12" t="s">
        <v>115</v>
      </c>
      <c r="D123" s="5" t="str">
        <f t="shared" si="39"/>
        <v>1,524.05</v>
      </c>
      <c r="E123" s="5" t="str">
        <f t="shared" si="39"/>
        <v>1,555.00</v>
      </c>
      <c r="F123" s="5" t="str">
        <f t="shared" si="39"/>
        <v>1,524.05</v>
      </c>
      <c r="G123" s="5" t="str">
        <f t="shared" si="39"/>
        <v>1,538.50</v>
      </c>
      <c r="H123" s="6" t="str">
        <f t="shared" si="40"/>
        <v xml:space="preserve">LONG </v>
      </c>
      <c r="I123" s="7">
        <f t="shared" si="41"/>
        <v>1531</v>
      </c>
      <c r="J123" s="8">
        <f t="shared" si="42"/>
        <v>1516.42975</v>
      </c>
      <c r="K123" s="9">
        <f t="shared" si="43"/>
        <v>4.8987589810581319E-3</v>
      </c>
      <c r="L123" s="5"/>
    </row>
    <row r="124" spans="2:12" x14ac:dyDescent="0.25">
      <c r="B124" t="str">
        <f t="shared" si="38"/>
        <v>"ALBK","open":"53.60","high":"54.00","low":"52.20","ltP":"52.55","ptsC":"-0.15","per":"-0.28","trdVol":"18.74","trdVolM":"1.87","ntP":"9.91","mVal":"0.10","wkhi":"108.25","wklo":"39.40","wkhicm_adj":"150.00","wklocm_adj":"72.20","xDt":"31-DEC-2999","cAct":"-","yPC":"-50.17","mPC":"-11.83"</v>
      </c>
      <c r="C124" s="12" t="s">
        <v>116</v>
      </c>
      <c r="D124" s="5" t="str">
        <f t="shared" si="39"/>
        <v>53.60</v>
      </c>
      <c r="E124" s="5" t="str">
        <f t="shared" si="39"/>
        <v>54.00</v>
      </c>
      <c r="F124" s="5" t="str">
        <f t="shared" si="39"/>
        <v>52.20</v>
      </c>
      <c r="G124" s="5" t="str">
        <f t="shared" si="39"/>
        <v>52.55</v>
      </c>
      <c r="H124" s="6" t="str">
        <f t="shared" si="40"/>
        <v xml:space="preserve">   </v>
      </c>
      <c r="I124" s="7" t="str">
        <f t="shared" si="41"/>
        <v xml:space="preserve">   </v>
      </c>
      <c r="J124" s="8" t="str">
        <f t="shared" si="42"/>
        <v xml:space="preserve">   </v>
      </c>
      <c r="K124" s="9" t="str">
        <f t="shared" si="43"/>
        <v xml:space="preserve">   </v>
      </c>
      <c r="L124" s="5"/>
    </row>
    <row r="125" spans="2:12" x14ac:dyDescent="0.25">
      <c r="B125" t="str">
        <f t="shared" si="38"/>
        <v>"AMARAJABAT","open":"865.35","high":"866.90","low":"846.00","ltP":"850.00","ptsC":"-11.20","per":"-1.30","trdVol":"1.88","trdVolM":"0.19","ntP":"16.02","mVal":"0.16","wkhi":"1,128.00","wklo":"774.15","wkhicm_adj":"794.00","wklocm_adj":"315.05","xDt":"22-MAR-2016","cAct":"INTERIM DIVIDEND - RS 4.25\/- PER SHARE (PURPOSE REVISED)","yPC":"-1.62","mPC":"-9.68"</v>
      </c>
      <c r="C125" s="12" t="s">
        <v>117</v>
      </c>
      <c r="D125" s="5" t="str">
        <f t="shared" si="39"/>
        <v>865.35</v>
      </c>
      <c r="E125" s="5" t="str">
        <f t="shared" si="39"/>
        <v>866.90</v>
      </c>
      <c r="F125" s="5" t="str">
        <f t="shared" si="39"/>
        <v>846.00</v>
      </c>
      <c r="G125" s="5" t="str">
        <f t="shared" si="39"/>
        <v>850.00</v>
      </c>
      <c r="H125" s="6" t="str">
        <f t="shared" si="40"/>
        <v xml:space="preserve">   </v>
      </c>
      <c r="I125" s="7" t="str">
        <f t="shared" si="41"/>
        <v xml:space="preserve">   </v>
      </c>
      <c r="J125" s="8" t="str">
        <f t="shared" si="42"/>
        <v xml:space="preserve">   </v>
      </c>
      <c r="K125" s="9" t="str">
        <f t="shared" si="43"/>
        <v xml:space="preserve">   </v>
      </c>
      <c r="L125" s="5"/>
    </row>
    <row r="126" spans="2:12" x14ac:dyDescent="0.25">
      <c r="B126" t="str">
        <f t="shared" si="38"/>
        <v>"APOLLOTYRE","open":"157.90","high":"159.10","low":"154.30","ltP":"157.30","ptsC":"0.45","per":"0.29","trdVol":"7.83","trdVolM":"0.78","ntP":"12.27","mVal":"0.12","wkhi":"223.40","wklo":"127.05","wkhicm_adj":"242.95","wklocm_adj":"77.50","xDt":"31-DEC-2999","cAct":"-","yPC":"-13.62","mPC":"-5.50"</v>
      </c>
      <c r="C126" s="12" t="s">
        <v>118</v>
      </c>
      <c r="D126" s="5" t="str">
        <f t="shared" si="39"/>
        <v>157.90</v>
      </c>
      <c r="E126" s="5" t="str">
        <f t="shared" si="39"/>
        <v>159.10</v>
      </c>
      <c r="F126" s="5" t="str">
        <f t="shared" si="39"/>
        <v>154.30</v>
      </c>
      <c r="G126" s="5" t="str">
        <f t="shared" si="39"/>
        <v>157.30</v>
      </c>
      <c r="H126" s="6" t="str">
        <f t="shared" si="40"/>
        <v xml:space="preserve">   </v>
      </c>
      <c r="I126" s="7" t="str">
        <f t="shared" si="41"/>
        <v xml:space="preserve">   </v>
      </c>
      <c r="J126" s="8" t="str">
        <f t="shared" si="42"/>
        <v xml:space="preserve">   </v>
      </c>
      <c r="K126" s="9" t="str">
        <f t="shared" si="43"/>
        <v xml:space="preserve">   </v>
      </c>
      <c r="L126" s="5"/>
    </row>
    <row r="127" spans="2:12" x14ac:dyDescent="0.25">
      <c r="B127" t="str">
        <f t="shared" si="38"/>
        <v>"ARVIND","open":"315.50","high":"318.00","low":"313.35","ltP":"314.40","ptsC":"-0.95","per":"-0.30","trdVol":"7.43","trdVolM":"0.74","ntP":"23.41","mVal":"0.23","wkhi":"365.70","wklo":"216.30","wkhicm_adj":"341.50","wklocm_adj":"119.00","xDt":"31-DEC-2999","cAct":"-","yPC":"31.99","mPC":"7.95"</v>
      </c>
      <c r="C127" s="12" t="s">
        <v>119</v>
      </c>
      <c r="D127" s="5" t="str">
        <f t="shared" si="39"/>
        <v>315.50</v>
      </c>
      <c r="E127" s="5" t="str">
        <f t="shared" si="39"/>
        <v>318.00</v>
      </c>
      <c r="F127" s="5" t="str">
        <f t="shared" si="39"/>
        <v>313.35</v>
      </c>
      <c r="G127" s="5" t="str">
        <f t="shared" si="39"/>
        <v>314.40</v>
      </c>
      <c r="H127" s="6" t="str">
        <f t="shared" si="40"/>
        <v xml:space="preserve">   </v>
      </c>
      <c r="I127" s="7" t="str">
        <f t="shared" si="41"/>
        <v xml:space="preserve">   </v>
      </c>
      <c r="J127" s="8" t="str">
        <f t="shared" si="42"/>
        <v xml:space="preserve">   </v>
      </c>
      <c r="K127" s="9" t="str">
        <f t="shared" si="43"/>
        <v xml:space="preserve">   </v>
      </c>
      <c r="L127" s="5"/>
    </row>
    <row r="128" spans="2:12" x14ac:dyDescent="0.25">
      <c r="B128" t="str">
        <f t="shared" si="38"/>
        <v>"BANKINDIA","open":"87.55","high":"88.45","low":"85.50","ltP":"86.00","ptsC":"-0.95","per":"-1.09","trdVol":"28.39","trdVolM":"2.84","ntP":"24.56","mVal":"0.25","wkhi":"205.00","wklo":"78.40","wkhicm_adj":"357.00","wklocm_adj":"165.55","xDt":"31-DEC-2999","cAct":"-","yPC":"-55.17","mPC":"-11.16"</v>
      </c>
      <c r="C128" s="12" t="s">
        <v>120</v>
      </c>
      <c r="D128" s="5" t="str">
        <f t="shared" si="39"/>
        <v>87.55</v>
      </c>
      <c r="E128" s="5" t="str">
        <f t="shared" si="39"/>
        <v>88.45</v>
      </c>
      <c r="F128" s="5" t="str">
        <f t="shared" si="39"/>
        <v>85.50</v>
      </c>
      <c r="G128" s="5" t="str">
        <f t="shared" si="39"/>
        <v>86.00</v>
      </c>
      <c r="H128" s="6" t="str">
        <f t="shared" si="40"/>
        <v xml:space="preserve">   </v>
      </c>
      <c r="I128" s="7" t="str">
        <f t="shared" si="41"/>
        <v xml:space="preserve">   </v>
      </c>
      <c r="J128" s="8" t="str">
        <f t="shared" si="42"/>
        <v xml:space="preserve">   </v>
      </c>
      <c r="K128" s="9" t="str">
        <f t="shared" si="43"/>
        <v xml:space="preserve">   </v>
      </c>
      <c r="L128" s="5"/>
    </row>
    <row r="129" spans="2:12" x14ac:dyDescent="0.25">
      <c r="B129" t="str">
        <f t="shared" si="38"/>
        <v>"BATAINDIA","open":"558.65","high":"571.30","low":"557.50","ltP":"571.00","ptsC":"13.70","per":"2.46","trdVol":"7.16","trdVolM":"0.72","ntP":"40.62","mVal":"0.41","wkhi":"622.00","wklo":"438.00","wkhicm_adj":"1,413.40","wklocm_adj":"894.55","xDt":"31-DEC-2999","cAct":"-","yPC":"-45.80","mPC":"1.17"</v>
      </c>
      <c r="C129" s="12" t="s">
        <v>121</v>
      </c>
      <c r="D129" s="5" t="str">
        <f t="shared" si="39"/>
        <v>558.65</v>
      </c>
      <c r="E129" s="5" t="str">
        <f t="shared" si="39"/>
        <v>571.30</v>
      </c>
      <c r="F129" s="5" t="str">
        <f t="shared" si="39"/>
        <v>557.50</v>
      </c>
      <c r="G129" s="5" t="str">
        <f t="shared" si="39"/>
        <v>571.00</v>
      </c>
      <c r="H129" s="6" t="str">
        <f t="shared" si="40"/>
        <v xml:space="preserve">   </v>
      </c>
      <c r="I129" s="7" t="str">
        <f t="shared" si="41"/>
        <v xml:space="preserve">   </v>
      </c>
      <c r="J129" s="8" t="str">
        <f t="shared" si="42"/>
        <v xml:space="preserve">   </v>
      </c>
      <c r="K129" s="9" t="str">
        <f t="shared" si="43"/>
        <v xml:space="preserve">   </v>
      </c>
      <c r="L129" s="5"/>
    </row>
    <row r="130" spans="2:12" x14ac:dyDescent="0.25">
      <c r="B130" t="str">
        <f t="shared" si="38"/>
        <v>"BIOCON","open":"703.90","high":"709.85","low":"686.05","ltP":"704.00","ptsC":"4.55","per":"0.65","trdVol":"7.58","trdVolM":"0.76","ntP":"52.77","mVal":"0.53","wkhi":"717.00","wklo":"395.30","wkhicm_adj":"553.60","wklocm_adj":"378.65","xDt":"17-MAR-2016","cAct":"INTERIM DIVIDEND - RS 5\/- PER SHARE (PURPOSE REVISED)","yPC":"59.17","mPC":"23.10"</v>
      </c>
      <c r="C130" s="12" t="s">
        <v>122</v>
      </c>
      <c r="D130" s="5" t="str">
        <f t="shared" si="39"/>
        <v>703.90</v>
      </c>
      <c r="E130" s="5" t="str">
        <f t="shared" si="39"/>
        <v>709.85</v>
      </c>
      <c r="F130" s="5" t="str">
        <f t="shared" si="39"/>
        <v>686.05</v>
      </c>
      <c r="G130" s="5" t="str">
        <f t="shared" si="39"/>
        <v>704.00</v>
      </c>
      <c r="H130" s="6" t="str">
        <f t="shared" si="40"/>
        <v xml:space="preserve">   </v>
      </c>
      <c r="I130" s="7" t="str">
        <f t="shared" si="41"/>
        <v xml:space="preserve">   </v>
      </c>
      <c r="J130" s="8" t="str">
        <f t="shared" si="42"/>
        <v xml:space="preserve">   </v>
      </c>
      <c r="K130" s="9" t="str">
        <f t="shared" si="43"/>
        <v xml:space="preserve">   </v>
      </c>
      <c r="L130" s="5"/>
    </row>
    <row r="131" spans="2:12" x14ac:dyDescent="0.25">
      <c r="B131" t="str">
        <f t="shared" si="38"/>
        <v>"CANBK","open":"194.05","high":"195.70","low":"188.70","ltP":"192.00","ptsC":"-0.65","per":"-0.34","trdVol":"38.96","trdVolM":"3.90","ntP":"75.06","mVal":"0.75","wkhi":"360.45","wklo":"156.00","wkhicm_adj":"498.00","wklocm_adj":"209.00","xDt":"31-DEC-2999","cAct":"-","yPC":"-43.78","mPC":"-9.39"</v>
      </c>
      <c r="C131" s="12" t="s">
        <v>123</v>
      </c>
      <c r="D131" s="5" t="str">
        <f t="shared" si="39"/>
        <v>194.05</v>
      </c>
      <c r="E131" s="5" t="str">
        <f t="shared" si="39"/>
        <v>195.70</v>
      </c>
      <c r="F131" s="5" t="str">
        <f t="shared" si="39"/>
        <v>188.70</v>
      </c>
      <c r="G131" s="5" t="str">
        <f t="shared" si="39"/>
        <v>192.00</v>
      </c>
      <c r="H131" s="6" t="str">
        <f t="shared" si="40"/>
        <v xml:space="preserve">   </v>
      </c>
      <c r="I131" s="7" t="str">
        <f t="shared" si="41"/>
        <v xml:space="preserve">   </v>
      </c>
      <c r="J131" s="8" t="str">
        <f t="shared" si="42"/>
        <v xml:space="preserve">   </v>
      </c>
      <c r="K131" s="9" t="str">
        <f t="shared" si="43"/>
        <v xml:space="preserve">   </v>
      </c>
      <c r="L131" s="5"/>
    </row>
    <row r="132" spans="2:12" x14ac:dyDescent="0.25">
      <c r="B132" t="str">
        <f t="shared" si="38"/>
        <v>"CENTURYTEX","open":"627.40","high":"628.90","low":"616.85","ltP":"618.65","ptsC":"-4.55","per":"-0.73","trdVol":"4.33","trdVolM":"0.43","ntP":"26.93","mVal":"0.27","wkhi":"748.60","wklo":"403.00","wkhicm_adj":"664.40","wklocm_adj":"248.25","xDt":"31-DEC-2999","cAct":"-","yPC":"-6.76","mPC":"-1.70"</v>
      </c>
      <c r="C132" s="12" t="s">
        <v>124</v>
      </c>
      <c r="D132" s="5" t="str">
        <f t="shared" si="39"/>
        <v>627.40</v>
      </c>
      <c r="E132" s="5" t="str">
        <f t="shared" si="39"/>
        <v>628.90</v>
      </c>
      <c r="F132" s="5" t="str">
        <f t="shared" si="39"/>
        <v>616.85</v>
      </c>
      <c r="G132" s="5" t="str">
        <f t="shared" si="39"/>
        <v>618.65</v>
      </c>
      <c r="H132" s="6" t="str">
        <f t="shared" si="40"/>
        <v xml:space="preserve">   </v>
      </c>
      <c r="I132" s="7" t="str">
        <f t="shared" si="41"/>
        <v xml:space="preserve">   </v>
      </c>
      <c r="J132" s="8" t="str">
        <f t="shared" si="42"/>
        <v xml:space="preserve">   </v>
      </c>
      <c r="K132" s="9" t="str">
        <f t="shared" si="43"/>
        <v xml:space="preserve">   </v>
      </c>
      <c r="L132" s="5"/>
    </row>
    <row r="133" spans="2:12" x14ac:dyDescent="0.25">
      <c r="B133" t="str">
        <f t="shared" si="38"/>
        <v>"CESC","open":"563.70","high":"563.70","low":"552.35","ltP":"555.35","ptsC":"-7.00","per":"-1.24","trdVol":"1.90","trdVolM":"0.19","ntP":"10.55","mVal":"0.11","wkhi":"624.30","wklo":"404.55","wkhicm_adj":"827.45","wklocm_adj":"374.40","xDt":"17-MAR-2016","cAct":"INTERIM DIVIDEND - RS 10\/- PER SHARE (PURPOSE REVISED)","yPC":"1.42","mPC":"0.37"</v>
      </c>
      <c r="C133" s="12" t="s">
        <v>125</v>
      </c>
      <c r="D133" s="5" t="str">
        <f t="shared" si="39"/>
        <v>563.70</v>
      </c>
      <c r="E133" s="5" t="str">
        <f t="shared" si="39"/>
        <v>563.70</v>
      </c>
      <c r="F133" s="5" t="str">
        <f t="shared" si="39"/>
        <v>552.35</v>
      </c>
      <c r="G133" s="5" t="str">
        <f t="shared" si="39"/>
        <v>555.35</v>
      </c>
      <c r="H133" s="6" t="str">
        <f t="shared" si="40"/>
        <v xml:space="preserve">SHORT </v>
      </c>
      <c r="I133" s="7">
        <f t="shared" si="41"/>
        <v>560</v>
      </c>
      <c r="J133" s="8">
        <f t="shared" si="42"/>
        <v>566.51850000000002</v>
      </c>
      <c r="K133" s="9">
        <f t="shared" si="43"/>
        <v>8.3035714285713876E-3</v>
      </c>
      <c r="L133" s="5"/>
    </row>
    <row r="134" spans="2:12" x14ac:dyDescent="0.25">
      <c r="B134" t="str">
        <f t="shared" si="38"/>
        <v>"DISHTV","open":"87.00","high":"89.00","low":"85.40","ltP":"88.25","ptsC":"1.55","per":"1.79","trdVol":"40.37","trdVolM":"4.04","ntP":"35.22","mVal":"0.35","wkhi":"121.65","wklo":"65.20","wkhicm_adj":"65.90","wklocm_adj":"43.15","xDt":"31-DEC-2999","cAct":"-","yPC":"-9.07","mPC":"-2.92"</v>
      </c>
      <c r="C134" s="12" t="s">
        <v>126</v>
      </c>
      <c r="D134" s="5" t="str">
        <f t="shared" si="39"/>
        <v>87.00</v>
      </c>
      <c r="E134" s="5" t="str">
        <f t="shared" si="39"/>
        <v>89.00</v>
      </c>
      <c r="F134" s="5" t="str">
        <f t="shared" si="39"/>
        <v>85.40</v>
      </c>
      <c r="G134" s="5" t="str">
        <f t="shared" si="39"/>
        <v>88.25</v>
      </c>
      <c r="H134" s="6" t="str">
        <f t="shared" si="40"/>
        <v xml:space="preserve">   </v>
      </c>
      <c r="I134" s="7" t="str">
        <f t="shared" si="41"/>
        <v xml:space="preserve">   </v>
      </c>
      <c r="J134" s="8" t="str">
        <f t="shared" si="42"/>
        <v xml:space="preserve">   </v>
      </c>
      <c r="K134" s="9" t="str">
        <f t="shared" si="43"/>
        <v xml:space="preserve">   </v>
      </c>
      <c r="L134" s="5"/>
    </row>
    <row r="135" spans="2:12" x14ac:dyDescent="0.25">
      <c r="B135" t="str">
        <f t="shared" si="38"/>
        <v>"ENGINERSIN","open":"180.30","high":"184.90","low":"178.40","ltP":"181.20","ptsC":"0.75","per":"0.42","trdVol":"5.65","trdVolM":"0.56","ntP":"10.26","mVal":"0.10","wkhi":"252.20","wklo":"143.10","wkhicm_adj":"331.70","wklocm_adj":"142.50","xDt":"08-MAR-2016","cAct":"INTERIM DIVIDEND - RS 2\/- PER SHARE (PURPOSE REVISED)","yPC":"-9.35","mPC":"-1.89"</v>
      </c>
      <c r="C135" s="12" t="s">
        <v>127</v>
      </c>
      <c r="D135" s="5" t="str">
        <f t="shared" si="39"/>
        <v>180.30</v>
      </c>
      <c r="E135" s="5" t="str">
        <f t="shared" si="39"/>
        <v>184.90</v>
      </c>
      <c r="F135" s="5" t="str">
        <f t="shared" si="39"/>
        <v>178.40</v>
      </c>
      <c r="G135" s="5" t="str">
        <f t="shared" si="39"/>
        <v>181.20</v>
      </c>
      <c r="H135" s="6" t="str">
        <f t="shared" si="40"/>
        <v xml:space="preserve">   </v>
      </c>
      <c r="I135" s="7" t="str">
        <f t="shared" si="41"/>
        <v xml:space="preserve">   </v>
      </c>
      <c r="J135" s="8" t="str">
        <f t="shared" si="42"/>
        <v xml:space="preserve">   </v>
      </c>
      <c r="K135" s="9" t="str">
        <f t="shared" si="43"/>
        <v xml:space="preserve">   </v>
      </c>
      <c r="L135" s="5"/>
    </row>
    <row r="136" spans="2:12" x14ac:dyDescent="0.25">
      <c r="B136" t="str">
        <f t="shared" si="38"/>
        <v>"EXIDEIND","open":"158.00","high":"161.45","low":"156.80","ltP":"160.75","ptsC":"3.20","per":"2.03","trdVol":"9.23","trdVolM":"0.92","ntP":"14.72","mVal":"0.15","wkhi":"168.60","wklo":"116.00","wkhicm_adj":"183.40","wklocm_adj":"99.00","xDt":"31-DEC-2999","cAct":"-","yPC":"4.38","mPC":"7.53"</v>
      </c>
      <c r="C136" s="12" t="s">
        <v>128</v>
      </c>
      <c r="D136" s="5" t="str">
        <f t="shared" si="39"/>
        <v>158.00</v>
      </c>
      <c r="E136" s="5" t="str">
        <f t="shared" si="39"/>
        <v>161.45</v>
      </c>
      <c r="F136" s="5" t="str">
        <f t="shared" si="39"/>
        <v>156.80</v>
      </c>
      <c r="G136" s="5" t="str">
        <f t="shared" si="39"/>
        <v>160.75</v>
      </c>
      <c r="H136" s="6" t="str">
        <f t="shared" si="40"/>
        <v xml:space="preserve">   </v>
      </c>
      <c r="I136" s="7" t="str">
        <f t="shared" si="41"/>
        <v xml:space="preserve">   </v>
      </c>
      <c r="J136" s="8" t="str">
        <f t="shared" si="42"/>
        <v xml:space="preserve">   </v>
      </c>
      <c r="K136" s="9" t="str">
        <f t="shared" si="43"/>
        <v xml:space="preserve">   </v>
      </c>
      <c r="L136" s="5"/>
    </row>
    <row r="137" spans="2:12" x14ac:dyDescent="0.25">
      <c r="B137" t="str">
        <f t="shared" si="38"/>
        <v>"FEDERALBNK","open":"53.00","high":"53.30","low":"52.20","ltP":"52.20","ptsC":"-0.35","per":"-0.67","trdVol":"32.83","trdVolM":"3.28","ntP":"17.30","mVal":"0.17","wkhi":"79.80","wklo":"41.35","wkhicm_adj":"152.95","wklocm_adj":"72.35","xDt":"31-DEC-2999","cAct":"-","yPC":"-26.92","mPC":"8.75"</v>
      </c>
      <c r="C137" s="12" t="s">
        <v>129</v>
      </c>
      <c r="D137" s="5" t="str">
        <f t="shared" si="39"/>
        <v>53.00</v>
      </c>
      <c r="E137" s="5" t="str">
        <f t="shared" si="39"/>
        <v>53.30</v>
      </c>
      <c r="F137" s="5" t="str">
        <f t="shared" si="39"/>
        <v>52.20</v>
      </c>
      <c r="G137" s="5" t="str">
        <f t="shared" si="39"/>
        <v>52.20</v>
      </c>
      <c r="H137" s="6" t="str">
        <f t="shared" si="40"/>
        <v xml:space="preserve">   </v>
      </c>
      <c r="I137" s="7" t="str">
        <f t="shared" si="41"/>
        <v xml:space="preserve">   </v>
      </c>
      <c r="J137" s="8" t="str">
        <f t="shared" si="42"/>
        <v xml:space="preserve">   </v>
      </c>
      <c r="K137" s="9" t="str">
        <f t="shared" si="43"/>
        <v xml:space="preserve">   </v>
      </c>
      <c r="L137" s="5"/>
    </row>
    <row r="138" spans="2:12" x14ac:dyDescent="0.25">
      <c r="B138" t="str">
        <f t="shared" si="38"/>
        <v>"GMRINFRA","open":"11.60","high":"11.65","low":"11.35","ltP":"11.55","ptsC":"0.10","per":"0.87","trdVol":"53.97","trdVolM":"5.40","ntP":"6.22","mVal":"0.06","wkhi":"18.55","wklo":"9.75","wkhicm_adj":"38.25","wklocm_adj":"17.15","xDt":"31-DEC-2999","cAct":"-","yPC":"-20.07","mPC":"-7.23"</v>
      </c>
      <c r="C138" s="12" t="s">
        <v>130</v>
      </c>
      <c r="D138" s="5" t="str">
        <f t="shared" si="39"/>
        <v>11.60</v>
      </c>
      <c r="E138" s="5" t="str">
        <f t="shared" si="39"/>
        <v>11.65</v>
      </c>
      <c r="F138" s="5" t="str">
        <f t="shared" si="39"/>
        <v>11.35</v>
      </c>
      <c r="G138" s="5" t="str">
        <f t="shared" si="39"/>
        <v>11.55</v>
      </c>
      <c r="H138" s="6" t="str">
        <f t="shared" si="40"/>
        <v xml:space="preserve">   </v>
      </c>
      <c r="I138" s="7" t="str">
        <f t="shared" si="41"/>
        <v xml:space="preserve">   </v>
      </c>
      <c r="J138" s="8" t="str">
        <f t="shared" si="42"/>
        <v xml:space="preserve">   </v>
      </c>
      <c r="K138" s="9" t="str">
        <f t="shared" si="43"/>
        <v xml:space="preserve">   </v>
      </c>
      <c r="L138" s="5"/>
    </row>
    <row r="139" spans="2:12" x14ac:dyDescent="0.25">
      <c r="B139" t="str">
        <f t="shared" si="38"/>
        <v>"GODREJIND","open":"348.00","high":"356.95","low":"346.15","ltP":"351.55","ptsC":"3.70","per":"1.06","trdVol":"3.21","trdVolM":"0.32","ntP":"11.31","mVal":"0.11","wkhi":"412.00","wklo":"290.00","wkhicm_adj":"372.80","wklocm_adj":"248.50","xDt":"15-MAR-2016","cAct":"INTERIM DIVIDEND - RE 1.75 PER SHARE (PURPOSE REVISED)","yPC":"-6.87","mPC":"-1.15"</v>
      </c>
      <c r="C139" s="12" t="s">
        <v>131</v>
      </c>
      <c r="D139" s="5" t="str">
        <f t="shared" si="39"/>
        <v>348.00</v>
      </c>
      <c r="E139" s="5" t="str">
        <f t="shared" si="39"/>
        <v>356.95</v>
      </c>
      <c r="F139" s="5" t="str">
        <f t="shared" si="39"/>
        <v>346.15</v>
      </c>
      <c r="G139" s="5" t="str">
        <f t="shared" si="39"/>
        <v>351.55</v>
      </c>
      <c r="H139" s="6" t="str">
        <f t="shared" si="40"/>
        <v xml:space="preserve">   </v>
      </c>
      <c r="I139" s="7" t="str">
        <f t="shared" si="41"/>
        <v xml:space="preserve">   </v>
      </c>
      <c r="J139" s="8" t="str">
        <f t="shared" si="42"/>
        <v xml:space="preserve">   </v>
      </c>
      <c r="K139" s="9" t="str">
        <f t="shared" si="43"/>
        <v xml:space="preserve">   </v>
      </c>
      <c r="L139" s="5"/>
    </row>
    <row r="140" spans="2:12" x14ac:dyDescent="0.25">
      <c r="B140" t="str">
        <f t="shared" si="38"/>
        <v>"HAVELLS","open":"374.50","high":"377.80","low":"370.35","ltP":"372.25","ptsC":"-2.65","per":"-0.71","trdVol":"17.50","trdVolM":"1.75","ntP":"65.20","mVal":"0.65","wkhi":"378.40","wklo":"235.30","wkhicm_adj":"326.50","wklocm_adj":"143.57","xDt":"31-DEC-2999","cAct":"-","yPC":"37.18","mPC":"8.15"</v>
      </c>
      <c r="C140" s="12" t="s">
        <v>132</v>
      </c>
      <c r="D140" s="5" t="str">
        <f t="shared" si="39"/>
        <v>374.50</v>
      </c>
      <c r="E140" s="5" t="str">
        <f t="shared" si="39"/>
        <v>377.80</v>
      </c>
      <c r="F140" s="5" t="str">
        <f t="shared" si="39"/>
        <v>370.35</v>
      </c>
      <c r="G140" s="5" t="str">
        <f t="shared" si="39"/>
        <v>372.25</v>
      </c>
      <c r="H140" s="6" t="str">
        <f t="shared" si="40"/>
        <v xml:space="preserve">   </v>
      </c>
      <c r="I140" s="7" t="str">
        <f t="shared" si="41"/>
        <v xml:space="preserve">   </v>
      </c>
      <c r="J140" s="8" t="str">
        <f t="shared" si="42"/>
        <v xml:space="preserve">   </v>
      </c>
      <c r="K140" s="9" t="str">
        <f t="shared" si="43"/>
        <v xml:space="preserve">   </v>
      </c>
      <c r="L140" s="5"/>
    </row>
    <row r="141" spans="2:12" x14ac:dyDescent="0.25">
      <c r="B141" t="str">
        <f t="shared" si="38"/>
        <v>"HEXAWARE","open":"216.90","high":"219.50","low":"215.20","ltP":"218.50","ptsC":"2.80","per":"1.30","trdVol":"9.86","trdVolM":"0.99","ntP":"21.48","mVal":"0.21","wkhi":"298.50","wklo":"201.50","wkhicm_adj":"226.25","wklocm_adj":"111.90","xDt":"13-MAY-2016","cAct":"INTERIM DIVIDEND - RS 2.50\/- PER SHARE","yPC":"-22.83","mPC":"-10.49"</v>
      </c>
      <c r="C141" s="12" t="s">
        <v>133</v>
      </c>
      <c r="D141" s="5" t="str">
        <f t="shared" si="39"/>
        <v>216.90</v>
      </c>
      <c r="E141" s="5" t="str">
        <f t="shared" si="39"/>
        <v>219.50</v>
      </c>
      <c r="F141" s="5" t="str">
        <f t="shared" si="39"/>
        <v>215.20</v>
      </c>
      <c r="G141" s="5" t="str">
        <f t="shared" si="39"/>
        <v>218.50</v>
      </c>
      <c r="H141" s="6" t="str">
        <f t="shared" si="40"/>
        <v xml:space="preserve">   </v>
      </c>
      <c r="I141" s="7" t="str">
        <f t="shared" si="41"/>
        <v xml:space="preserve">   </v>
      </c>
      <c r="J141" s="8" t="str">
        <f t="shared" si="42"/>
        <v xml:space="preserve">   </v>
      </c>
      <c r="K141" s="9" t="str">
        <f t="shared" si="43"/>
        <v xml:space="preserve">   </v>
      </c>
      <c r="L141" s="5"/>
    </row>
    <row r="142" spans="2:12" x14ac:dyDescent="0.25">
      <c r="B142" t="str">
        <f t="shared" si="38"/>
        <v>"IDBI","open":"68.20","high":"68.70","low":"66.60","ltP":"67.30","ptsC":"-0.15","per":"-0.22","trdVol":"24.33","trdVolM":"2.43","ntP":"16.44","mVal":"0.16","wkhi":"95.70","wklo":"47.25","wkhicm_adj":"116.40","wklocm_adj":"52.90","xDt":"31-DEC-2999","cAct":"-","yPC":"-4.74","mPC":"-5.08"</v>
      </c>
      <c r="C142" s="12" t="s">
        <v>134</v>
      </c>
      <c r="D142" s="5" t="str">
        <f t="shared" si="39"/>
        <v>68.20</v>
      </c>
      <c r="E142" s="5" t="str">
        <f t="shared" si="39"/>
        <v>68.70</v>
      </c>
      <c r="F142" s="5" t="str">
        <f t="shared" si="39"/>
        <v>66.60</v>
      </c>
      <c r="G142" s="5" t="str">
        <f t="shared" si="39"/>
        <v>67.30</v>
      </c>
      <c r="H142" s="6" t="str">
        <f t="shared" si="40"/>
        <v xml:space="preserve">   </v>
      </c>
      <c r="I142" s="7" t="str">
        <f t="shared" si="41"/>
        <v xml:space="preserve">   </v>
      </c>
      <c r="J142" s="8" t="str">
        <f t="shared" si="42"/>
        <v xml:space="preserve">   </v>
      </c>
      <c r="K142" s="9" t="str">
        <f t="shared" si="43"/>
        <v xml:space="preserve">   </v>
      </c>
      <c r="L142" s="5"/>
    </row>
    <row r="143" spans="2:12" x14ac:dyDescent="0.25">
      <c r="B143" t="str">
        <f t="shared" si="38"/>
        <v>"IDFC","open":"50.35","high":"53.50","low":"49.25","ltP":"51.75","ptsC":"2.10","per":"4.23","trdVol":"90.31","trdVolM":"9.03","ntP":"46.89","mVal":"0.47","wkhi":"163.60","wklo":"34.80","wkhicm_adj":"166.65","wklocm_adj":"88.05","xDt":"31-DEC-2999","cAct":"-","yPC":"-66.19","mPC":"11.41"</v>
      </c>
      <c r="C143" s="12" t="s">
        <v>135</v>
      </c>
      <c r="D143" s="5" t="str">
        <f t="shared" si="39"/>
        <v>50.35</v>
      </c>
      <c r="E143" s="5" t="str">
        <f t="shared" si="39"/>
        <v>53.50</v>
      </c>
      <c r="F143" s="5" t="str">
        <f t="shared" si="39"/>
        <v>49.25</v>
      </c>
      <c r="G143" s="5" t="str">
        <f t="shared" si="39"/>
        <v>51.75</v>
      </c>
      <c r="H143" s="6" t="str">
        <f t="shared" si="40"/>
        <v xml:space="preserve">   </v>
      </c>
      <c r="I143" s="7" t="str">
        <f t="shared" si="41"/>
        <v xml:space="preserve">   </v>
      </c>
      <c r="J143" s="8" t="str">
        <f t="shared" si="42"/>
        <v xml:space="preserve">   </v>
      </c>
      <c r="K143" s="9" t="str">
        <f t="shared" si="43"/>
        <v xml:space="preserve">   </v>
      </c>
      <c r="L143" s="5"/>
    </row>
    <row r="144" spans="2:12" x14ac:dyDescent="0.25">
      <c r="B144" t="str">
        <f t="shared" si="38"/>
        <v>"IGL","open":"574.00","high":"575.60","low":"565.00","ltP":"565.05","ptsC":"-9.25","per":"-1.61","trdVol":"2.55","trdVolM":"0.25","ntP":"14.44","mVal":"0.14","wkhi":"608.00","wklo":"375.35","wkhicm_adj":"458.80","wklocm_adj":"238.05","xDt":"31-DEC-2999","cAct":"-","yPC":"41.21","mPC":"-1.22"</v>
      </c>
      <c r="C144" s="12" t="s">
        <v>136</v>
      </c>
      <c r="D144" s="5" t="str">
        <f t="shared" si="39"/>
        <v>574.00</v>
      </c>
      <c r="E144" s="5" t="str">
        <f t="shared" si="39"/>
        <v>575.60</v>
      </c>
      <c r="F144" s="5" t="str">
        <f t="shared" si="39"/>
        <v>565.00</v>
      </c>
      <c r="G144" s="5" t="str">
        <f t="shared" si="39"/>
        <v>565.05</v>
      </c>
      <c r="H144" s="6" t="str">
        <f t="shared" si="40"/>
        <v xml:space="preserve">   </v>
      </c>
      <c r="I144" s="7" t="str">
        <f t="shared" si="41"/>
        <v xml:space="preserve">   </v>
      </c>
      <c r="J144" s="8" t="str">
        <f t="shared" si="42"/>
        <v xml:space="preserve">   </v>
      </c>
      <c r="K144" s="9" t="str">
        <f t="shared" si="43"/>
        <v xml:space="preserve">   </v>
      </c>
      <c r="L144" s="5"/>
    </row>
    <row r="145" spans="2:12" x14ac:dyDescent="0.25">
      <c r="B145" t="str">
        <f t="shared" si="38"/>
        <v>"IRB","open":"219.95","high":"221.70","low":"216.70","ltP":"218.10","ptsC":"-0.80","per":"-0.37","trdVol":"8.28","trdVolM":"0.83","ntP":"18.12","mVal":"0.18","wkhi":"272.00","wklo":"197.10","wkhicm_adj":"289.65","wklocm_adj":"67.20","xDt":"16-MAR-2016","cAct":"INTERIM DIVIDEND - RS 2\/- PER SHARE (PURPOSE REVISED)","yPC":"-11.54","mPC":"1.09"</v>
      </c>
      <c r="C145" s="12" t="s">
        <v>137</v>
      </c>
      <c r="D145" s="5" t="str">
        <f t="shared" si="39"/>
        <v>219.95</v>
      </c>
      <c r="E145" s="5" t="str">
        <f t="shared" si="39"/>
        <v>221.70</v>
      </c>
      <c r="F145" s="5" t="str">
        <f t="shared" si="39"/>
        <v>216.70</v>
      </c>
      <c r="G145" s="5" t="str">
        <f t="shared" si="39"/>
        <v>218.10</v>
      </c>
      <c r="H145" s="6" t="str">
        <f t="shared" si="40"/>
        <v xml:space="preserve">   </v>
      </c>
      <c r="I145" s="7" t="str">
        <f t="shared" si="41"/>
        <v xml:space="preserve">   </v>
      </c>
      <c r="J145" s="8" t="str">
        <f t="shared" si="42"/>
        <v xml:space="preserve">   </v>
      </c>
      <c r="K145" s="9" t="str">
        <f t="shared" si="43"/>
        <v xml:space="preserve">   </v>
      </c>
      <c r="L145" s="5"/>
    </row>
    <row r="146" spans="2:12" x14ac:dyDescent="0.25">
      <c r="B146" t="str">
        <f t="shared" si="38"/>
        <v>"JINDALSTEL","open":"62.60","high":"63.25","low":"61.40","ltP":"62.05","ptsC":"0.45","per":"0.73","trdVol":"49.15","trdVolM":"4.91","ntP":"30.57","mVal":"0.31","wkhi":"128.70","wklo":"48.10","wkhicm_adj":"351.00","wklocm_adj":"127.70","xDt":"31-DEC-2999","cAct":"-","yPC":"-47.48","mPC":"-19.21"</v>
      </c>
      <c r="C146" s="12" t="s">
        <v>138</v>
      </c>
      <c r="D146" s="5" t="str">
        <f t="shared" si="39"/>
        <v>62.60</v>
      </c>
      <c r="E146" s="5" t="str">
        <f t="shared" si="39"/>
        <v>63.25</v>
      </c>
      <c r="F146" s="5" t="str">
        <f t="shared" si="39"/>
        <v>61.40</v>
      </c>
      <c r="G146" s="5" t="str">
        <f t="shared" si="39"/>
        <v>62.05</v>
      </c>
      <c r="H146" s="6" t="str">
        <f t="shared" si="40"/>
        <v xml:space="preserve">   </v>
      </c>
      <c r="I146" s="7" t="str">
        <f t="shared" si="41"/>
        <v xml:space="preserve">   </v>
      </c>
      <c r="J146" s="8" t="str">
        <f t="shared" si="42"/>
        <v xml:space="preserve">   </v>
      </c>
      <c r="K146" s="9" t="str">
        <f t="shared" si="43"/>
        <v xml:space="preserve">   </v>
      </c>
      <c r="L146" s="5"/>
    </row>
    <row r="147" spans="2:12" x14ac:dyDescent="0.25">
      <c r="B147" t="str">
        <f t="shared" si="38"/>
        <v>"JSWENERGY","open":"72.50","high":"74.40","low":"70.65","ltP":"71.40","ptsC":"-0.30","per":"-0.42","trdVol":"20.44","trdVolM":"2.04","ntP":"14.76","mVal":"0.15","wkhi":"114.30","wklo":"59.00","wkhicm_adj":"97.40","wklocm_adj":"39.85","xDt":"31-DEC-2999","cAct":"-","yPC":"-36.14","mPC":"5.23"</v>
      </c>
      <c r="C147" s="12" t="s">
        <v>139</v>
      </c>
      <c r="D147" s="5" t="str">
        <f t="shared" si="39"/>
        <v>72.50</v>
      </c>
      <c r="E147" s="5" t="str">
        <f t="shared" si="39"/>
        <v>74.40</v>
      </c>
      <c r="F147" s="5" t="str">
        <f t="shared" si="39"/>
        <v>70.65</v>
      </c>
      <c r="G147" s="5" t="str">
        <f t="shared" si="39"/>
        <v>71.40</v>
      </c>
      <c r="H147" s="6" t="str">
        <f t="shared" si="40"/>
        <v xml:space="preserve">   </v>
      </c>
      <c r="I147" s="7" t="str">
        <f t="shared" si="41"/>
        <v xml:space="preserve">   </v>
      </c>
      <c r="J147" s="8" t="str">
        <f t="shared" si="42"/>
        <v xml:space="preserve">   </v>
      </c>
      <c r="K147" s="9" t="str">
        <f t="shared" si="43"/>
        <v xml:space="preserve">   </v>
      </c>
      <c r="L147" s="5"/>
    </row>
    <row r="148" spans="2:12" x14ac:dyDescent="0.25">
      <c r="B148" t="str">
        <f t="shared" si="38"/>
        <v>"JUBLFOOD","open":"1,094.00","high":"1,094.00","low":"1,011.10","ltP":"1,025.25","ptsC":"-86.70","per":"-7.80","trdVol":"20.55","trdVolM":"2.05","ntP":"214.21","mVal":"2.14","wkhi":"1,959.50","wklo":"887.35","wkhicm_adj":"1,497.40","wklocm_adj":"937.70","xDt":"31-DEC-2999","cAct":"-","yPC":"-41.65","mPC":"-23.05"</v>
      </c>
      <c r="C148" s="12" t="s">
        <v>140</v>
      </c>
      <c r="D148" s="5" t="str">
        <f t="shared" si="39"/>
        <v>1,094.00</v>
      </c>
      <c r="E148" s="5" t="str">
        <f t="shared" si="39"/>
        <v>1,094.00</v>
      </c>
      <c r="F148" s="5" t="str">
        <f t="shared" si="39"/>
        <v>1,011.10</v>
      </c>
      <c r="G148" s="5" t="str">
        <f t="shared" si="39"/>
        <v>1,025.25</v>
      </c>
      <c r="H148" s="6" t="str">
        <f t="shared" si="40"/>
        <v xml:space="preserve">SHORT </v>
      </c>
      <c r="I148" s="7">
        <f t="shared" si="41"/>
        <v>1088</v>
      </c>
      <c r="J148" s="8">
        <f t="shared" si="42"/>
        <v>1099.47</v>
      </c>
      <c r="K148" s="9">
        <f t="shared" si="43"/>
        <v>5.767463235294118E-2</v>
      </c>
      <c r="L148" s="5"/>
    </row>
    <row r="149" spans="2:12" x14ac:dyDescent="0.25">
      <c r="B149" t="str">
        <f t="shared" si="38"/>
        <v>"JUSTDIAL","open":"656.00","high":"661.95","low":"640.00","ltP":"643.00","ptsC":"-11.25","per":"-1.72","trdVol":"9.79","trdVolM":"0.98","ntP":"63.43","mVal":"0.63","wkhi":"1,290.00","wklo":"375.70","wkhicm_adj":"1,894.40","wklocm_adj":"982.60","xDt":"31-DEC-2999","cAct":"-","yPC":"-42.83","mPC":"-24.32"</v>
      </c>
      <c r="C149" s="12" t="s">
        <v>141</v>
      </c>
      <c r="D149" s="5" t="str">
        <f t="shared" si="39"/>
        <v>656.00</v>
      </c>
      <c r="E149" s="5" t="str">
        <f t="shared" si="39"/>
        <v>661.95</v>
      </c>
      <c r="F149" s="5" t="str">
        <f t="shared" si="39"/>
        <v>640.00</v>
      </c>
      <c r="G149" s="5" t="str">
        <f t="shared" si="39"/>
        <v>643.00</v>
      </c>
      <c r="H149" s="6" t="str">
        <f t="shared" si="40"/>
        <v xml:space="preserve">   </v>
      </c>
      <c r="I149" s="7" t="str">
        <f t="shared" si="41"/>
        <v xml:space="preserve">   </v>
      </c>
      <c r="J149" s="8" t="str">
        <f t="shared" si="42"/>
        <v xml:space="preserve">   </v>
      </c>
      <c r="K149" s="9" t="str">
        <f t="shared" si="43"/>
        <v xml:space="preserve">   </v>
      </c>
      <c r="L149" s="5"/>
    </row>
    <row r="150" spans="2:12" x14ac:dyDescent="0.25">
      <c r="B150" t="str">
        <f t="shared" si="38"/>
        <v>"L&amp;TFH","open":"74.00","high":"78.85","low":"72.95","ltP":"78.00","ptsC":"4.25","per":"5.76","trdVol":"115.10","trdVolM":"11.51","ntP":"88.74","mVal":"0.89","wkhi":"78.85","wklo":"48.25","wkhicm_adj":"88.25","wklocm_adj":"62.30","xDt":"31-DEC-2999","cAct":"-","yPC":"22.45","mPC":"8.79"</v>
      </c>
      <c r="C150" s="12" t="s">
        <v>142</v>
      </c>
      <c r="D150" s="5" t="str">
        <f t="shared" si="39"/>
        <v>74.00</v>
      </c>
      <c r="E150" s="5" t="str">
        <f t="shared" si="39"/>
        <v>78.85</v>
      </c>
      <c r="F150" s="5" t="str">
        <f t="shared" si="39"/>
        <v>72.95</v>
      </c>
      <c r="G150" s="5" t="str">
        <f t="shared" si="39"/>
        <v>78.00</v>
      </c>
      <c r="H150" s="6" t="str">
        <f t="shared" si="40"/>
        <v xml:space="preserve">   </v>
      </c>
      <c r="I150" s="7" t="str">
        <f t="shared" si="41"/>
        <v xml:space="preserve">   </v>
      </c>
      <c r="J150" s="8" t="str">
        <f t="shared" si="42"/>
        <v xml:space="preserve">   </v>
      </c>
      <c r="K150" s="9" t="str">
        <f t="shared" si="43"/>
        <v xml:space="preserve">   </v>
      </c>
      <c r="L150" s="5"/>
    </row>
    <row r="151" spans="2:12" x14ac:dyDescent="0.25">
      <c r="B151" t="str">
        <f t="shared" si="38"/>
        <v>"M&amp;MFIN","open":"324.80","high":"330.45","low":"321.95","ltP":"328.00","ptsC":"3.15","per":"0.97","trdVol":"7.56","trdVolM":"0.76","ntP":"24.70","mVal":"0.25","wkhi":"330.45","wklo":"173.10","wkhicm_adj":"356.50","wklocm_adj":"229.25","xDt":"31-DEC-2999","cAct":"-","yPC":"23.08","mPC":"6.94"</v>
      </c>
      <c r="C151" s="12" t="s">
        <v>143</v>
      </c>
      <c r="D151" s="5" t="str">
        <f t="shared" si="39"/>
        <v>324.80</v>
      </c>
      <c r="E151" s="5" t="str">
        <f t="shared" si="39"/>
        <v>330.45</v>
      </c>
      <c r="F151" s="5" t="str">
        <f t="shared" si="39"/>
        <v>321.95</v>
      </c>
      <c r="G151" s="5" t="str">
        <f t="shared" si="39"/>
        <v>328.00</v>
      </c>
      <c r="H151" s="6" t="str">
        <f t="shared" si="40"/>
        <v xml:space="preserve">   </v>
      </c>
      <c r="I151" s="7" t="str">
        <f t="shared" si="41"/>
        <v xml:space="preserve">   </v>
      </c>
      <c r="J151" s="8" t="str">
        <f t="shared" si="42"/>
        <v xml:space="preserve">   </v>
      </c>
      <c r="K151" s="9" t="str">
        <f t="shared" si="43"/>
        <v xml:space="preserve">   </v>
      </c>
      <c r="L151" s="5"/>
    </row>
    <row r="152" spans="2:12" x14ac:dyDescent="0.25">
      <c r="B152" t="str">
        <f t="shared" si="38"/>
        <v>"MINDTREE","open":"667.60","high":"681.80","low":"667.60","ltP":"672.70","ptsC":"5.10","per":"0.76","trdVol":"3.03","trdVolM":"0.30","ntP":"20.45","mVal":"0.20","wkhi":"804.50","wklo":"594.03","wkhicm_adj":"1,268.30","wklocm_adj":"648.75","xDt":"11-APR-2016","cAct":"INTERIM DIVIDEND - RS 2\/- PER SHARE (PURPOSE REVISED)","yPC":"-7.14","mPC":"-3.86"</v>
      </c>
      <c r="C152" s="12" t="s">
        <v>144</v>
      </c>
      <c r="D152" s="5" t="str">
        <f t="shared" si="39"/>
        <v>667.60</v>
      </c>
      <c r="E152" s="5" t="str">
        <f t="shared" si="39"/>
        <v>681.80</v>
      </c>
      <c r="F152" s="5" t="str">
        <f t="shared" si="39"/>
        <v>667.60</v>
      </c>
      <c r="G152" s="5" t="str">
        <f t="shared" si="39"/>
        <v>672.70</v>
      </c>
      <c r="H152" s="6" t="str">
        <f t="shared" si="40"/>
        <v xml:space="preserve">LONG </v>
      </c>
      <c r="I152" s="7">
        <f t="shared" si="41"/>
        <v>672</v>
      </c>
      <c r="J152" s="8">
        <f t="shared" si="42"/>
        <v>664.26200000000006</v>
      </c>
      <c r="K152" s="9">
        <f t="shared" si="43"/>
        <v>1.0416666666667343E-3</v>
      </c>
      <c r="L152" s="5"/>
    </row>
    <row r="153" spans="2:12" x14ac:dyDescent="0.25">
      <c r="B153" t="str">
        <f t="shared" si="38"/>
        <v>"MRF","open":"33,719.00","high":"33,840.00","low":"33,222.10","ltP":"33,500.00","ptsC":"-42.20","per":"-0.13","trdVol":"0.03","trdVolM":"0.00","ntP":"9.66","mVal":"0.10","wkhi":"46,399.00","wklo":"31,002.00","wkhicm_adj":"33,980.00","wklocm_adj":"17,070.00","xDt":"31-DEC-2999","cAct":"-","yPC":"-5.32","mPC":"-3.70"</v>
      </c>
      <c r="C153" s="12" t="s">
        <v>145</v>
      </c>
      <c r="D153" s="5" t="str">
        <f t="shared" si="39"/>
        <v>33,719.00</v>
      </c>
      <c r="E153" s="5" t="str">
        <f t="shared" si="39"/>
        <v>33,840.00</v>
      </c>
      <c r="F153" s="5" t="str">
        <f t="shared" si="39"/>
        <v>33,222.10</v>
      </c>
      <c r="G153" s="5" t="str">
        <f t="shared" si="39"/>
        <v>33,500.00</v>
      </c>
      <c r="H153" s="6" t="str">
        <f t="shared" si="40"/>
        <v xml:space="preserve">   </v>
      </c>
      <c r="I153" s="7" t="str">
        <f t="shared" si="41"/>
        <v xml:space="preserve">   </v>
      </c>
      <c r="J153" s="8" t="str">
        <f t="shared" si="42"/>
        <v xml:space="preserve">   </v>
      </c>
      <c r="K153" s="9" t="str">
        <f t="shared" si="43"/>
        <v xml:space="preserve">   </v>
      </c>
      <c r="L153" s="5"/>
    </row>
    <row r="154" spans="2:12" x14ac:dyDescent="0.25">
      <c r="B154" t="str">
        <f t="shared" si="38"/>
        <v>"PAGEIND","open":"13,500.00","high":"14,169.00","low":"13,500.00","ltP":"13,980.00","ptsC":"507.75","per":"3.77","trdVol":"0.21","trdVolM":"0.02","ntP":"29.79","mVal":"0.30","wkhi":"17,000.00","wklo":"9,752.35","wkhicm_adj":"10,390.00","wklocm_adj":"5,010.00","xDt":"31-DEC-2999","cAct":"-","yPC":"-8.11","mPC":"7.71"</v>
      </c>
      <c r="C154" s="12" t="s">
        <v>146</v>
      </c>
      <c r="D154" s="5" t="str">
        <f t="shared" si="39"/>
        <v>13,500.00</v>
      </c>
      <c r="E154" s="5" t="str">
        <f t="shared" si="39"/>
        <v>14,169.00</v>
      </c>
      <c r="F154" s="5" t="str">
        <f t="shared" si="39"/>
        <v>13,500.00</v>
      </c>
      <c r="G154" s="5" t="str">
        <f t="shared" si="39"/>
        <v>13,980.00</v>
      </c>
      <c r="H154" s="6" t="str">
        <f t="shared" si="40"/>
        <v xml:space="preserve">LONG </v>
      </c>
      <c r="I154" s="7">
        <f t="shared" si="41"/>
        <v>13519</v>
      </c>
      <c r="J154" s="8">
        <f t="shared" si="42"/>
        <v>13432.5</v>
      </c>
      <c r="K154" s="9">
        <f t="shared" si="43"/>
        <v>3.4100155336933204E-2</v>
      </c>
      <c r="L154" s="5"/>
    </row>
    <row r="155" spans="2:12" x14ac:dyDescent="0.25">
      <c r="B155" t="str">
        <f t="shared" si="38"/>
        <v>"PCJEWELLER","open":"368.00","high":"370.00","low":"359.95","ltP":"361.05","ptsC":"-7.05","per":"-1.92","trdVol":"1.13","trdVolM":"0.11","ntP":"4.12","mVal":"0.04","wkhi":"493.40","wklo":"295.80","wkhicm_adj":"278.00","wklocm_adj":"72.00","xDt":"31-DEC-2999","cAct":"-","yPC":"-2.56","mPC":"-1.12"</v>
      </c>
      <c r="C155" s="12" t="s">
        <v>147</v>
      </c>
      <c r="D155" s="5" t="str">
        <f t="shared" si="39"/>
        <v>368.00</v>
      </c>
      <c r="E155" s="5" t="str">
        <f t="shared" si="39"/>
        <v>370.00</v>
      </c>
      <c r="F155" s="5" t="str">
        <f t="shared" si="39"/>
        <v>359.95</v>
      </c>
      <c r="G155" s="5" t="str">
        <f t="shared" si="39"/>
        <v>361.05</v>
      </c>
      <c r="H155" s="6" t="str">
        <f t="shared" si="40"/>
        <v xml:space="preserve">   </v>
      </c>
      <c r="I155" s="7" t="str">
        <f t="shared" si="41"/>
        <v xml:space="preserve">   </v>
      </c>
      <c r="J155" s="8" t="str">
        <f t="shared" si="42"/>
        <v xml:space="preserve">   </v>
      </c>
      <c r="K155" s="9" t="str">
        <f t="shared" si="43"/>
        <v xml:space="preserve">   </v>
      </c>
      <c r="L155" s="5"/>
    </row>
    <row r="156" spans="2:12" x14ac:dyDescent="0.25">
      <c r="B156" t="str">
        <f t="shared" si="38"/>
        <v>"PETRONET","open":"274.80","high":"279.80","low":"270.20","ltP":"278.90","ptsC":"5.75","per":"2.11","trdVol":"6.10","trdVolM":"0.61","ntP":"16.85","mVal":"0.17","wkhi":"284.80","wklo":"163.55","wkhicm_adj":"208.80","wklocm_adj":"102.60","xDt":"31-DEC-2999","cAct":"-","yPC":"51.91","mPC":"5.82"</v>
      </c>
      <c r="C156" s="12" t="s">
        <v>148</v>
      </c>
      <c r="D156" s="5" t="str">
        <f t="shared" si="39"/>
        <v>274.80</v>
      </c>
      <c r="E156" s="5" t="str">
        <f t="shared" si="39"/>
        <v>279.80</v>
      </c>
      <c r="F156" s="5" t="str">
        <f t="shared" si="39"/>
        <v>270.20</v>
      </c>
      <c r="G156" s="5" t="str">
        <f t="shared" si="39"/>
        <v>278.90</v>
      </c>
      <c r="H156" s="6" t="str">
        <f t="shared" si="40"/>
        <v xml:space="preserve">   </v>
      </c>
      <c r="I156" s="7" t="str">
        <f t="shared" si="41"/>
        <v xml:space="preserve">   </v>
      </c>
      <c r="J156" s="8" t="str">
        <f t="shared" si="42"/>
        <v xml:space="preserve">   </v>
      </c>
      <c r="K156" s="9" t="str">
        <f t="shared" si="43"/>
        <v xml:space="preserve">   </v>
      </c>
      <c r="L156" s="5"/>
    </row>
    <row r="157" spans="2:12" x14ac:dyDescent="0.25">
      <c r="B157" t="str">
        <f t="shared" si="38"/>
        <v>"RELCAPITAL","open":"417.75","high":"420.90","low":"412.10","ltP":"413.30","ptsC":"-0.70","per":"-0.17","trdVol":"24.40","trdVolM":"2.44","ntP":"101.52","mVal":"1.02","wkhi":"471.00","wklo":"246.35","wkhicm_adj":"669.90","wklocm_adj":"304.50","xDt":"31-DEC-2999","cAct":"-","yPC":"6.80","mPC":"2.33"</v>
      </c>
      <c r="C157" s="12" t="s">
        <v>149</v>
      </c>
      <c r="D157" s="5" t="str">
        <f>MID($B157,FIND(D$9,$B157)+LEN(D$9)+3,FIND(CHAR(34),$B157,FIND(D$9,$B157)+LEN(D$9)+3)-(FIND(D$9,$B157)+LEN(D$9)+3))</f>
        <v>417.75</v>
      </c>
      <c r="E157" s="5" t="str">
        <f>MID($B157,FIND(E$9,$B157)+LEN(E$9)+3,FIND(CHAR(34),$B157,FIND(E$9,$B157)+LEN(E$9)+3)-(FIND(E$9,$B157)+LEN(E$9)+3))</f>
        <v>420.90</v>
      </c>
      <c r="F157" s="5" t="str">
        <f>MID($B157,FIND(F$9,$B157)+LEN(F$9)+3,FIND(CHAR(34),$B157,FIND(F$9,$B157)+LEN(F$9)+3)-(FIND(F$9,$B157)+LEN(F$9)+3))</f>
        <v>412.10</v>
      </c>
      <c r="G157" s="5" t="str">
        <f>MID($B157,FIND(G$9,$B157)+LEN(G$9)+3,FIND(CHAR(34),$B157,FIND(G$9,$B157)+LEN(G$9)+3)-(FIND(G$9,$B157)+LEN(G$9)+3))</f>
        <v>413.30</v>
      </c>
      <c r="H157" s="6" t="str">
        <f t="shared" si="40"/>
        <v xml:space="preserve">   </v>
      </c>
      <c r="I157" s="7" t="str">
        <f t="shared" si="41"/>
        <v xml:space="preserve">   </v>
      </c>
      <c r="J157" s="8" t="str">
        <f t="shared" si="42"/>
        <v xml:space="preserve">   </v>
      </c>
      <c r="K157" s="9" t="str">
        <f t="shared" si="43"/>
        <v xml:space="preserve">   </v>
      </c>
      <c r="L157" s="5"/>
    </row>
    <row r="158" spans="2:12" x14ac:dyDescent="0.25">
      <c r="B158" t="str">
        <f t="shared" si="38"/>
        <v>"RELINFRA","open":"550.00","high":"552.90","low":"541.00","ltP":"546.00","ptsC":"4.30","per":"0.79","trdVol":"27.91","trdVolM":"2.79","ntP":"152.74","mVal":"1.53","wkhi":"621.90","wklo":"281.55","wkhicm_adj":"819.90","wklocm_adj":"350.30","xDt":"31-DEC-2999","cAct":"-","yPC":"31.03","mPC":"-0.75"</v>
      </c>
      <c r="C158" s="12" t="s">
        <v>150</v>
      </c>
      <c r="D158" s="5" t="str">
        <f t="shared" si="39"/>
        <v>550.00</v>
      </c>
      <c r="E158" s="5" t="str">
        <f t="shared" si="39"/>
        <v>552.90</v>
      </c>
      <c r="F158" s="5" t="str">
        <f t="shared" si="39"/>
        <v>541.00</v>
      </c>
      <c r="G158" s="5" t="str">
        <f t="shared" si="39"/>
        <v>546.00</v>
      </c>
      <c r="H158" s="6" t="str">
        <f t="shared" ref="H158:H170" si="44">IF(AND(E158=0, F158=0, D158=0),"  ",IF(E158= D158,"SHORT ",IF(F158= D158,"LONG ",IF(E158&lt;&gt; F158&lt;&gt; D158,"   "))))</f>
        <v xml:space="preserve">   </v>
      </c>
      <c r="I158" s="7" t="str">
        <f t="shared" ref="I158:I170" si="45">IF(AND(E158=0,F158=0,D158=0),"  ",IF(D158=F158,ROUND(((SQRT(F158) +0.0833) ^2),0),IF(E158=D158,ROUND(((SQRT(E158) -0.0833) ^2),0),IF(E158&lt;&gt;F158&lt;&gt;D158,"   "))))</f>
        <v xml:space="preserve">   </v>
      </c>
      <c r="J158" s="8" t="str">
        <f t="shared" ref="J158:J170" si="46">IF(AND(E158=0, F158=0, D158=0),"  ",IF(E158= D158,D158+0.005*D158,IF(F158= D158,D158-0.005*D158,IF(E158&lt;&gt; F158&lt;&gt; D158,"   "))))</f>
        <v xml:space="preserve">   </v>
      </c>
      <c r="K158" s="9" t="str">
        <f t="shared" ref="K158:K170" si="47">IF(AND(E158=0, F158=0, D158=0),"  ",IF(E158= D158,(I158-G158)/I158,IF(F158= D158,(G158-I158)/I158,IF(E158&lt;&gt; F158&lt;&gt; D158,"   "))))</f>
        <v xml:space="preserve">   </v>
      </c>
      <c r="L158" s="5"/>
    </row>
    <row r="159" spans="2:12" x14ac:dyDescent="0.25">
      <c r="B159" t="str">
        <f t="shared" si="38"/>
        <v>"RPOWER","open":"53.05","high":"53.50","low":"52.10","ltP":"52.50","ptsC":"0.25","per":"0.48","trdVol":"33.95","trdVolM":"3.39","ntP":"17.86","mVal":"0.18","wkhi":"61.25","wklo":"33.10","wkhicm_adj":"113.30","wklocm_adj":"60.00","xDt":"31-DEC-2999","cAct":"-","yPC":"-0.94","mPC":"-1.50"</v>
      </c>
      <c r="C159" s="12" t="s">
        <v>151</v>
      </c>
      <c r="D159" s="5" t="str">
        <f t="shared" ref="D159:G163" si="48">MID($B159,FIND(D$9,$B159)+LEN(D$9)+3,FIND(CHAR(34),$B159,FIND(D$9,$B159)+LEN(D$9)+3)-(FIND(D$9,$B159)+LEN(D$9)+3))</f>
        <v>53.05</v>
      </c>
      <c r="E159" s="5" t="str">
        <f t="shared" si="48"/>
        <v>53.50</v>
      </c>
      <c r="F159" s="5" t="str">
        <f t="shared" si="48"/>
        <v>52.10</v>
      </c>
      <c r="G159" s="5" t="str">
        <f t="shared" si="48"/>
        <v>52.50</v>
      </c>
      <c r="H159" s="6" t="str">
        <f t="shared" si="44"/>
        <v xml:space="preserve">   </v>
      </c>
      <c r="I159" s="7" t="str">
        <f t="shared" si="45"/>
        <v xml:space="preserve">   </v>
      </c>
      <c r="J159" s="8" t="str">
        <f t="shared" si="46"/>
        <v xml:space="preserve">   </v>
      </c>
      <c r="K159" s="9" t="str">
        <f t="shared" si="47"/>
        <v xml:space="preserve">   </v>
      </c>
      <c r="L159" s="5"/>
    </row>
    <row r="160" spans="2:12" x14ac:dyDescent="0.25">
      <c r="B160" t="str">
        <f t="shared" si="38"/>
        <v>"SRF","open":"1,270.00","high":"1,307.80","low":"1,265.65","ltP":"1,297.50","ptsC":"36.95","per":"2.93","trdVol":"2.73","trdVolM":"0.27","ntP":"35.25","mVal":"0.35","wkhi":"1,498.85","wklo":"990.00","wkhicm_adj":"958.80","wklocm_adj":"170.00","xDt":"31-DEC-2999","cAct":"-","yPC":"28.41","mPC":"-4.30"</v>
      </c>
      <c r="C160" s="12" t="s">
        <v>152</v>
      </c>
      <c r="D160" s="5" t="str">
        <f t="shared" si="48"/>
        <v>1,270.00</v>
      </c>
      <c r="E160" s="5" t="str">
        <f t="shared" si="48"/>
        <v>1,307.80</v>
      </c>
      <c r="F160" s="5" t="str">
        <f t="shared" si="48"/>
        <v>1,265.65</v>
      </c>
      <c r="G160" s="5" t="str">
        <f t="shared" si="48"/>
        <v>1,297.50</v>
      </c>
      <c r="H160" s="6" t="str">
        <f t="shared" si="44"/>
        <v xml:space="preserve">   </v>
      </c>
      <c r="I160" s="7" t="str">
        <f t="shared" si="45"/>
        <v xml:space="preserve">   </v>
      </c>
      <c r="J160" s="8" t="str">
        <f t="shared" si="46"/>
        <v xml:space="preserve">   </v>
      </c>
      <c r="K160" s="9" t="str">
        <f t="shared" si="47"/>
        <v xml:space="preserve">   </v>
      </c>
      <c r="L160" s="5"/>
    </row>
    <row r="161" spans="2:12" x14ac:dyDescent="0.25">
      <c r="B161" t="str">
        <f t="shared" si="38"/>
        <v>"STAR","open":"1,128.50","high":"1,130.00","low":"1,100.10","ltP":"1,111.95","ptsC":"-8.90","per":"-0.79","trdVol":"1.50","trdVolM":"0.15","ntP":"16.67","mVal":"0.17","wkhi":"1,414.00","wklo":"847.00","wkhicm_adj":"1,045.00","wklocm_adj":"310.15","xDt":"31-DEC-2999","cAct":"-","yPC":"-8.89","mPC":"0.73"</v>
      </c>
      <c r="C161" s="12" t="s">
        <v>153</v>
      </c>
      <c r="D161" s="5" t="str">
        <f t="shared" si="48"/>
        <v>1,128.50</v>
      </c>
      <c r="E161" s="5" t="str">
        <f t="shared" si="48"/>
        <v>1,130.00</v>
      </c>
      <c r="F161" s="5" t="str">
        <f t="shared" si="48"/>
        <v>1,100.10</v>
      </c>
      <c r="G161" s="5" t="str">
        <f t="shared" si="48"/>
        <v>1,111.95</v>
      </c>
      <c r="H161" s="6" t="str">
        <f t="shared" si="44"/>
        <v xml:space="preserve">   </v>
      </c>
      <c r="I161" s="7" t="str">
        <f t="shared" si="45"/>
        <v xml:space="preserve">   </v>
      </c>
      <c r="J161" s="8" t="str">
        <f t="shared" si="46"/>
        <v xml:space="preserve">   </v>
      </c>
      <c r="K161" s="9" t="str">
        <f t="shared" si="47"/>
        <v xml:space="preserve">   </v>
      </c>
      <c r="L161" s="5"/>
    </row>
    <row r="162" spans="2:12" x14ac:dyDescent="0.25">
      <c r="B162" t="str">
        <f t="shared" si="38"/>
        <v>"SUNTV","open":"387.00","high":"387.00","low":"373.50","ltP":"377.80","ptsC":"-4.50","per":"-1.18","trdVol":"7.91","trdVolM":"0.79","ntP":"30.01","mVal":"0.30","wkhi":"436.80","wklo":"255.80","wkhicm_adj":"477.00","wklocm_adj":"300.00","xDt":"21-MAR-2016","cAct":"INTERIM DIVIDEND - RS 7.50\/- PER SHARE (PURPOSE REVISED)","yPC":"-2.39","mPC":"5.99"</v>
      </c>
      <c r="C162" s="12" t="s">
        <v>154</v>
      </c>
      <c r="D162" s="5" t="str">
        <f t="shared" si="48"/>
        <v>387.00</v>
      </c>
      <c r="E162" s="5" t="str">
        <f t="shared" si="48"/>
        <v>387.00</v>
      </c>
      <c r="F162" s="5" t="str">
        <f t="shared" si="48"/>
        <v>373.50</v>
      </c>
      <c r="G162" s="5" t="str">
        <f t="shared" si="48"/>
        <v>377.80</v>
      </c>
      <c r="H162" s="6" t="str">
        <f t="shared" si="44"/>
        <v xml:space="preserve">SHORT </v>
      </c>
      <c r="I162" s="7">
        <f t="shared" si="45"/>
        <v>384</v>
      </c>
      <c r="J162" s="8">
        <f t="shared" si="46"/>
        <v>388.935</v>
      </c>
      <c r="K162" s="9">
        <f t="shared" si="47"/>
        <v>1.6145833333333304E-2</v>
      </c>
      <c r="L162" s="5"/>
    </row>
    <row r="163" spans="2:12" x14ac:dyDescent="0.25">
      <c r="B163" t="str">
        <f t="shared" si="38"/>
        <v>"SYNDIBANK","open":"65.25","high":"66.60","low":"64.40","ltP":"65.50","ptsC":"1.30","per":"2.02","trdVol":"25.14","trdVolM":"2.51","ntP":"16.48","mVal":"0.16","wkhi":"118.30","wklo":"49.40","wkhicm_adj":"180.00","wklocm_adj":"77.60","xDt":"31-DEC-2999","cAct":"-","yPC":"-43.39","mPC":"-6.63"</v>
      </c>
      <c r="C163" s="12" t="s">
        <v>155</v>
      </c>
      <c r="D163" s="5" t="str">
        <f t="shared" si="48"/>
        <v>65.25</v>
      </c>
      <c r="E163" s="5" t="str">
        <f t="shared" si="48"/>
        <v>66.60</v>
      </c>
      <c r="F163" s="5" t="str">
        <f t="shared" si="48"/>
        <v>64.40</v>
      </c>
      <c r="G163" s="5" t="str">
        <f t="shared" si="48"/>
        <v>65.50</v>
      </c>
      <c r="H163" s="6" t="str">
        <f t="shared" si="44"/>
        <v xml:space="preserve">   </v>
      </c>
      <c r="I163" s="7" t="str">
        <f t="shared" si="45"/>
        <v xml:space="preserve">   </v>
      </c>
      <c r="J163" s="8" t="str">
        <f t="shared" si="46"/>
        <v xml:space="preserve">   </v>
      </c>
      <c r="K163" s="9" t="str">
        <f t="shared" si="47"/>
        <v xml:space="preserve">   </v>
      </c>
      <c r="L163" s="5"/>
    </row>
    <row r="164" spans="2:12" x14ac:dyDescent="0.25">
      <c r="B164" t="str">
        <f t="shared" si="38"/>
        <v>"TATACHEM","open":"434.95","high":"441.00","low":"422.65","ltP":"425.25","ptsC":"-7.20","per":"-1.66","trdVol":"5.46","trdVolM":"0.55","ntP":"23.32","mVal":"0.23","wkhi":"526.00","wklo":"309.60","wkhicm_adj":"442.75","wklocm_adj":"244.20","xDt":"31-DEC-2999","cAct":"-","yPC":"-2.23","mPC":"1.69"</v>
      </c>
      <c r="C164" s="12" t="s">
        <v>156</v>
      </c>
      <c r="D164" s="5" t="str">
        <f t="shared" ref="D164:G170" si="49">MID($B164,FIND(D$9,$B164)+LEN(D$9)+3,FIND(CHAR(34),$B164,FIND(D$9,$B164)+LEN(D$9)+3)-(FIND(D$9,$B164)+LEN(D$9)+3))</f>
        <v>434.95</v>
      </c>
      <c r="E164" s="5" t="str">
        <f t="shared" si="49"/>
        <v>441.00</v>
      </c>
      <c r="F164" s="5" t="str">
        <f t="shared" si="49"/>
        <v>422.65</v>
      </c>
      <c r="G164" s="5" t="str">
        <f t="shared" si="49"/>
        <v>425.25</v>
      </c>
      <c r="H164" s="6" t="str">
        <f t="shared" si="44"/>
        <v xml:space="preserve">   </v>
      </c>
      <c r="I164" s="7" t="str">
        <f t="shared" si="45"/>
        <v xml:space="preserve">   </v>
      </c>
      <c r="J164" s="8" t="str">
        <f t="shared" si="46"/>
        <v xml:space="preserve">   </v>
      </c>
      <c r="K164" s="9" t="str">
        <f t="shared" si="47"/>
        <v xml:space="preserve">   </v>
      </c>
      <c r="L164" s="5"/>
    </row>
    <row r="165" spans="2:12" x14ac:dyDescent="0.25">
      <c r="B165" t="str">
        <f t="shared" si="38"/>
        <v>"TATACOMM","open":"454.00","high":"474.90","low":"451.80","ltP":"472.05","ptsC":"12.65","per":"2.75","trdVol":"4.71","trdVolM":"0.47","ntP":"21.92","mVal":"0.22","wkhi":"491.35","wklo":"325.00","wkhicm_adj":"462.40","wklocm_adj":"258.50","xDt":"31-DEC-2999","cAct":"-","yPC":"9.72","mPC":"12.58"</v>
      </c>
      <c r="C165" s="12" t="s">
        <v>157</v>
      </c>
      <c r="D165" s="5" t="str">
        <f t="shared" si="49"/>
        <v>454.00</v>
      </c>
      <c r="E165" s="5" t="str">
        <f t="shared" si="49"/>
        <v>474.90</v>
      </c>
      <c r="F165" s="5" t="str">
        <f t="shared" si="49"/>
        <v>451.80</v>
      </c>
      <c r="G165" s="5" t="str">
        <f t="shared" si="49"/>
        <v>472.05</v>
      </c>
      <c r="H165" s="6" t="str">
        <f t="shared" si="44"/>
        <v xml:space="preserve">   </v>
      </c>
      <c r="I165" s="7" t="str">
        <f t="shared" si="45"/>
        <v xml:space="preserve">   </v>
      </c>
      <c r="J165" s="8" t="str">
        <f t="shared" si="46"/>
        <v xml:space="preserve">   </v>
      </c>
      <c r="K165" s="9" t="str">
        <f t="shared" si="47"/>
        <v xml:space="preserve">   </v>
      </c>
      <c r="L165" s="5"/>
    </row>
    <row r="166" spans="2:12" x14ac:dyDescent="0.25">
      <c r="B166" t="str">
        <f t="shared" si="38"/>
        <v>"TATAGLOBAL","open":"118.00","high":"119.65","low":"117.30","ltP":"117.90","ptsC":"0.60","per":"0.51","trdVol":"6.92","trdVolM":"0.69","ntP":"8.20","mVal":"0.08","wkhi":"150.30","wklo":"100.00","wkhicm_adj":"177.15","wklocm_adj":"135.25","xDt":"31-DEC-2999","cAct":"-","yPC":"-18.63","mPC":"-3.68"</v>
      </c>
      <c r="C166" s="12" t="s">
        <v>158</v>
      </c>
      <c r="D166" s="5" t="str">
        <f t="shared" si="49"/>
        <v>118.00</v>
      </c>
      <c r="E166" s="5" t="str">
        <f t="shared" si="49"/>
        <v>119.65</v>
      </c>
      <c r="F166" s="5" t="str">
        <f t="shared" si="49"/>
        <v>117.30</v>
      </c>
      <c r="G166" s="5" t="str">
        <f t="shared" si="49"/>
        <v>117.90</v>
      </c>
      <c r="H166" s="6" t="str">
        <f t="shared" si="44"/>
        <v xml:space="preserve">   </v>
      </c>
      <c r="I166" s="7" t="str">
        <f t="shared" si="45"/>
        <v xml:space="preserve">   </v>
      </c>
      <c r="J166" s="8" t="str">
        <f t="shared" si="46"/>
        <v xml:space="preserve">   </v>
      </c>
      <c r="K166" s="9" t="str">
        <f t="shared" si="47"/>
        <v xml:space="preserve">   </v>
      </c>
      <c r="L166" s="5"/>
    </row>
    <row r="167" spans="2:12" x14ac:dyDescent="0.25">
      <c r="B167" t="str">
        <f t="shared" si="38"/>
        <v>"TVSMOTOR","open":"292.10","high":"293.95","low":"283.75","ltP":"287.70","ptsC":"-3.40","per":"-1.17","trdVol":"14.31","trdVolM":"1.43","ntP":"41.08","mVal":"0.41","wkhi":"340.85","wklo":"201.00","wkhicm_adj":"266.70","wklocm_adj":"52.50","xDt":"17-MAR-2016","cAct":"INTERIM DIVIDEND - RS 1.50 PER SHARE (PURPOSE REVISED)","yPC":"22.01","mPC":"-12.25"</v>
      </c>
      <c r="C167" s="12" t="s">
        <v>159</v>
      </c>
      <c r="D167" s="5" t="str">
        <f t="shared" si="49"/>
        <v>292.10</v>
      </c>
      <c r="E167" s="5" t="str">
        <f t="shared" si="49"/>
        <v>293.95</v>
      </c>
      <c r="F167" s="5" t="str">
        <f t="shared" si="49"/>
        <v>283.75</v>
      </c>
      <c r="G167" s="5" t="str">
        <f t="shared" si="49"/>
        <v>287.70</v>
      </c>
      <c r="H167" s="6" t="str">
        <f t="shared" si="44"/>
        <v xml:space="preserve">   </v>
      </c>
      <c r="I167" s="7" t="str">
        <f t="shared" si="45"/>
        <v xml:space="preserve">   </v>
      </c>
      <c r="J167" s="8" t="str">
        <f t="shared" si="46"/>
        <v xml:space="preserve">   </v>
      </c>
      <c r="K167" s="9" t="str">
        <f t="shared" si="47"/>
        <v xml:space="preserve">   </v>
      </c>
      <c r="L167" s="5"/>
    </row>
    <row r="168" spans="2:12" x14ac:dyDescent="0.25">
      <c r="B168" t="str">
        <f t="shared" si="38"/>
        <v>"UNIONBANK","open":"117.90","high":"117.90","low":"114.50","ltP":"115.35","ptsC":"0.20","per":"0.17","trdVol":"25.05","trdVolM":"2.51","ntP":"29.09","mVal":"0.29","wkhi":"222.70","wklo":"104.00","wkhicm_adj":"259.65","wklocm_adj":"100.50","xDt":"31-DEC-2999","cAct":"-","yPC":"-32.74","mPC":"-12.51"</v>
      </c>
      <c r="C168" s="12" t="s">
        <v>160</v>
      </c>
      <c r="D168" s="5" t="str">
        <f t="shared" si="49"/>
        <v>117.90</v>
      </c>
      <c r="E168" s="5" t="str">
        <f t="shared" si="49"/>
        <v>117.90</v>
      </c>
      <c r="F168" s="5" t="str">
        <f t="shared" si="49"/>
        <v>114.50</v>
      </c>
      <c r="G168" s="5" t="str">
        <f t="shared" si="49"/>
        <v>115.35</v>
      </c>
      <c r="H168" s="6" t="str">
        <f t="shared" si="44"/>
        <v xml:space="preserve">SHORT </v>
      </c>
      <c r="I168" s="7">
        <f t="shared" si="45"/>
        <v>116</v>
      </c>
      <c r="J168" s="8">
        <f t="shared" si="46"/>
        <v>118.48950000000001</v>
      </c>
      <c r="K168" s="9">
        <f t="shared" si="47"/>
        <v>5.6034482758621183E-3</v>
      </c>
      <c r="L168" s="5"/>
    </row>
    <row r="169" spans="2:12" x14ac:dyDescent="0.25">
      <c r="B169" t="str">
        <f t="shared" si="38"/>
        <v>"VOLTAS","open":"337.40","high":"342.90","low":"334.40","ltP":"339.05","ptsC":"2.25","per":"0.67","trdVol":"10.31","trdVolM":"1.03","ntP":"34.96","mVal":"0.35","wkhi":"359.90","wklo":"211.00","wkhicm_adj":"286.45","wklocm_adj":"96.85","xDt":"31-DEC-2999","cAct":"-","yPC":"2.59","mPC":"12.31"</v>
      </c>
      <c r="C169" s="12" t="s">
        <v>161</v>
      </c>
      <c r="D169" s="5" t="str">
        <f t="shared" si="49"/>
        <v>337.40</v>
      </c>
      <c r="E169" s="5" t="str">
        <f t="shared" si="49"/>
        <v>342.90</v>
      </c>
      <c r="F169" s="5" t="str">
        <f t="shared" si="49"/>
        <v>334.40</v>
      </c>
      <c r="G169" s="5" t="str">
        <f t="shared" si="49"/>
        <v>339.05</v>
      </c>
      <c r="H169" s="6" t="str">
        <f t="shared" si="44"/>
        <v xml:space="preserve">   </v>
      </c>
      <c r="I169" s="7" t="str">
        <f t="shared" si="45"/>
        <v xml:space="preserve">   </v>
      </c>
      <c r="J169" s="8" t="str">
        <f t="shared" si="46"/>
        <v xml:space="preserve">   </v>
      </c>
      <c r="K169" s="9" t="str">
        <f t="shared" si="47"/>
        <v xml:space="preserve">   </v>
      </c>
      <c r="L169" s="5"/>
    </row>
    <row r="170" spans="2:12" x14ac:dyDescent="0.25">
      <c r="B170" t="str">
        <f t="shared" si="38"/>
        <v>"WOCKPHARMA","open":"934.30","high":"945.00","low":"923.00","ltP":"931.00","ptsC":"4.35","per":"0.47","trdVol":"5.21","trdVolM":"0.52","ntP":"48.63","mVal":"0.49","wkhi":"1,745.00","wklo":"705.75","wkhicm_adj":"887.00","wklocm_adj":"336.55","xDt":"31-DEC-2999","cAct":"-","yPC":"-35.03","mPC":"-9.51"</v>
      </c>
      <c r="C170" s="12" t="s">
        <v>162</v>
      </c>
      <c r="D170" s="5" t="str">
        <f t="shared" si="49"/>
        <v>934.30</v>
      </c>
      <c r="E170" s="5" t="str">
        <f t="shared" si="49"/>
        <v>945.00</v>
      </c>
      <c r="F170" s="5" t="str">
        <f t="shared" si="49"/>
        <v>923.00</v>
      </c>
      <c r="G170" s="5" t="str">
        <f t="shared" si="49"/>
        <v>931.00</v>
      </c>
      <c r="H170" s="6" t="str">
        <f t="shared" si="44"/>
        <v xml:space="preserve">   </v>
      </c>
      <c r="I170" s="7" t="str">
        <f t="shared" si="45"/>
        <v xml:space="preserve">   </v>
      </c>
      <c r="J170" s="8" t="str">
        <f t="shared" si="46"/>
        <v xml:space="preserve">   </v>
      </c>
      <c r="K170" s="9" t="str">
        <f t="shared" si="47"/>
        <v xml:space="preserve">   </v>
      </c>
      <c r="L170" s="5"/>
    </row>
    <row r="499" spans="14:16" hidden="1" x14ac:dyDescent="0.25"/>
    <row r="500" spans="14:16" hidden="1" x14ac:dyDescent="0.25">
      <c r="N500" t="s">
        <v>169</v>
      </c>
      <c r="O500" t="s">
        <v>168</v>
      </c>
      <c r="P500" t="s">
        <v>167</v>
      </c>
    </row>
    <row r="501" spans="14:16" hidden="1" x14ac:dyDescent="0.25"/>
  </sheetData>
  <sortState ref="A2:A55">
    <sortCondition ref="A1:A55"/>
  </sortState>
  <conditionalFormatting sqref="H10:H60">
    <cfRule type="containsText" dxfId="5" priority="5" stopIfTrue="1" operator="containsText" text="short">
      <formula>NOT(ISERROR(SEARCH("short",H10)))</formula>
    </cfRule>
    <cfRule type="containsText" dxfId="4" priority="6" stopIfTrue="1" operator="containsText" text="long">
      <formula>NOT(ISERROR(SEARCH("long",H10)))</formula>
    </cfRule>
  </conditionalFormatting>
  <conditionalFormatting sqref="H66:H115">
    <cfRule type="containsText" dxfId="3" priority="3" stopIfTrue="1" operator="containsText" text="short">
      <formula>NOT(ISERROR(SEARCH("short",H66)))</formula>
    </cfRule>
    <cfRule type="containsText" dxfId="2" priority="4" stopIfTrue="1" operator="containsText" text="long">
      <formula>NOT(ISERROR(SEARCH("long",H66)))</formula>
    </cfRule>
  </conditionalFormatting>
  <conditionalFormatting sqref="H121:H170">
    <cfRule type="containsText" dxfId="1" priority="1" stopIfTrue="1" operator="containsText" text="short">
      <formula>NOT(ISERROR(SEARCH("short",H121)))</formula>
    </cfRule>
    <cfRule type="containsText" dxfId="0" priority="2" stopIfTrue="1" operator="containsText" text="long">
      <formula>NOT(ISERROR(SEARCH("long",H121)))</formula>
    </cfRule>
  </conditionalFormatting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37"/>
  <sheetViews>
    <sheetView workbookViewId="0">
      <selection activeCell="A3" sqref="A3"/>
    </sheetView>
  </sheetViews>
  <sheetFormatPr defaultRowHeight="15" x14ac:dyDescent="0.25"/>
  <cols>
    <col min="1" max="1" width="10.7109375" bestFit="1" customWidth="1"/>
    <col min="2" max="2" width="10.42578125" bestFit="1" customWidth="1"/>
    <col min="3" max="3" width="13.42578125" bestFit="1" customWidth="1"/>
    <col min="4" max="4" width="11.85546875" customWidth="1"/>
    <col min="5" max="5" width="17" bestFit="1" customWidth="1"/>
  </cols>
  <sheetData>
    <row r="2" spans="1:8" x14ac:dyDescent="0.25">
      <c r="A2" s="4" t="s">
        <v>164</v>
      </c>
      <c r="B2" s="4" t="s">
        <v>166</v>
      </c>
      <c r="C2" s="4" t="s">
        <v>1</v>
      </c>
      <c r="D2" s="4" t="s">
        <v>6</v>
      </c>
      <c r="E2" s="4" t="s">
        <v>58</v>
      </c>
      <c r="F2" s="4" t="s">
        <v>7</v>
      </c>
      <c r="G2" s="4" t="s">
        <v>8</v>
      </c>
      <c r="H2" s="4" t="s">
        <v>170</v>
      </c>
    </row>
    <row r="3" spans="1:8" x14ac:dyDescent="0.25">
      <c r="B3" s="17"/>
      <c r="E3" s="16"/>
    </row>
    <row r="4" spans="1:8" x14ac:dyDescent="0.25">
      <c r="B4" s="17"/>
      <c r="E4" s="16"/>
    </row>
    <row r="5" spans="1:8" x14ac:dyDescent="0.25">
      <c r="B5" s="17"/>
      <c r="E5" s="16"/>
    </row>
    <row r="6" spans="1:8" x14ac:dyDescent="0.25">
      <c r="B6" s="17"/>
      <c r="E6" s="16"/>
    </row>
    <row r="7" spans="1:8" x14ac:dyDescent="0.25">
      <c r="B7" s="17"/>
      <c r="E7" s="16"/>
    </row>
    <row r="8" spans="1:8" x14ac:dyDescent="0.25">
      <c r="B8" s="17"/>
      <c r="E8" s="16"/>
    </row>
    <row r="9" spans="1:8" x14ac:dyDescent="0.25">
      <c r="B9" s="17"/>
      <c r="E9" s="16"/>
    </row>
    <row r="10" spans="1:8" x14ac:dyDescent="0.25">
      <c r="B10" s="17"/>
      <c r="E10" s="16"/>
    </row>
    <row r="11" spans="1:8" x14ac:dyDescent="0.25">
      <c r="B11" s="17"/>
      <c r="E11" s="16"/>
    </row>
    <row r="12" spans="1:8" x14ac:dyDescent="0.25">
      <c r="B12" s="17"/>
      <c r="E12" s="16"/>
    </row>
    <row r="13" spans="1:8" x14ac:dyDescent="0.25">
      <c r="B13" s="17"/>
      <c r="E13" s="16"/>
    </row>
    <row r="14" spans="1:8" x14ac:dyDescent="0.25">
      <c r="B14" s="17"/>
      <c r="E14" s="16"/>
    </row>
    <row r="15" spans="1:8" x14ac:dyDescent="0.25">
      <c r="B15" s="17"/>
      <c r="E15" s="16"/>
    </row>
    <row r="16" spans="1:8" x14ac:dyDescent="0.25">
      <c r="B16" s="17"/>
      <c r="E16" s="16"/>
    </row>
    <row r="17" spans="2:5" x14ac:dyDescent="0.25">
      <c r="B17" s="17"/>
      <c r="E17" s="16"/>
    </row>
    <row r="18" spans="2:5" x14ac:dyDescent="0.25">
      <c r="B18" s="17"/>
      <c r="E18" s="16"/>
    </row>
    <row r="19" spans="2:5" x14ac:dyDescent="0.25">
      <c r="B19" s="17"/>
      <c r="E19" s="16"/>
    </row>
    <row r="20" spans="2:5" x14ac:dyDescent="0.25">
      <c r="B20" s="17"/>
      <c r="E20" s="16"/>
    </row>
    <row r="21" spans="2:5" x14ac:dyDescent="0.25">
      <c r="B21" s="17"/>
      <c r="E21" s="16"/>
    </row>
    <row r="22" spans="2:5" x14ac:dyDescent="0.25">
      <c r="B22" s="17"/>
      <c r="E22" s="16"/>
    </row>
    <row r="23" spans="2:5" x14ac:dyDescent="0.25">
      <c r="B23" s="17"/>
      <c r="E23" s="16"/>
    </row>
    <row r="24" spans="2:5" x14ac:dyDescent="0.25">
      <c r="B24" s="17"/>
      <c r="E24" s="16"/>
    </row>
    <row r="25" spans="2:5" x14ac:dyDescent="0.25">
      <c r="B25" s="17"/>
      <c r="E25" s="16"/>
    </row>
    <row r="26" spans="2:5" x14ac:dyDescent="0.25">
      <c r="B26" s="17"/>
      <c r="E26" s="16"/>
    </row>
    <row r="27" spans="2:5" x14ac:dyDescent="0.25">
      <c r="B27" s="17"/>
      <c r="E27" s="16"/>
    </row>
    <row r="28" spans="2:5" x14ac:dyDescent="0.25">
      <c r="B28" s="17"/>
      <c r="E28" s="16"/>
    </row>
    <row r="29" spans="2:5" x14ac:dyDescent="0.25">
      <c r="B29" s="17"/>
      <c r="E29" s="16"/>
    </row>
    <row r="30" spans="2:5" x14ac:dyDescent="0.25">
      <c r="B30" s="17"/>
      <c r="E30" s="16"/>
    </row>
    <row r="31" spans="2:5" x14ac:dyDescent="0.25">
      <c r="B31" s="17"/>
      <c r="E31" s="16"/>
    </row>
    <row r="32" spans="2:5" x14ac:dyDescent="0.25">
      <c r="B32" s="17"/>
      <c r="E32" s="16"/>
    </row>
    <row r="33" spans="2:5" x14ac:dyDescent="0.25">
      <c r="B33" s="17"/>
      <c r="E33" s="16"/>
    </row>
    <row r="34" spans="2:5" x14ac:dyDescent="0.25">
      <c r="B34" s="17"/>
      <c r="E34" s="16"/>
    </row>
    <row r="35" spans="2:5" x14ac:dyDescent="0.25">
      <c r="B35" s="17"/>
      <c r="E35" s="16"/>
    </row>
    <row r="36" spans="2:5" x14ac:dyDescent="0.25">
      <c r="B36" s="17"/>
      <c r="E36" s="16"/>
    </row>
    <row r="37" spans="2:5" x14ac:dyDescent="0.25">
      <c r="B37" s="17"/>
      <c r="E37" s="16"/>
    </row>
    <row r="38" spans="2:5" x14ac:dyDescent="0.25">
      <c r="B38" s="17"/>
      <c r="E38" s="16"/>
    </row>
    <row r="39" spans="2:5" x14ac:dyDescent="0.25">
      <c r="B39" s="17"/>
      <c r="E39" s="16"/>
    </row>
    <row r="40" spans="2:5" x14ac:dyDescent="0.25">
      <c r="B40" s="17"/>
      <c r="E40" s="16"/>
    </row>
    <row r="41" spans="2:5" x14ac:dyDescent="0.25">
      <c r="B41" s="17"/>
      <c r="E41" s="16"/>
    </row>
    <row r="42" spans="2:5" x14ac:dyDescent="0.25">
      <c r="B42" s="17"/>
      <c r="E42" s="16"/>
    </row>
    <row r="43" spans="2:5" x14ac:dyDescent="0.25">
      <c r="B43" s="17"/>
      <c r="E43" s="16"/>
    </row>
    <row r="44" spans="2:5" x14ac:dyDescent="0.25">
      <c r="B44" s="17"/>
      <c r="E44" s="16"/>
    </row>
    <row r="45" spans="2:5" x14ac:dyDescent="0.25">
      <c r="B45" s="17"/>
      <c r="E45" s="16"/>
    </row>
    <row r="46" spans="2:5" x14ac:dyDescent="0.25">
      <c r="B46" s="17"/>
      <c r="E46" s="16"/>
    </row>
    <row r="47" spans="2:5" x14ac:dyDescent="0.25">
      <c r="B47" s="17"/>
      <c r="E47" s="16"/>
    </row>
    <row r="48" spans="2:5" x14ac:dyDescent="0.25">
      <c r="B48" s="17"/>
      <c r="E48" s="16"/>
    </row>
    <row r="49" spans="2:5" x14ac:dyDescent="0.25">
      <c r="B49" s="17"/>
      <c r="E49" s="16"/>
    </row>
    <row r="50" spans="2:5" x14ac:dyDescent="0.25">
      <c r="B50" s="17"/>
      <c r="E50" s="16"/>
    </row>
    <row r="51" spans="2:5" x14ac:dyDescent="0.25">
      <c r="B51" s="17"/>
      <c r="E51" s="16"/>
    </row>
    <row r="52" spans="2:5" x14ac:dyDescent="0.25">
      <c r="B52" s="17"/>
      <c r="E52" s="16"/>
    </row>
    <row r="53" spans="2:5" x14ac:dyDescent="0.25">
      <c r="B53" s="17"/>
      <c r="E53" s="16"/>
    </row>
    <row r="54" spans="2:5" x14ac:dyDescent="0.25">
      <c r="B54" s="17"/>
      <c r="E54" s="16"/>
    </row>
    <row r="55" spans="2:5" x14ac:dyDescent="0.25">
      <c r="B55" s="17"/>
      <c r="E55" s="16"/>
    </row>
    <row r="56" spans="2:5" x14ac:dyDescent="0.25">
      <c r="B56" s="17"/>
      <c r="E56" s="16"/>
    </row>
    <row r="57" spans="2:5" x14ac:dyDescent="0.25">
      <c r="B57" s="17"/>
      <c r="E57" s="16"/>
    </row>
    <row r="58" spans="2:5" x14ac:dyDescent="0.25">
      <c r="B58" s="17"/>
      <c r="E58" s="16"/>
    </row>
    <row r="59" spans="2:5" x14ac:dyDescent="0.25">
      <c r="B59" s="17"/>
      <c r="E59" s="16"/>
    </row>
    <row r="60" spans="2:5" x14ac:dyDescent="0.25">
      <c r="B60" s="17"/>
      <c r="E60" s="16"/>
    </row>
    <row r="61" spans="2:5" x14ac:dyDescent="0.25">
      <c r="B61" s="17"/>
      <c r="E61" s="16"/>
    </row>
    <row r="62" spans="2:5" x14ac:dyDescent="0.25">
      <c r="B62" s="17"/>
      <c r="E62" s="16"/>
    </row>
    <row r="63" spans="2:5" x14ac:dyDescent="0.25">
      <c r="B63" s="17"/>
      <c r="E63" s="16"/>
    </row>
    <row r="64" spans="2:5" x14ac:dyDescent="0.25">
      <c r="B64" s="17"/>
      <c r="E64" s="16"/>
    </row>
    <row r="65" spans="2:5" x14ac:dyDescent="0.25">
      <c r="B65" s="17"/>
      <c r="E65" s="16"/>
    </row>
    <row r="66" spans="2:5" x14ac:dyDescent="0.25">
      <c r="B66" s="17"/>
      <c r="E66" s="16"/>
    </row>
    <row r="67" spans="2:5" x14ac:dyDescent="0.25">
      <c r="B67" s="17"/>
      <c r="E67" s="16"/>
    </row>
    <row r="68" spans="2:5" x14ac:dyDescent="0.25">
      <c r="B68" s="17"/>
      <c r="E68" s="16"/>
    </row>
    <row r="69" spans="2:5" x14ac:dyDescent="0.25">
      <c r="B69" s="17"/>
      <c r="E69" s="16"/>
    </row>
    <row r="70" spans="2:5" x14ac:dyDescent="0.25">
      <c r="B70" s="17"/>
      <c r="E70" s="16"/>
    </row>
    <row r="71" spans="2:5" x14ac:dyDescent="0.25">
      <c r="B71" s="17"/>
      <c r="E71" s="16"/>
    </row>
    <row r="91" spans="5:5" x14ac:dyDescent="0.25">
      <c r="E91" s="16"/>
    </row>
    <row r="92" spans="5:5" x14ac:dyDescent="0.25">
      <c r="E92" s="16"/>
    </row>
    <row r="93" spans="5:5" x14ac:dyDescent="0.25">
      <c r="E93" s="16"/>
    </row>
    <row r="94" spans="5:5" x14ac:dyDescent="0.25">
      <c r="E94" s="16"/>
    </row>
    <row r="95" spans="5:5" x14ac:dyDescent="0.25">
      <c r="E95" s="16"/>
    </row>
    <row r="96" spans="5:5" x14ac:dyDescent="0.25">
      <c r="E96" s="16"/>
    </row>
    <row r="97" spans="5:5" x14ac:dyDescent="0.25">
      <c r="E97" s="16"/>
    </row>
    <row r="98" spans="5:5" x14ac:dyDescent="0.25">
      <c r="E98" s="16"/>
    </row>
    <row r="99" spans="5:5" x14ac:dyDescent="0.25">
      <c r="E99" s="16"/>
    </row>
    <row r="100" spans="5:5" x14ac:dyDescent="0.25">
      <c r="E100" s="16"/>
    </row>
    <row r="101" spans="5:5" x14ac:dyDescent="0.25">
      <c r="E101" s="16"/>
    </row>
    <row r="102" spans="5:5" x14ac:dyDescent="0.25">
      <c r="E102" s="16"/>
    </row>
    <row r="103" spans="5:5" x14ac:dyDescent="0.25">
      <c r="E103" s="16"/>
    </row>
    <row r="104" spans="5:5" x14ac:dyDescent="0.25">
      <c r="E104" s="16"/>
    </row>
    <row r="105" spans="5:5" x14ac:dyDescent="0.25">
      <c r="E105" s="16"/>
    </row>
    <row r="106" spans="5:5" x14ac:dyDescent="0.25">
      <c r="E106" s="16"/>
    </row>
    <row r="107" spans="5:5" x14ac:dyDescent="0.25">
      <c r="E107" s="16"/>
    </row>
    <row r="108" spans="5:5" x14ac:dyDescent="0.25">
      <c r="E108" s="16"/>
    </row>
    <row r="109" spans="5:5" x14ac:dyDescent="0.25">
      <c r="E109" s="16"/>
    </row>
    <row r="110" spans="5:5" x14ac:dyDescent="0.25">
      <c r="E110" s="16"/>
    </row>
    <row r="111" spans="5:5" x14ac:dyDescent="0.25">
      <c r="E111" s="16"/>
    </row>
    <row r="112" spans="5:5" x14ac:dyDescent="0.25">
      <c r="E112" s="16"/>
    </row>
    <row r="113" spans="2:5" x14ac:dyDescent="0.25">
      <c r="B113" s="17"/>
      <c r="E113" s="16"/>
    </row>
    <row r="114" spans="2:5" x14ac:dyDescent="0.25">
      <c r="B114" s="17"/>
      <c r="E114" s="16"/>
    </row>
    <row r="115" spans="2:5" x14ac:dyDescent="0.25">
      <c r="B115" s="17"/>
      <c r="E115" s="16"/>
    </row>
    <row r="116" spans="2:5" x14ac:dyDescent="0.25">
      <c r="B116" s="17"/>
      <c r="E116" s="16"/>
    </row>
    <row r="117" spans="2:5" x14ac:dyDescent="0.25">
      <c r="B117" s="17"/>
      <c r="E117" s="16"/>
    </row>
    <row r="118" spans="2:5" x14ac:dyDescent="0.25">
      <c r="B118" s="17"/>
      <c r="E118" s="16"/>
    </row>
    <row r="119" spans="2:5" x14ac:dyDescent="0.25">
      <c r="B119" s="17"/>
      <c r="E119" s="16"/>
    </row>
    <row r="120" spans="2:5" x14ac:dyDescent="0.25">
      <c r="B120" s="17"/>
      <c r="E120" s="16"/>
    </row>
    <row r="121" spans="2:5" x14ac:dyDescent="0.25">
      <c r="B121" s="17"/>
      <c r="E121" s="16"/>
    </row>
    <row r="122" spans="2:5" x14ac:dyDescent="0.25">
      <c r="B122" s="17"/>
      <c r="E122" s="16"/>
    </row>
    <row r="123" spans="2:5" x14ac:dyDescent="0.25">
      <c r="B123" s="17"/>
      <c r="E123" s="16"/>
    </row>
    <row r="124" spans="2:5" x14ac:dyDescent="0.25">
      <c r="B124" s="17"/>
      <c r="E124" s="16"/>
    </row>
    <row r="125" spans="2:5" x14ac:dyDescent="0.25">
      <c r="B125" s="17"/>
      <c r="E125" s="16"/>
    </row>
    <row r="126" spans="2:5" x14ac:dyDescent="0.25">
      <c r="B126" s="17"/>
      <c r="E126" s="16"/>
    </row>
    <row r="127" spans="2:5" x14ac:dyDescent="0.25">
      <c r="B127" s="17"/>
      <c r="E127" s="16"/>
    </row>
    <row r="128" spans="2:5" x14ac:dyDescent="0.25">
      <c r="B128" s="17"/>
      <c r="E128" s="16"/>
    </row>
    <row r="129" spans="2:5" x14ac:dyDescent="0.25">
      <c r="B129" s="17"/>
      <c r="E129" s="16"/>
    </row>
    <row r="130" spans="2:5" x14ac:dyDescent="0.25">
      <c r="B130" s="17"/>
      <c r="E130" s="16"/>
    </row>
    <row r="131" spans="2:5" x14ac:dyDescent="0.25">
      <c r="B131" s="17"/>
      <c r="E131" s="16"/>
    </row>
    <row r="132" spans="2:5" x14ac:dyDescent="0.25">
      <c r="B132" s="17"/>
      <c r="E132" s="16"/>
    </row>
    <row r="133" spans="2:5" x14ac:dyDescent="0.25">
      <c r="B133" s="17"/>
      <c r="E133" s="16"/>
    </row>
    <row r="134" spans="2:5" x14ac:dyDescent="0.25">
      <c r="B134" s="17"/>
      <c r="E134" s="16"/>
    </row>
    <row r="135" spans="2:5" x14ac:dyDescent="0.25">
      <c r="B135" s="17"/>
      <c r="E135" s="16"/>
    </row>
    <row r="136" spans="2:5" x14ac:dyDescent="0.25">
      <c r="B136" s="17"/>
      <c r="E136" s="16"/>
    </row>
    <row r="137" spans="2:5" x14ac:dyDescent="0.25">
      <c r="B137" s="17"/>
      <c r="E137" s="16"/>
    </row>
  </sheetData>
  <dataConsolidate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topLeftCell="A37" workbookViewId="0">
      <selection activeCell="E12" sqref="E12"/>
    </sheetView>
  </sheetViews>
  <sheetFormatPr defaultRowHeight="15" x14ac:dyDescent="0.25"/>
  <sheetData/>
  <sortState ref="A1:A51">
    <sortCondition ref="A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Equity</vt:lpstr>
      <vt:lpstr>Performance</vt:lpstr>
      <vt:lpstr>Sheet2</vt:lpstr>
      <vt:lpstr>Equity!juniorNiftyStockWatch_1</vt:lpstr>
      <vt:lpstr>Equity!niftyMidcap50StockWatch_1</vt:lpstr>
      <vt:lpstr>Equity!niftyStockWatch_1</vt:lpstr>
    </vt:vector>
  </TitlesOfParts>
  <Company>Citrix Systems, Inc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srvdsk</dc:creator>
  <cp:lastModifiedBy>Dang Hung Duong</cp:lastModifiedBy>
  <dcterms:created xsi:type="dcterms:W3CDTF">2016-03-09T20:07:35Z</dcterms:created>
  <dcterms:modified xsi:type="dcterms:W3CDTF">2016-05-31T07:07:03Z</dcterms:modified>
</cp:coreProperties>
</file>