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20730" windowHeight="9135" activeTab="1"/>
  </bookViews>
  <sheets>
    <sheet name="Equity" sheetId="1" r:id="rId1"/>
    <sheet name="Performance" sheetId="2" r:id="rId2"/>
    <sheet name="Sheet2" sheetId="3" r:id="rId3"/>
  </sheets>
  <definedNames>
    <definedName name="juniorNiftyStockWatch_1" localSheetId="0">Equity!$O$500:$O$501</definedName>
    <definedName name="niftyMidcap50StockWatch_1" localSheetId="0">Equity!$P$500:$P$501</definedName>
    <definedName name="niftyStockWatch_1" localSheetId="0">Equity!$N$500:$N$501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22" i="1" l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21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66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10" i="1"/>
  <c r="E164" i="1" l="1"/>
  <c r="F165" i="1"/>
  <c r="E166" i="1"/>
  <c r="G167" i="1"/>
  <c r="E168" i="1"/>
  <c r="F169" i="1"/>
  <c r="E170" i="1"/>
  <c r="E157" i="1"/>
  <c r="F158" i="1"/>
  <c r="E159" i="1"/>
  <c r="G160" i="1"/>
  <c r="E161" i="1"/>
  <c r="F162" i="1"/>
  <c r="E163" i="1"/>
  <c r="G122" i="1"/>
  <c r="F123" i="1"/>
  <c r="E124" i="1"/>
  <c r="D125" i="1"/>
  <c r="F126" i="1"/>
  <c r="D127" i="1"/>
  <c r="E128" i="1"/>
  <c r="D129" i="1"/>
  <c r="D130" i="1"/>
  <c r="F131" i="1"/>
  <c r="E132" i="1"/>
  <c r="D133" i="1"/>
  <c r="F134" i="1"/>
  <c r="F135" i="1"/>
  <c r="E136" i="1"/>
  <c r="D137" i="1"/>
  <c r="D138" i="1"/>
  <c r="F139" i="1"/>
  <c r="E140" i="1"/>
  <c r="D141" i="1"/>
  <c r="F142" i="1"/>
  <c r="F143" i="1"/>
  <c r="E144" i="1"/>
  <c r="D145" i="1"/>
  <c r="D146" i="1"/>
  <c r="F147" i="1"/>
  <c r="E148" i="1"/>
  <c r="D149" i="1"/>
  <c r="D150" i="1"/>
  <c r="E151" i="1"/>
  <c r="E152" i="1"/>
  <c r="D153" i="1"/>
  <c r="D154" i="1"/>
  <c r="D155" i="1"/>
  <c r="E156" i="1"/>
  <c r="G121" i="1"/>
  <c r="E67" i="1"/>
  <c r="E68" i="1"/>
  <c r="E69" i="1"/>
  <c r="E70" i="1"/>
  <c r="E71" i="1"/>
  <c r="G72" i="1"/>
  <c r="F73" i="1"/>
  <c r="E74" i="1"/>
  <c r="E75" i="1"/>
  <c r="D77" i="1"/>
  <c r="E79" i="1"/>
  <c r="E80" i="1"/>
  <c r="D81" i="1"/>
  <c r="E82" i="1"/>
  <c r="E83" i="1"/>
  <c r="E84" i="1"/>
  <c r="E85" i="1"/>
  <c r="E86" i="1"/>
  <c r="E87" i="1"/>
  <c r="E88" i="1"/>
  <c r="E89" i="1"/>
  <c r="E90" i="1"/>
  <c r="E91" i="1"/>
  <c r="D93" i="1"/>
  <c r="E95" i="1"/>
  <c r="E96" i="1"/>
  <c r="D97" i="1"/>
  <c r="E98" i="1"/>
  <c r="E99" i="1"/>
  <c r="G100" i="1"/>
  <c r="D101" i="1"/>
  <c r="E102" i="1"/>
  <c r="E103" i="1"/>
  <c r="E104" i="1"/>
  <c r="E105" i="1"/>
  <c r="E106" i="1"/>
  <c r="E107" i="1"/>
  <c r="D108" i="1"/>
  <c r="F109" i="1"/>
  <c r="G110" i="1"/>
  <c r="D111" i="1"/>
  <c r="D112" i="1"/>
  <c r="E113" i="1"/>
  <c r="F114" i="1"/>
  <c r="G115" i="1"/>
  <c r="F66" i="1"/>
  <c r="E52" i="1"/>
  <c r="D37" i="1"/>
  <c r="G25" i="1"/>
  <c r="G14" i="1"/>
  <c r="E11" i="1"/>
  <c r="A6" i="1"/>
  <c r="A9" i="1"/>
  <c r="A2" i="1"/>
  <c r="F130" i="1" l="1"/>
  <c r="G123" i="1"/>
  <c r="G103" i="1"/>
  <c r="F89" i="1"/>
  <c r="F157" i="1"/>
  <c r="G102" i="1"/>
  <c r="E72" i="1"/>
  <c r="F154" i="1"/>
  <c r="G154" i="1"/>
  <c r="G144" i="1"/>
  <c r="G130" i="1"/>
  <c r="E143" i="1"/>
  <c r="G150" i="1"/>
  <c r="E139" i="1"/>
  <c r="E123" i="1"/>
  <c r="F170" i="1"/>
  <c r="D167" i="1"/>
  <c r="F150" i="1"/>
  <c r="D160" i="1"/>
  <c r="G146" i="1"/>
  <c r="F122" i="1"/>
  <c r="D139" i="1"/>
  <c r="F155" i="1"/>
  <c r="G151" i="1"/>
  <c r="G138" i="1"/>
  <c r="G136" i="1"/>
  <c r="G131" i="1"/>
  <c r="D148" i="1"/>
  <c r="D131" i="1"/>
  <c r="F108" i="1"/>
  <c r="G105" i="1"/>
  <c r="G89" i="1"/>
  <c r="E155" i="1"/>
  <c r="F151" i="1"/>
  <c r="G139" i="1"/>
  <c r="F138" i="1"/>
  <c r="F136" i="1"/>
  <c r="E131" i="1"/>
  <c r="E127" i="1"/>
  <c r="G124" i="1"/>
  <c r="F159" i="1"/>
  <c r="G157" i="1"/>
  <c r="F164" i="1"/>
  <c r="D164" i="1"/>
  <c r="D144" i="1"/>
  <c r="D128" i="1"/>
  <c r="D124" i="1"/>
  <c r="F85" i="1"/>
  <c r="G74" i="1"/>
  <c r="G155" i="1"/>
  <c r="G148" i="1"/>
  <c r="F146" i="1"/>
  <c r="E135" i="1"/>
  <c r="G128" i="1"/>
  <c r="G158" i="1"/>
  <c r="F168" i="1"/>
  <c r="G165" i="1"/>
  <c r="D168" i="1"/>
  <c r="D151" i="1"/>
  <c r="D136" i="1"/>
  <c r="D123" i="1"/>
  <c r="D156" i="1"/>
  <c r="D152" i="1"/>
  <c r="D140" i="1"/>
  <c r="D132" i="1"/>
  <c r="D163" i="1"/>
  <c r="D159" i="1"/>
  <c r="D147" i="1"/>
  <c r="D143" i="1"/>
  <c r="D135" i="1"/>
  <c r="G166" i="1"/>
  <c r="G147" i="1"/>
  <c r="G142" i="1"/>
  <c r="G140" i="1"/>
  <c r="G134" i="1"/>
  <c r="G132" i="1"/>
  <c r="G127" i="1"/>
  <c r="G126" i="1"/>
  <c r="G163" i="1"/>
  <c r="G161" i="1"/>
  <c r="F166" i="1"/>
  <c r="D170" i="1"/>
  <c r="D166" i="1"/>
  <c r="D162" i="1"/>
  <c r="D158" i="1"/>
  <c r="D142" i="1"/>
  <c r="D134" i="1"/>
  <c r="D126" i="1"/>
  <c r="D122" i="1"/>
  <c r="E147" i="1"/>
  <c r="G143" i="1"/>
  <c r="F140" i="1"/>
  <c r="G135" i="1"/>
  <c r="F132" i="1"/>
  <c r="F127" i="1"/>
  <c r="F163" i="1"/>
  <c r="F161" i="1"/>
  <c r="G159" i="1"/>
  <c r="G170" i="1"/>
  <c r="G168" i="1"/>
  <c r="G164" i="1"/>
  <c r="D169" i="1"/>
  <c r="D165" i="1"/>
  <c r="D161" i="1"/>
  <c r="D157" i="1"/>
  <c r="I157" i="1" s="1"/>
  <c r="D121" i="1"/>
  <c r="G169" i="1"/>
  <c r="E169" i="1"/>
  <c r="E165" i="1"/>
  <c r="F167" i="1"/>
  <c r="E167" i="1"/>
  <c r="G162" i="1"/>
  <c r="E162" i="1"/>
  <c r="E158" i="1"/>
  <c r="F160" i="1"/>
  <c r="E160" i="1"/>
  <c r="G145" i="1"/>
  <c r="G133" i="1"/>
  <c r="G156" i="1"/>
  <c r="E150" i="1"/>
  <c r="F149" i="1"/>
  <c r="E146" i="1"/>
  <c r="F145" i="1"/>
  <c r="E142" i="1"/>
  <c r="F141" i="1"/>
  <c r="E138" i="1"/>
  <c r="F137" i="1"/>
  <c r="E134" i="1"/>
  <c r="F133" i="1"/>
  <c r="E130" i="1"/>
  <c r="F129" i="1"/>
  <c r="E126" i="1"/>
  <c r="F125" i="1"/>
  <c r="E122" i="1"/>
  <c r="G153" i="1"/>
  <c r="G141" i="1"/>
  <c r="G129" i="1"/>
  <c r="E154" i="1"/>
  <c r="F153" i="1"/>
  <c r="G152" i="1"/>
  <c r="F156" i="1"/>
  <c r="E153" i="1"/>
  <c r="F152" i="1"/>
  <c r="E149" i="1"/>
  <c r="F148" i="1"/>
  <c r="E145" i="1"/>
  <c r="F144" i="1"/>
  <c r="E141" i="1"/>
  <c r="E137" i="1"/>
  <c r="E133" i="1"/>
  <c r="E129" i="1"/>
  <c r="F128" i="1"/>
  <c r="E125" i="1"/>
  <c r="F124" i="1"/>
  <c r="G149" i="1"/>
  <c r="G137" i="1"/>
  <c r="G125" i="1"/>
  <c r="F121" i="1"/>
  <c r="E121" i="1"/>
  <c r="G113" i="1"/>
  <c r="F113" i="1"/>
  <c r="D113" i="1"/>
  <c r="G85" i="1"/>
  <c r="G83" i="1"/>
  <c r="G93" i="1"/>
  <c r="G69" i="1"/>
  <c r="D105" i="1"/>
  <c r="F103" i="1"/>
  <c r="D95" i="1"/>
  <c r="F93" i="1"/>
  <c r="D89" i="1"/>
  <c r="G86" i="1"/>
  <c r="F79" i="1"/>
  <c r="D71" i="1"/>
  <c r="F69" i="1"/>
  <c r="G67" i="1"/>
  <c r="E112" i="1"/>
  <c r="E100" i="1"/>
  <c r="E93" i="1"/>
  <c r="G75" i="1"/>
  <c r="D69" i="1"/>
  <c r="G97" i="1"/>
  <c r="E109" i="1"/>
  <c r="F107" i="1"/>
  <c r="F105" i="1"/>
  <c r="G104" i="1"/>
  <c r="D103" i="1"/>
  <c r="E97" i="1"/>
  <c r="D85" i="1"/>
  <c r="D83" i="1"/>
  <c r="D75" i="1"/>
  <c r="E73" i="1"/>
  <c r="G71" i="1"/>
  <c r="D67" i="1"/>
  <c r="F97" i="1"/>
  <c r="G112" i="1"/>
  <c r="G95" i="1"/>
  <c r="F71" i="1"/>
  <c r="D109" i="1"/>
  <c r="D107" i="1"/>
  <c r="F101" i="1"/>
  <c r="G99" i="1"/>
  <c r="G91" i="1"/>
  <c r="G90" i="1"/>
  <c r="G87" i="1"/>
  <c r="F81" i="1"/>
  <c r="D79" i="1"/>
  <c r="F77" i="1"/>
  <c r="D73" i="1"/>
  <c r="F67" i="1"/>
  <c r="K67" i="1" s="1"/>
  <c r="G81" i="1"/>
  <c r="G77" i="1"/>
  <c r="F91" i="1"/>
  <c r="G88" i="1"/>
  <c r="F87" i="1"/>
  <c r="G84" i="1"/>
  <c r="E81" i="1"/>
  <c r="E77" i="1"/>
  <c r="G73" i="1"/>
  <c r="G101" i="1"/>
  <c r="G114" i="1"/>
  <c r="G109" i="1"/>
  <c r="E101" i="1"/>
  <c r="F99" i="1"/>
  <c r="G70" i="1"/>
  <c r="E114" i="1"/>
  <c r="F112" i="1"/>
  <c r="G108" i="1"/>
  <c r="G107" i="1"/>
  <c r="G106" i="1"/>
  <c r="D99" i="1"/>
  <c r="F95" i="1"/>
  <c r="D91" i="1"/>
  <c r="D87" i="1"/>
  <c r="F83" i="1"/>
  <c r="G79" i="1"/>
  <c r="F75" i="1"/>
  <c r="F110" i="1"/>
  <c r="D110" i="1"/>
  <c r="E110" i="1"/>
  <c r="D98" i="1"/>
  <c r="F98" i="1"/>
  <c r="G98" i="1"/>
  <c r="F96" i="1"/>
  <c r="D96" i="1"/>
  <c r="G96" i="1"/>
  <c r="D94" i="1"/>
  <c r="F94" i="1"/>
  <c r="E94" i="1"/>
  <c r="G94" i="1"/>
  <c r="E111" i="1"/>
  <c r="F111" i="1"/>
  <c r="G111" i="1"/>
  <c r="F76" i="1"/>
  <c r="D76" i="1"/>
  <c r="E76" i="1"/>
  <c r="G76" i="1"/>
  <c r="F92" i="1"/>
  <c r="D92" i="1"/>
  <c r="E92" i="1"/>
  <c r="G92" i="1"/>
  <c r="E115" i="1"/>
  <c r="D115" i="1"/>
  <c r="F115" i="1"/>
  <c r="D78" i="1"/>
  <c r="F78" i="1"/>
  <c r="E78" i="1"/>
  <c r="G78" i="1"/>
  <c r="F80" i="1"/>
  <c r="D80" i="1"/>
  <c r="F68" i="1"/>
  <c r="D68" i="1"/>
  <c r="D114" i="1"/>
  <c r="E108" i="1"/>
  <c r="D102" i="1"/>
  <c r="F102" i="1"/>
  <c r="F100" i="1"/>
  <c r="D100" i="1"/>
  <c r="D86" i="1"/>
  <c r="F86" i="1"/>
  <c r="F84" i="1"/>
  <c r="D84" i="1"/>
  <c r="D70" i="1"/>
  <c r="F70" i="1"/>
  <c r="D82" i="1"/>
  <c r="F82" i="1"/>
  <c r="D106" i="1"/>
  <c r="F106" i="1"/>
  <c r="F104" i="1"/>
  <c r="D104" i="1"/>
  <c r="D90" i="1"/>
  <c r="F90" i="1"/>
  <c r="F88" i="1"/>
  <c r="D88" i="1"/>
  <c r="G82" i="1"/>
  <c r="G80" i="1"/>
  <c r="D74" i="1"/>
  <c r="F74" i="1"/>
  <c r="F72" i="1"/>
  <c r="D72" i="1"/>
  <c r="G68" i="1"/>
  <c r="D66" i="1"/>
  <c r="E66" i="1"/>
  <c r="G66" i="1"/>
  <c r="D52" i="1"/>
  <c r="G52" i="1"/>
  <c r="F52" i="1"/>
  <c r="G37" i="1"/>
  <c r="F37" i="1"/>
  <c r="E37" i="1"/>
  <c r="F25" i="1"/>
  <c r="E25" i="1"/>
  <c r="D25" i="1"/>
  <c r="F14" i="1"/>
  <c r="E14" i="1"/>
  <c r="D14" i="1"/>
  <c r="D11" i="1"/>
  <c r="G11" i="1"/>
  <c r="F11" i="1"/>
  <c r="H11" i="1" s="1"/>
  <c r="H14" i="1" l="1"/>
  <c r="K163" i="1"/>
  <c r="J156" i="1"/>
  <c r="H155" i="1"/>
  <c r="I95" i="1"/>
  <c r="I73" i="1"/>
  <c r="K73" i="1" s="1"/>
  <c r="I97" i="1"/>
  <c r="J103" i="1"/>
  <c r="I164" i="1"/>
  <c r="I127" i="1"/>
  <c r="I155" i="1"/>
  <c r="K155" i="1" s="1"/>
  <c r="I152" i="1"/>
  <c r="K152" i="1" s="1"/>
  <c r="K69" i="1"/>
  <c r="H103" i="1"/>
  <c r="J147" i="1"/>
  <c r="J139" i="1"/>
  <c r="I84" i="1"/>
  <c r="K84" i="1" s="1"/>
  <c r="I87" i="1"/>
  <c r="H89" i="1"/>
  <c r="I170" i="1"/>
  <c r="I123" i="1"/>
  <c r="K123" i="1" s="1"/>
  <c r="I159" i="1"/>
  <c r="J155" i="1"/>
  <c r="K157" i="1"/>
  <c r="J163" i="1"/>
  <c r="K144" i="1"/>
  <c r="I163" i="1"/>
  <c r="H168" i="1"/>
  <c r="H157" i="1"/>
  <c r="J159" i="1"/>
  <c r="H83" i="1"/>
  <c r="I99" i="1"/>
  <c r="K99" i="1" s="1"/>
  <c r="K112" i="1"/>
  <c r="I103" i="1"/>
  <c r="H75" i="1"/>
  <c r="J113" i="1"/>
  <c r="H124" i="1"/>
  <c r="K140" i="1"/>
  <c r="K85" i="1"/>
  <c r="J164" i="1"/>
  <c r="J143" i="1"/>
  <c r="I71" i="1"/>
  <c r="K71" i="1" s="1"/>
  <c r="J93" i="1"/>
  <c r="H164" i="1"/>
  <c r="K161" i="1"/>
  <c r="H101" i="1"/>
  <c r="H85" i="1"/>
  <c r="I105" i="1"/>
  <c r="H148" i="1"/>
  <c r="K164" i="1"/>
  <c r="H87" i="1"/>
  <c r="H67" i="1"/>
  <c r="J89" i="1"/>
  <c r="H163" i="1"/>
  <c r="H159" i="1"/>
  <c r="I136" i="1"/>
  <c r="J124" i="1"/>
  <c r="J161" i="1"/>
  <c r="J131" i="1"/>
  <c r="I132" i="1"/>
  <c r="J136" i="1"/>
  <c r="K170" i="1"/>
  <c r="H136" i="1"/>
  <c r="K132" i="1"/>
  <c r="J168" i="1"/>
  <c r="J170" i="1"/>
  <c r="K136" i="1"/>
  <c r="I168" i="1"/>
  <c r="K168" i="1" s="1"/>
  <c r="H170" i="1"/>
  <c r="H166" i="1"/>
  <c r="K166" i="1"/>
  <c r="J151" i="1"/>
  <c r="K135" i="1"/>
  <c r="H93" i="1"/>
  <c r="K113" i="1"/>
  <c r="J105" i="1"/>
  <c r="H71" i="1"/>
  <c r="I107" i="1"/>
  <c r="K107" i="1" s="1"/>
  <c r="K95" i="1"/>
  <c r="H113" i="1"/>
  <c r="K131" i="1"/>
  <c r="H151" i="1"/>
  <c r="J123" i="1"/>
  <c r="H132" i="1"/>
  <c r="H161" i="1"/>
  <c r="I151" i="1"/>
  <c r="I140" i="1"/>
  <c r="J85" i="1"/>
  <c r="I85" i="1"/>
  <c r="H77" i="1"/>
  <c r="K93" i="1"/>
  <c r="K151" i="1"/>
  <c r="H123" i="1"/>
  <c r="J135" i="1"/>
  <c r="J71" i="1"/>
  <c r="I93" i="1"/>
  <c r="I69" i="1"/>
  <c r="K105" i="1"/>
  <c r="J157" i="1"/>
  <c r="I161" i="1"/>
  <c r="J127" i="1"/>
  <c r="K127" i="1"/>
  <c r="J140" i="1"/>
  <c r="H140" i="1"/>
  <c r="J132" i="1"/>
  <c r="K159" i="1"/>
  <c r="H127" i="1"/>
  <c r="I166" i="1"/>
  <c r="J166" i="1"/>
  <c r="H167" i="1"/>
  <c r="I167" i="1"/>
  <c r="J167" i="1"/>
  <c r="K167" i="1"/>
  <c r="J165" i="1"/>
  <c r="K165" i="1"/>
  <c r="H165" i="1"/>
  <c r="I165" i="1"/>
  <c r="J169" i="1"/>
  <c r="H169" i="1"/>
  <c r="I169" i="1"/>
  <c r="K169" i="1"/>
  <c r="H160" i="1"/>
  <c r="I160" i="1"/>
  <c r="J160" i="1"/>
  <c r="K160" i="1"/>
  <c r="J158" i="1"/>
  <c r="K158" i="1"/>
  <c r="H158" i="1"/>
  <c r="I158" i="1"/>
  <c r="J162" i="1"/>
  <c r="H162" i="1"/>
  <c r="I162" i="1"/>
  <c r="K162" i="1" s="1"/>
  <c r="H145" i="1"/>
  <c r="I145" i="1"/>
  <c r="J145" i="1"/>
  <c r="K145" i="1"/>
  <c r="K122" i="1"/>
  <c r="H122" i="1"/>
  <c r="I122" i="1"/>
  <c r="J122" i="1"/>
  <c r="K126" i="1"/>
  <c r="J126" i="1"/>
  <c r="H126" i="1"/>
  <c r="I126" i="1"/>
  <c r="H144" i="1"/>
  <c r="J128" i="1"/>
  <c r="I143" i="1"/>
  <c r="K143" i="1" s="1"/>
  <c r="I156" i="1"/>
  <c r="K156" i="1" s="1"/>
  <c r="I124" i="1"/>
  <c r="H133" i="1"/>
  <c r="I133" i="1"/>
  <c r="K133" i="1" s="1"/>
  <c r="J133" i="1"/>
  <c r="H141" i="1"/>
  <c r="I141" i="1"/>
  <c r="K141" i="1"/>
  <c r="J141" i="1"/>
  <c r="K147" i="1"/>
  <c r="H131" i="1"/>
  <c r="H135" i="1"/>
  <c r="H139" i="1"/>
  <c r="H143" i="1"/>
  <c r="H147" i="1"/>
  <c r="I131" i="1"/>
  <c r="J144" i="1"/>
  <c r="J152" i="1"/>
  <c r="I135" i="1"/>
  <c r="H128" i="1"/>
  <c r="I139" i="1"/>
  <c r="K139" i="1" s="1"/>
  <c r="J148" i="1"/>
  <c r="H125" i="1"/>
  <c r="K125" i="1"/>
  <c r="I125" i="1"/>
  <c r="J125" i="1"/>
  <c r="H153" i="1"/>
  <c r="I153" i="1"/>
  <c r="J153" i="1"/>
  <c r="K153" i="1"/>
  <c r="I144" i="1"/>
  <c r="H152" i="1"/>
  <c r="I147" i="1"/>
  <c r="I128" i="1"/>
  <c r="K128" i="1" s="1"/>
  <c r="H156" i="1"/>
  <c r="K124" i="1"/>
  <c r="I148" i="1"/>
  <c r="K148" i="1" s="1"/>
  <c r="H129" i="1"/>
  <c r="I129" i="1"/>
  <c r="K129" i="1"/>
  <c r="J129" i="1"/>
  <c r="H137" i="1"/>
  <c r="K137" i="1"/>
  <c r="I137" i="1"/>
  <c r="J137" i="1"/>
  <c r="H149" i="1"/>
  <c r="K149" i="1"/>
  <c r="I149" i="1"/>
  <c r="J149" i="1"/>
  <c r="H154" i="1"/>
  <c r="I154" i="1"/>
  <c r="K154" i="1" s="1"/>
  <c r="J154" i="1"/>
  <c r="K130" i="1"/>
  <c r="H130" i="1"/>
  <c r="J130" i="1"/>
  <c r="I130" i="1"/>
  <c r="H134" i="1"/>
  <c r="I134" i="1"/>
  <c r="K134" i="1" s="1"/>
  <c r="J134" i="1"/>
  <c r="K138" i="1"/>
  <c r="J138" i="1"/>
  <c r="H138" i="1"/>
  <c r="I138" i="1"/>
  <c r="K142" i="1"/>
  <c r="H142" i="1"/>
  <c r="J142" i="1"/>
  <c r="I142" i="1"/>
  <c r="K146" i="1"/>
  <c r="H146" i="1"/>
  <c r="I146" i="1"/>
  <c r="J146" i="1"/>
  <c r="K150" i="1"/>
  <c r="J150" i="1"/>
  <c r="H150" i="1"/>
  <c r="I150" i="1"/>
  <c r="K121" i="1"/>
  <c r="I121" i="1"/>
  <c r="H121" i="1"/>
  <c r="J121" i="1"/>
  <c r="H74" i="1"/>
  <c r="J82" i="1"/>
  <c r="I75" i="1"/>
  <c r="K75" i="1" s="1"/>
  <c r="J69" i="1"/>
  <c r="H95" i="1"/>
  <c r="J81" i="1"/>
  <c r="K89" i="1"/>
  <c r="H105" i="1"/>
  <c r="I89" i="1"/>
  <c r="I113" i="1"/>
  <c r="J96" i="1"/>
  <c r="J79" i="1"/>
  <c r="J75" i="1"/>
  <c r="H91" i="1"/>
  <c r="H69" i="1"/>
  <c r="J77" i="1"/>
  <c r="I98" i="1"/>
  <c r="H73" i="1"/>
  <c r="H97" i="1"/>
  <c r="H107" i="1"/>
  <c r="I91" i="1"/>
  <c r="J91" i="1"/>
  <c r="H81" i="1"/>
  <c r="I90" i="1"/>
  <c r="K101" i="1"/>
  <c r="H106" i="1"/>
  <c r="J67" i="1"/>
  <c r="K91" i="1"/>
  <c r="J102" i="1"/>
  <c r="H114" i="1"/>
  <c r="K87" i="1"/>
  <c r="J97" i="1"/>
  <c r="J95" i="1"/>
  <c r="K103" i="1"/>
  <c r="H79" i="1"/>
  <c r="J107" i="1"/>
  <c r="H100" i="1"/>
  <c r="J73" i="1"/>
  <c r="I67" i="1"/>
  <c r="I79" i="1"/>
  <c r="K79" i="1" s="1"/>
  <c r="J104" i="1"/>
  <c r="I70" i="1"/>
  <c r="I86" i="1"/>
  <c r="K86" i="1" s="1"/>
  <c r="K97" i="1"/>
  <c r="H68" i="1"/>
  <c r="H80" i="1"/>
  <c r="J87" i="1"/>
  <c r="H112" i="1"/>
  <c r="J98" i="1"/>
  <c r="H99" i="1"/>
  <c r="H109" i="1"/>
  <c r="H84" i="1"/>
  <c r="I101" i="1"/>
  <c r="J68" i="1"/>
  <c r="K77" i="1"/>
  <c r="H86" i="1"/>
  <c r="H90" i="1"/>
  <c r="J109" i="1"/>
  <c r="I77" i="1"/>
  <c r="I100" i="1"/>
  <c r="J112" i="1"/>
  <c r="K100" i="1"/>
  <c r="I88" i="1"/>
  <c r="K88" i="1"/>
  <c r="K109" i="1"/>
  <c r="H70" i="1"/>
  <c r="J83" i="1"/>
  <c r="J99" i="1"/>
  <c r="I109" i="1"/>
  <c r="I81" i="1"/>
  <c r="K81" i="1" s="1"/>
  <c r="J86" i="1"/>
  <c r="J101" i="1"/>
  <c r="I72" i="1"/>
  <c r="H104" i="1"/>
  <c r="K82" i="1"/>
  <c r="H88" i="1"/>
  <c r="I80" i="1"/>
  <c r="K102" i="1"/>
  <c r="I112" i="1"/>
  <c r="I83" i="1"/>
  <c r="K83" i="1" s="1"/>
  <c r="I68" i="1"/>
  <c r="H82" i="1"/>
  <c r="I96" i="1"/>
  <c r="I106" i="1"/>
  <c r="K106" i="1" s="1"/>
  <c r="K72" i="1"/>
  <c r="I102" i="1"/>
  <c r="J80" i="1"/>
  <c r="K70" i="1"/>
  <c r="J70" i="1"/>
  <c r="J84" i="1"/>
  <c r="J90" i="1"/>
  <c r="K96" i="1"/>
  <c r="K98" i="1"/>
  <c r="H102" i="1"/>
  <c r="I115" i="1"/>
  <c r="K115" i="1" s="1"/>
  <c r="J115" i="1"/>
  <c r="H115" i="1"/>
  <c r="K80" i="1"/>
  <c r="K68" i="1"/>
  <c r="K114" i="1"/>
  <c r="I82" i="1"/>
  <c r="J110" i="1"/>
  <c r="I110" i="1"/>
  <c r="K110" i="1"/>
  <c r="H110" i="1"/>
  <c r="H96" i="1"/>
  <c r="H98" i="1"/>
  <c r="J100" i="1"/>
  <c r="J114" i="1"/>
  <c r="H72" i="1"/>
  <c r="I74" i="1"/>
  <c r="K74" i="1" s="1"/>
  <c r="J76" i="1"/>
  <c r="H76" i="1"/>
  <c r="I76" i="1"/>
  <c r="K76" i="1"/>
  <c r="I111" i="1"/>
  <c r="K111" i="1" s="1"/>
  <c r="J111" i="1"/>
  <c r="H111" i="1"/>
  <c r="I104" i="1"/>
  <c r="J72" i="1"/>
  <c r="H94" i="1"/>
  <c r="J94" i="1"/>
  <c r="I94" i="1"/>
  <c r="K94" i="1"/>
  <c r="J74" i="1"/>
  <c r="J106" i="1"/>
  <c r="I114" i="1"/>
  <c r="K104" i="1"/>
  <c r="J88" i="1"/>
  <c r="H108" i="1"/>
  <c r="I108" i="1"/>
  <c r="J108" i="1"/>
  <c r="K108" i="1"/>
  <c r="H78" i="1"/>
  <c r="J78" i="1"/>
  <c r="I78" i="1"/>
  <c r="K78" i="1" s="1"/>
  <c r="K90" i="1"/>
  <c r="J92" i="1"/>
  <c r="H92" i="1"/>
  <c r="I92" i="1"/>
  <c r="K92" i="1"/>
  <c r="J66" i="1"/>
  <c r="H66" i="1"/>
  <c r="I66" i="1"/>
  <c r="K66" i="1" s="1"/>
  <c r="H52" i="1"/>
  <c r="H37" i="1"/>
  <c r="H25" i="1"/>
  <c r="I52" i="1"/>
  <c r="K52" i="1" s="1"/>
  <c r="J52" i="1"/>
  <c r="I37" i="1"/>
  <c r="J37" i="1"/>
  <c r="K37" i="1"/>
  <c r="I25" i="1"/>
  <c r="K25" i="1" s="1"/>
  <c r="J25" i="1"/>
  <c r="J11" i="1"/>
  <c r="K14" i="1"/>
  <c r="I14" i="1"/>
  <c r="J14" i="1"/>
  <c r="I11" i="1"/>
  <c r="K11" i="1" s="1"/>
  <c r="G60" i="1" l="1"/>
  <c r="G59" i="1"/>
  <c r="E58" i="1"/>
  <c r="G57" i="1"/>
  <c r="G56" i="1"/>
  <c r="E55" i="1"/>
  <c r="G54" i="1"/>
  <c r="G53" i="1"/>
  <c r="G51" i="1"/>
  <c r="E50" i="1"/>
  <c r="G49" i="1"/>
  <c r="G48" i="1"/>
  <c r="G47" i="1"/>
  <c r="G45" i="1"/>
  <c r="G44" i="1"/>
  <c r="E43" i="1"/>
  <c r="G41" i="1"/>
  <c r="G40" i="1"/>
  <c r="E39" i="1"/>
  <c r="G38" i="1"/>
  <c r="G36" i="1"/>
  <c r="G35" i="1"/>
  <c r="E34" i="1"/>
  <c r="G32" i="1"/>
  <c r="G31" i="1"/>
  <c r="G28" i="1"/>
  <c r="G27" i="1"/>
  <c r="G24" i="1"/>
  <c r="G23" i="1"/>
  <c r="G22" i="1"/>
  <c r="E21" i="1"/>
  <c r="F20" i="1"/>
  <c r="G19" i="1"/>
  <c r="G18" i="1"/>
  <c r="G17" i="1"/>
  <c r="E16" i="1"/>
  <c r="F15" i="1"/>
  <c r="G13" i="1"/>
  <c r="G12" i="1"/>
  <c r="E10" i="1"/>
  <c r="D35" i="1" l="1"/>
  <c r="D40" i="1"/>
  <c r="E22" i="1"/>
  <c r="F22" i="1"/>
  <c r="E32" i="1"/>
  <c r="E44" i="1"/>
  <c r="F47" i="1"/>
  <c r="D12" i="1"/>
  <c r="D13" i="1"/>
  <c r="F16" i="1"/>
  <c r="D19" i="1"/>
  <c r="D20" i="1"/>
  <c r="G21" i="1"/>
  <c r="E12" i="1"/>
  <c r="E13" i="1"/>
  <c r="E19" i="1"/>
  <c r="E20" i="1"/>
  <c r="F12" i="1"/>
  <c r="F19" i="1"/>
  <c r="G20" i="1"/>
  <c r="E23" i="1"/>
  <c r="E31" i="1"/>
  <c r="F44" i="1"/>
  <c r="D59" i="1"/>
  <c r="F31" i="1"/>
  <c r="D44" i="1"/>
  <c r="D45" i="1"/>
  <c r="F17" i="1"/>
  <c r="F27" i="1"/>
  <c r="E47" i="1"/>
  <c r="E48" i="1"/>
  <c r="F50" i="1"/>
  <c r="F51" i="1"/>
  <c r="E53" i="1"/>
  <c r="F55" i="1"/>
  <c r="F56" i="1"/>
  <c r="E57" i="1"/>
  <c r="D17" i="1"/>
  <c r="D18" i="1"/>
  <c r="D24" i="1"/>
  <c r="D27" i="1"/>
  <c r="D28" i="1"/>
  <c r="E35" i="1"/>
  <c r="D36" i="1"/>
  <c r="E40" i="1"/>
  <c r="D41" i="1"/>
  <c r="F43" i="1"/>
  <c r="E45" i="1"/>
  <c r="D51" i="1"/>
  <c r="D56" i="1"/>
  <c r="E59" i="1"/>
  <c r="D60" i="1"/>
  <c r="E17" i="1"/>
  <c r="D22" i="1"/>
  <c r="D23" i="1"/>
  <c r="E27" i="1"/>
  <c r="E28" i="1"/>
  <c r="D31" i="1"/>
  <c r="D32" i="1"/>
  <c r="F34" i="1"/>
  <c r="F35" i="1"/>
  <c r="E36" i="1"/>
  <c r="F39" i="1"/>
  <c r="F40" i="1"/>
  <c r="E41" i="1"/>
  <c r="D47" i="1"/>
  <c r="D48" i="1"/>
  <c r="E51" i="1"/>
  <c r="D53" i="1"/>
  <c r="E56" i="1"/>
  <c r="D57" i="1"/>
  <c r="F58" i="1"/>
  <c r="F59" i="1"/>
  <c r="E60" i="1"/>
  <c r="F29" i="1"/>
  <c r="E29" i="1"/>
  <c r="F46" i="1"/>
  <c r="E46" i="1"/>
  <c r="D46" i="1"/>
  <c r="F10" i="1"/>
  <c r="G15" i="1"/>
  <c r="G16" i="1"/>
  <c r="E18" i="1"/>
  <c r="E30" i="1"/>
  <c r="D30" i="1"/>
  <c r="F33" i="1"/>
  <c r="E33" i="1"/>
  <c r="F42" i="1"/>
  <c r="E42" i="1"/>
  <c r="D42" i="1"/>
  <c r="G46" i="1"/>
  <c r="E26" i="1"/>
  <c r="D26" i="1"/>
  <c r="F26" i="1"/>
  <c r="D29" i="1"/>
  <c r="D10" i="1"/>
  <c r="F13" i="1"/>
  <c r="E15" i="1"/>
  <c r="D16" i="1"/>
  <c r="F18" i="1"/>
  <c r="D21" i="1"/>
  <c r="G26" i="1"/>
  <c r="G29" i="1"/>
  <c r="F30" i="1"/>
  <c r="D33" i="1"/>
  <c r="F38" i="1"/>
  <c r="E38" i="1"/>
  <c r="D38" i="1"/>
  <c r="G42" i="1"/>
  <c r="F54" i="1"/>
  <c r="E54" i="1"/>
  <c r="D54" i="1"/>
  <c r="G10" i="1"/>
  <c r="D15" i="1"/>
  <c r="F21" i="1"/>
  <c r="F24" i="1"/>
  <c r="E24" i="1"/>
  <c r="G30" i="1"/>
  <c r="G33" i="1"/>
  <c r="F49" i="1"/>
  <c r="E49" i="1"/>
  <c r="D49" i="1"/>
  <c r="G34" i="1"/>
  <c r="G39" i="1"/>
  <c r="G43" i="1"/>
  <c r="G50" i="1"/>
  <c r="G55" i="1"/>
  <c r="G58" i="1"/>
  <c r="F23" i="1"/>
  <c r="F28" i="1"/>
  <c r="F32" i="1"/>
  <c r="D34" i="1"/>
  <c r="F36" i="1"/>
  <c r="D39" i="1"/>
  <c r="F41" i="1"/>
  <c r="D43" i="1"/>
  <c r="F45" i="1"/>
  <c r="F48" i="1"/>
  <c r="D50" i="1"/>
  <c r="F53" i="1"/>
  <c r="D55" i="1"/>
  <c r="F57" i="1"/>
  <c r="D58" i="1"/>
  <c r="F60" i="1"/>
  <c r="H10" i="1" l="1"/>
  <c r="H13" i="1"/>
  <c r="H15" i="1"/>
  <c r="H12" i="1"/>
  <c r="H43" i="1"/>
  <c r="H16" i="1"/>
  <c r="H26" i="1"/>
  <c r="H51" i="1"/>
  <c r="H27" i="1"/>
  <c r="H21" i="1"/>
  <c r="H39" i="1"/>
  <c r="H35" i="1"/>
  <c r="H55" i="1"/>
  <c r="H46" i="1"/>
  <c r="H29" i="1"/>
  <c r="H58" i="1"/>
  <c r="H34" i="1"/>
  <c r="H45" i="1"/>
  <c r="H50" i="1"/>
  <c r="H19" i="1"/>
  <c r="H54" i="1"/>
  <c r="H38" i="1"/>
  <c r="H33" i="1"/>
  <c r="H18" i="1"/>
  <c r="H59" i="1"/>
  <c r="H48" i="1"/>
  <c r="H22" i="1"/>
  <c r="H30" i="1"/>
  <c r="H60" i="1"/>
  <c r="H56" i="1"/>
  <c r="H36" i="1"/>
  <c r="H53" i="1"/>
  <c r="H47" i="1"/>
  <c r="H31" i="1"/>
  <c r="H44" i="1"/>
  <c r="H49" i="1"/>
  <c r="H24" i="1"/>
  <c r="H42" i="1"/>
  <c r="H41" i="1"/>
  <c r="H28" i="1"/>
  <c r="H17" i="1"/>
  <c r="H40" i="1"/>
  <c r="H57" i="1"/>
  <c r="H23" i="1"/>
  <c r="H20" i="1"/>
  <c r="H32" i="1"/>
  <c r="I58" i="1"/>
  <c r="K58" i="1" s="1"/>
  <c r="K56" i="1"/>
  <c r="K43" i="1"/>
  <c r="K55" i="1"/>
  <c r="K15" i="1"/>
  <c r="K36" i="1"/>
  <c r="K34" i="1"/>
  <c r="K44" i="1"/>
  <c r="K42" i="1"/>
  <c r="K17" i="1"/>
  <c r="K32" i="1"/>
  <c r="K29" i="1"/>
  <c r="K51" i="1"/>
  <c r="K27" i="1"/>
  <c r="K45" i="1"/>
  <c r="K26" i="1"/>
  <c r="K18" i="1"/>
  <c r="K59" i="1"/>
  <c r="K35" i="1"/>
  <c r="J21" i="1"/>
  <c r="J51" i="1"/>
  <c r="J27" i="1"/>
  <c r="J56" i="1"/>
  <c r="J20" i="1"/>
  <c r="J15" i="1"/>
  <c r="J46" i="1"/>
  <c r="J60" i="1"/>
  <c r="J36" i="1"/>
  <c r="J53" i="1"/>
  <c r="J16" i="1"/>
  <c r="J39" i="1"/>
  <c r="J43" i="1"/>
  <c r="J55" i="1"/>
  <c r="J10" i="1"/>
  <c r="J58" i="1"/>
  <c r="J34" i="1"/>
  <c r="J47" i="1"/>
  <c r="J31" i="1"/>
  <c r="J12" i="1"/>
  <c r="J44" i="1"/>
  <c r="J50" i="1"/>
  <c r="J42" i="1"/>
  <c r="J41" i="1"/>
  <c r="J28" i="1"/>
  <c r="J17" i="1"/>
  <c r="J40" i="1"/>
  <c r="J57" i="1"/>
  <c r="J23" i="1"/>
  <c r="J32" i="1"/>
  <c r="J49" i="1"/>
  <c r="J24" i="1"/>
  <c r="J54" i="1"/>
  <c r="J38" i="1"/>
  <c r="J30" i="1"/>
  <c r="J29" i="1"/>
  <c r="J45" i="1"/>
  <c r="J19" i="1"/>
  <c r="J26" i="1"/>
  <c r="J33" i="1"/>
  <c r="J18" i="1"/>
  <c r="J59" i="1"/>
  <c r="J35" i="1"/>
  <c r="J48" i="1"/>
  <c r="J13" i="1"/>
  <c r="J22" i="1"/>
  <c r="I47" i="1"/>
  <c r="K47" i="1" s="1"/>
  <c r="I51" i="1"/>
  <c r="I17" i="1"/>
  <c r="I22" i="1"/>
  <c r="K22" i="1" s="1"/>
  <c r="I43" i="1"/>
  <c r="I31" i="1"/>
  <c r="K31" i="1" s="1"/>
  <c r="I19" i="1"/>
  <c r="K19" i="1" s="1"/>
  <c r="I44" i="1"/>
  <c r="I21" i="1"/>
  <c r="K21" i="1" s="1"/>
  <c r="I20" i="1"/>
  <c r="K20" i="1" s="1"/>
  <c r="I12" i="1"/>
  <c r="K12" i="1" s="1"/>
  <c r="I39" i="1"/>
  <c r="K39" i="1" s="1"/>
  <c r="I16" i="1"/>
  <c r="K16" i="1" s="1"/>
  <c r="I27" i="1"/>
  <c r="I59" i="1"/>
  <c r="I35" i="1"/>
  <c r="I56" i="1"/>
  <c r="I40" i="1"/>
  <c r="K40" i="1" s="1"/>
  <c r="I49" i="1"/>
  <c r="K49" i="1" s="1"/>
  <c r="I15" i="1"/>
  <c r="I55" i="1"/>
  <c r="I46" i="1"/>
  <c r="K46" i="1" s="1"/>
  <c r="I60" i="1"/>
  <c r="K60" i="1" s="1"/>
  <c r="I53" i="1"/>
  <c r="K53" i="1" s="1"/>
  <c r="I45" i="1"/>
  <c r="I36" i="1"/>
  <c r="I24" i="1"/>
  <c r="K24" i="1" s="1"/>
  <c r="I34" i="1"/>
  <c r="I23" i="1"/>
  <c r="K23" i="1" s="1"/>
  <c r="I26" i="1"/>
  <c r="I30" i="1"/>
  <c r="K30" i="1" s="1"/>
  <c r="I29" i="1"/>
  <c r="I10" i="1"/>
  <c r="K10" i="1" s="1"/>
  <c r="I50" i="1"/>
  <c r="K50" i="1" s="1"/>
  <c r="I38" i="1"/>
  <c r="K38" i="1" s="1"/>
  <c r="I42" i="1"/>
  <c r="I33" i="1"/>
  <c r="K33" i="1" s="1"/>
  <c r="I13" i="1"/>
  <c r="K13" i="1" s="1"/>
  <c r="I32" i="1"/>
  <c r="I57" i="1"/>
  <c r="K57" i="1" s="1"/>
  <c r="I48" i="1"/>
  <c r="K48" i="1" s="1"/>
  <c r="I41" i="1"/>
  <c r="K41" i="1" s="1"/>
  <c r="I28" i="1"/>
  <c r="K28" i="1" s="1"/>
  <c r="I54" i="1"/>
  <c r="K54" i="1" s="1"/>
  <c r="I18" i="1"/>
</calcChain>
</file>

<file path=xl/connections.xml><?xml version="1.0" encoding="utf-8"?>
<connections xmlns="http://schemas.openxmlformats.org/spreadsheetml/2006/main">
  <connection id="1" interval="1" name="juniorNifty" type="4" refreshedVersion="4" background="1" refreshOnLoad="1" saveData="1">
    <webPr sourceData="1" parsePre="1" consecutive="1" xl2000="1" url="https://www.nseindia.com/live_market/dynaContent/live_watch/stock_watch/juniorNiftyStockWatch.json" htmlTables="1"/>
  </connection>
  <connection id="2" interval="1" name="nifty50_1" type="4" refreshedVersion="4" background="1" refreshOnLoad="1" saveData="1">
    <webPr sourceData="1" parsePre="1" consecutive="1" xl2000="1" url="https://www.nseindia.com/live_market/dynaContent/live_watch/stock_watch/niftyStockWatch.json" htmlTables="1"/>
  </connection>
  <connection id="3" interval="1" name="niftyMidcap50_1" type="4" refreshedVersion="4" background="1" refreshOnLoad="1" saveData="1">
    <webPr sourceData="1" parsePre="1" consecutive="1" xl2000="1" url="https://www.nseindia.com/live_market/dynaContent/live_watch/stock_watch/niftyMidcap50StockWatch.json" htmlTables="1"/>
  </connection>
</connections>
</file>

<file path=xl/sharedStrings.xml><?xml version="1.0" encoding="utf-8"?>
<sst xmlns="http://schemas.openxmlformats.org/spreadsheetml/2006/main" count="233" uniqueCount="174">
  <si>
    <t>JSON Keys</t>
  </si>
  <si>
    <t>SYMBOL</t>
  </si>
  <si>
    <t>open</t>
  </si>
  <si>
    <t>high</t>
  </si>
  <si>
    <t>low</t>
  </si>
  <si>
    <t>ltP</t>
  </si>
  <si>
    <t>Position</t>
  </si>
  <si>
    <t>Price</t>
  </si>
  <si>
    <t>Stop Loss</t>
  </si>
  <si>
    <t>ACC</t>
  </si>
  <si>
    <t>AMBUJACEM</t>
  </si>
  <si>
    <t>ASIANPAINT</t>
  </si>
  <si>
    <t>AXISBANK</t>
  </si>
  <si>
    <t>BAJAJ-AUTO</t>
  </si>
  <si>
    <t>BANKBARODA</t>
  </si>
  <si>
    <t>BHARTIARTL</t>
  </si>
  <si>
    <t>BHEL</t>
  </si>
  <si>
    <t>BOSCHLTD</t>
  </si>
  <si>
    <t>BPCL</t>
  </si>
  <si>
    <t>CAIRN</t>
  </si>
  <si>
    <t>CIPLA</t>
  </si>
  <si>
    <t>COALINDIA</t>
  </si>
  <si>
    <t>DRREDDY</t>
  </si>
  <si>
    <t>GAIL</t>
  </si>
  <si>
    <t>GRASIM</t>
  </si>
  <si>
    <t>HCLTECH</t>
  </si>
  <si>
    <t>HDFC</t>
  </si>
  <si>
    <t>HDFCBANK</t>
  </si>
  <si>
    <t>HEROMOTOCO</t>
  </si>
  <si>
    <t>HINDALCO</t>
  </si>
  <si>
    <t>HINDUNILVR</t>
  </si>
  <si>
    <t>ICICIBANK</t>
  </si>
  <si>
    <t>IDEA</t>
  </si>
  <si>
    <t>INDUSINDBK</t>
  </si>
  <si>
    <t>INFY</t>
  </si>
  <si>
    <t>ITC</t>
  </si>
  <si>
    <t>KOTAKBANK</t>
  </si>
  <si>
    <t>LT</t>
  </si>
  <si>
    <t>LUPIN</t>
  </si>
  <si>
    <t>M&amp;M</t>
  </si>
  <si>
    <t>MARUTI</t>
  </si>
  <si>
    <t>NTPC</t>
  </si>
  <si>
    <t>ONGC</t>
  </si>
  <si>
    <t>PNB</t>
  </si>
  <si>
    <t>POWERGRID</t>
  </si>
  <si>
    <t>RELIANCE</t>
  </si>
  <si>
    <t>SBIN</t>
  </si>
  <si>
    <t>SUNPHARMA</t>
  </si>
  <si>
    <t>TATAMOTORS</t>
  </si>
  <si>
    <t>TATAPOWER</t>
  </si>
  <si>
    <t>TATASTEEL</t>
  </si>
  <si>
    <t>TCS</t>
  </si>
  <si>
    <t>TECHM</t>
  </si>
  <si>
    <t>ULTRACEMCO</t>
  </si>
  <si>
    <t>VEDL</t>
  </si>
  <si>
    <t>WIPRO</t>
  </si>
  <si>
    <t>YESBANK</t>
  </si>
  <si>
    <t>ZEEL</t>
  </si>
  <si>
    <t>Profit/Loss at EOD</t>
  </si>
  <si>
    <t>NMDC</t>
  </si>
  <si>
    <t>ADANIPORTS</t>
  </si>
  <si>
    <t>AUROPHARMA</t>
  </si>
  <si>
    <t>EICHERMOT</t>
  </si>
  <si>
    <t>INFRATEL</t>
  </si>
  <si>
    <t>TATAMTRDVR</t>
  </si>
  <si>
    <t>Nifty Next 50</t>
  </si>
  <si>
    <t>HINDPETRO</t>
  </si>
  <si>
    <t>ABB</t>
  </si>
  <si>
    <t>APOLLOHOSP</t>
  </si>
  <si>
    <t>ASHOKLEY</t>
  </si>
  <si>
    <t>BAJAJFINSV</t>
  </si>
  <si>
    <t>BAJFINANCE</t>
  </si>
  <si>
    <t>BEL</t>
  </si>
  <si>
    <t>BHARATFORG</t>
  </si>
  <si>
    <t>BRITANNIA</t>
  </si>
  <si>
    <t>CADILAHC</t>
  </si>
  <si>
    <t>CASTROLIND</t>
  </si>
  <si>
    <t>COLPAL</t>
  </si>
  <si>
    <t>CONCOR</t>
  </si>
  <si>
    <t>CUMMINSIND</t>
  </si>
  <si>
    <t>DABUR</t>
  </si>
  <si>
    <t>DIVISLAB</t>
  </si>
  <si>
    <t>DLF</t>
  </si>
  <si>
    <t>EMAMILTD</t>
  </si>
  <si>
    <t>GLAXO</t>
  </si>
  <si>
    <t>GLENMARK</t>
  </si>
  <si>
    <t>GODREJCP</t>
  </si>
  <si>
    <t>GSKCONS</t>
  </si>
  <si>
    <t>HINDZINC</t>
  </si>
  <si>
    <t>IBULHSGFIN</t>
  </si>
  <si>
    <t>IOC</t>
  </si>
  <si>
    <t>JSWSTEEL</t>
  </si>
  <si>
    <t>LICHSGFIN</t>
  </si>
  <si>
    <t>MARICO</t>
  </si>
  <si>
    <t>MCDOWELL-N</t>
  </si>
  <si>
    <t>MOTHERSUMI</t>
  </si>
  <si>
    <t>NHPC</t>
  </si>
  <si>
    <t>OFSS</t>
  </si>
  <si>
    <t>OIL</t>
  </si>
  <si>
    <t>PFC</t>
  </si>
  <si>
    <t>PGHH</t>
  </si>
  <si>
    <t>PIDILITIND</t>
  </si>
  <si>
    <t>RCOM</t>
  </si>
  <si>
    <t>RECLTD</t>
  </si>
  <si>
    <t>SAIL</t>
  </si>
  <si>
    <t>SHREECEM</t>
  </si>
  <si>
    <t>SIEMENS</t>
  </si>
  <si>
    <t>SRTRANSFIN</t>
  </si>
  <si>
    <t>TITAN</t>
  </si>
  <si>
    <t>TORNTPHARM</t>
  </si>
  <si>
    <t>UBL</t>
  </si>
  <si>
    <t>UPL</t>
  </si>
  <si>
    <t>Nifty Midcap 50</t>
  </si>
  <si>
    <t>ADANIENT</t>
  </si>
  <si>
    <t>ADANIPOWER</t>
  </si>
  <si>
    <t>AJANTPHARM</t>
  </si>
  <si>
    <t>ALBK</t>
  </si>
  <si>
    <t>AMARAJABAT</t>
  </si>
  <si>
    <t>APOLLOTYRE</t>
  </si>
  <si>
    <t>ARVIND</t>
  </si>
  <si>
    <t>BANKINDIA</t>
  </si>
  <si>
    <t>BATAINDIA</t>
  </si>
  <si>
    <t>BIOCON</t>
  </si>
  <si>
    <t>CANBK</t>
  </si>
  <si>
    <t>CENTURYTEX</t>
  </si>
  <si>
    <t>CESC</t>
  </si>
  <si>
    <t>DISHTV</t>
  </si>
  <si>
    <t>ENGINERSIN</t>
  </si>
  <si>
    <t>EXIDEIND</t>
  </si>
  <si>
    <t>FEDERALBNK</t>
  </si>
  <si>
    <t>GMRINFRA</t>
  </si>
  <si>
    <t>GODREJIND</t>
  </si>
  <si>
    <t>HAVELLS</t>
  </si>
  <si>
    <t>HEXAWARE</t>
  </si>
  <si>
    <t>IDBI</t>
  </si>
  <si>
    <t>IDFC</t>
  </si>
  <si>
    <t>IGL</t>
  </si>
  <si>
    <t>IRB</t>
  </si>
  <si>
    <t>JINDALSTEL</t>
  </si>
  <si>
    <t>JSWENERGY</t>
  </si>
  <si>
    <t>JUBLFOOD</t>
  </si>
  <si>
    <t>JUSTDIAL</t>
  </si>
  <si>
    <t>L&amp;TFH</t>
  </si>
  <si>
    <t>M&amp;MFIN</t>
  </si>
  <si>
    <t>MINDTREE</t>
  </si>
  <si>
    <t>MRF</t>
  </si>
  <si>
    <t>PAGEIND</t>
  </si>
  <si>
    <t>PCJEWELLER</t>
  </si>
  <si>
    <t>PETRONET</t>
  </si>
  <si>
    <t>RELCAPITAL</t>
  </si>
  <si>
    <t>RELINFRA</t>
  </si>
  <si>
    <t>RPOWER</t>
  </si>
  <si>
    <t>SRF</t>
  </si>
  <si>
    <t>STAR</t>
  </si>
  <si>
    <t>SUNTV</t>
  </si>
  <si>
    <t>SYNDIBANK</t>
  </si>
  <si>
    <t>TATACHEM</t>
  </si>
  <si>
    <t>TATACOMM</t>
  </si>
  <si>
    <t>TATAGLOBAL</t>
  </si>
  <si>
    <t>TVSMOTOR</t>
  </si>
  <si>
    <t>UNIONBANK</t>
  </si>
  <si>
    <t>VOLTAS</t>
  </si>
  <si>
    <t>WOCKPHARMA</t>
  </si>
  <si>
    <t>Nifty 50</t>
  </si>
  <si>
    <t>Date</t>
  </si>
  <si>
    <t>Timestamp</t>
  </si>
  <si>
    <t>Time</t>
  </si>
  <si>
    <t>LTP</t>
  </si>
  <si>
    <t>No.</t>
  </si>
  <si>
    <t xml:space="preserve">{"trdVolumesumMil":"166.01","time":"Jun 01, 2016 15:59:47","latestData":[{"indexName":"NIFTY NEXT 50","open":"19,775.60","high":"19,912.50","low":"19,702.45","ltp":"19,726.80","ch":"11.45","per":"0.06","yCls":"10.24","mCls":"0.49","yHigh":"21,730.80","yLow":"16,607.80"}],"declines":26,"trdValueSum":"2,879.52","data":[{"symbol":"RCOM","open":"47.70","high":"50.35","low":"47.30","ltP":"49.20","ptsC":"2.25","per":"4.79","trdVol":"451.10","trdVolM":"45.11","ntP":"222.17","mVal":"2.22","wkhi":"91.75","wklo":"45.50","wkhicm_adj":"157.25","wklocm_adj":"93.05","xDt":"31-DEC-2999","cAct":"-","yPC":"-25.28","mPC":"-13.00"},{"symbol":"APOLLOHOSP","open":"1,376.00","high":"1,418.00","low":"1,369.10","ltP":"1,416.00","ptsC":"46.90","per":"3.43","trdVol":"2.81","trdVolM":"0.28","ntP":"39.39","mVal":"0.39","wkhi":"1,544.90","wklo":"1,150.00","wkhicm_adj":"1,246.50","wklocm_adj":"815.35","xDt":"22-MAR-2016","cAct":"INTERIM DIVIDEND - RS 6\/- PER SHARE (PURPOSE REVISED)","yPC":"15.56","mPC":"8.38"},{"symbol":"NHPC","open":"23.10","high":"24.15","low":"22.95","ltP":"24.00","ptsC":"0.70","per":"3.00","trdVol":"132.77","trdVolM":"13.28","ntP":"31.47","mVal":"0.31","wkhi":"24.45","wklo":"15.55","wkhicm_adj":"29.60","wklocm_adj":"17.35","xDt":"31-DEC-2999","cAct":"-","yPC":"20.00","mPC":"14.01"},{"symbol":"RECLTD","open":"162.10","high":"168.00","low":"162.10","ltP":"164.75","ptsC":"4.65","per":"2.90","trdVol":"83.79","trdVolM":"8.38","ntP":"138.68","mVal":"1.39","wkhi":"301.20","wklo":"152.25","wkhicm_adj":"383.40","wklocm_adj":"166.50","xDt":"31-DEC-2999","cAct":"-","yPC":"-44.60","mPC":"-7.65"},{"symbol":"DLF","open":"129.50","high":"133.80","low":"128.10","ltP":"133.00","ptsC":"3.10","per":"2.39","trdVol":"146.92","trdVolM":"14.69","ntP":"192.80","mVal":"1.93","wkhi":"142.90","wklo":"72.35","wkhicm_adj":"242.95","wklocm_adj":"100.10","xDt":"28-MAR-2016","cAct":"INTERIM DIVIDEND - RS 2\/- PER SHARE (PURPOSE REVISED)","yPC":"12.57","mPC":"3.38"},{"symbol":"MOTHERSUMI","open":"285.00","high":"299.80","low":"282.85","ltP":"290.75","ptsC":"6.00","per":"2.11","trdVol":"61.63","trdVolM":"6.16","ntP":"181.92","mVal":"1.82","wkhi":"396.00","wklo":"205.90","wkhicm_adj":"450.70","wklocm_adj":"178.25","xDt":"22-MAR-2016","cAct":"INTERIM DIVIDEND - RS 2.50\/- PER SHARE (PURPOSE REVISED)","yPC":"-38.71","mPC":"11.68"},{"symbol":"BRITANNIA","open":"2,740.00","high":"2,792.40","low":"2,725.20","ltP":"2,760.00","ptsC":"53.80","per":"1.99","trdVol":"4.81","trdVolM":"0.48","ntP":"133.30","mVal":"1.33","wkhi":"3,434.20","wklo":"2,424.00","wkhicm_adj":"1,729.80","wklocm_adj":"809.10","xDt":"31-DEC-2999","cAct":"-","yPC":"7.48","mPC":"-3.44"},{"symbol":"UBL","open":"736.35","high":"750.00","low":"732.65","ltP":"739.20","ptsC":"13.60","per":"1.87","trdVol":"4.93","trdVolM":"0.49","ntP":"36.59","mVal":"0.37","wkhi":"1,074.95","wklo":"690.00","wkhicm_adj":"859.00","wklocm_adj":"615.65","xDt":"31-DEC-2999","cAct":"-","yPC":"-22.52","mPC":"-4.09"},{"symbol":"PIDILITIND","open":"714.00","high":"722.90","low":"707.20","ltP":"719.00","ptsC":"12.75","per":"1.81","trdVol":"8.69","trdVolM":"0.87","ntP":"62.09","mVal":"0.62","wkhi":"722.90","wklo":"507.30","wkhicm_adj":"505.90","wklocm_adj":"269.60","xDt":"18-MAR-2016","cAct":"INTERIM DIVIDEND - RS 3.65\/- PER SHARE (PURPOSE REVISED)","yPC":"29.78","mPC":"19.06"},{"symbol":"SHREECEM","open":"13,299.00","high":"13,435.00","low":"13,200.05","ltP":"13,350.00","ptsC":"220.05","per":"1.68","trdVol":"0.06","trdVolM":"0.01","ntP":"8.26","mVal":"0.08","wkhi":"13,888.00","wklo":"9,399.95","wkhicm_adj":"9,297.70","wklocm_adj":"4,100.10","xDt":"17-MAR-2016","cAct":"INTERIM DIVIDEND - RS 12\/- PER SHARE (PUPOSE REVISED)","yPC":"16.89","mPC":"6.27"},{"symbol":"MARICO","open":"250.10","high":"253.00","low":"249.40","ltP":"252.90","ptsC":"3.70","per":"1.48","trdVol":"5.10","trdVolM":"0.51","ntP":"12.82","mVal":"0.13","wkhi":"269.25","wklo":"189.30","wkhicm_adj":"350.20","wklocm_adj":"200.05","xDt":"17-MAR-2016","cAct":"INTERIM DIVIDEND - RE 1\/- PER SHARE (PURPOSE REVISED)","yPC":"-43.20","mPC":"-5.42"},{"symbol":"DIVISLAB","open":"1,092.00","high":"1,135.90","low":"1,092.00","ltP":"1,115.50","ptsC":"16.05","per":"1.46","trdVol":"5.06","trdVolM":"0.51","ntP":"56.83","mVal":"0.57","wkhi":"1,242.35","wklo":"863.90","wkhicm_adj":"1,888.05","wklocm_adj":"1,097.00","xDt":"17-MAR-2016","cAct":"INTERIM DIVIDEND - RS 10\/- PER SHARE (PURPOSE REVISED)","yPC":"-38.94","mPC":"5.65"},{"symbol":"IOC","open":"418.00","high":"424.80","low":"417.20","ltP":"420.55","ptsC":"4.45","per":"1.07","trdVol":"30.54","trdVolM":"3.05","ntP":"128.75","mVal":"1.29","wkhi":"465.90","wklo":"336.20","wkhicm_adj":"411.20","wklocm_adj":"193.75","xDt":"31-DEC-2999","cAct":"-","yPC":"18.55","mPC":"-1.34"},{"symbol":"IBULHSGFIN","open":"718.50","high":"734.50","low":"718.45","ltP":"726.00","ptsC":"7.55","per":"1.05","trdVol":"5.94","trdVolM":"0.59","ntP":"43.17","mVal":"0.43","wkhi":"820.85","wklo":"541.50","wkhicm_adj":"484.95","wklocm_adj":"187.05","xDt":"18-MAR-2016","cAct":"INTERIM DIVIDEND - RS 9\/- PER SHARE","yPC":"19.19","mPC":"4.68"},{"symbol":"TORNTPHARM","open":"1,355.45","high":"1,369.40","low":"1,331.00","ltP":"1,355.25","ptsC":"13.50","per":"1.01","trdVol":"1.04","trdVolM":"0.10","ntP":"14.13","mVal":"0.14","wkhi":"1,718.40","wklo":"1,169.05","wkhicm_adj":"1,135.00","wklocm_adj":"458.00","xDt":"16-MAR-2016","cAct":"INTERIM DIVIDEND - RS 15\/- PER SHARE (PURPOSE REVISED)","yPC":"10.85","mPC":"-5.04"},{"symbol":"OFSS","open":"3,470.10","high":"3,503.00","low":"3,452.00","ltP":"3,498.80","ptsC":"32.75","per":"0.94","trdVol":"0.35","trdVolM":"0.04","ntP":"12.24","mVal":"0.12","wkhi":"4,444.00","wklo":"3,100.00","wkhicm_adj":"4,180.00","wklocm_adj":"2,770.00","xDt":"31-DEC-2999","cAct":"-","yPC":"-2.63","mPC":"-3.75"},{"symbol":"EMAMILTD","open":"1,035.00","high":"1,042.80","low":"1,022.10","ltP":"1,033.50","ptsC":"9.50","per":"0.93","trdVol":"1.71","trdVolM":"0.17","ntP":"17.74","mVal":"0.18","wkhi":"1,365.00","wklo":"901.00","wkhicm_adj":"824.70","wklocm_adj":"420.00","xDt":"31-DEC-2999","cAct":"-","yPC":"-8.90","mPC":"5.47"},{"symbol":"BHARATFORG","open":"758.60","high":"767.50","low":"756.60","ltP":"761.00","ptsC":"5.60","per":"0.74","trdVol":"5.01","trdVolM":"0.50","ntP":"38.18","mVal":"0.38","wkhi":"1,293.00","wklo":"704.90","wkhicm_adj":"979.00","wklocm_adj":"291.10","xDt":"18-MAR-2016","cAct":"INTERIM DIVIDEND - RS 4\/- PER SHARE (PURPOSE REVISED)","yPC":"-37.32","mPC":"-5.93"},{"symbol":"SIEMENS","open":"1,205.00","high":"1,234.75","low":"1,198.55","ltP":"1,212.70","ptsC":"8.50","per":"0.71","trdVol":"3.85","trdVolM":"0.38","ntP":"46.85","mVal":"0.47","wkhi":"1,559.70","wklo":"968.60","wkhicm_adj":"1,010.00","wklocm_adj":"513.00","xDt":"31-DEC-2999","cAct":"-","yPC":"-11.23","mPC":"6.00"},{"symbol":"BAJFINANCE","open":"7,528.00","high":"7,719.00","low":"7,480.00","ltP":"7,643.00","ptsC":"54.20","per":"0.71","trdVol":"1.00","trdVolM":"0.10","ntP":"75.97","mVal":"0.76","wkhi":"7,858.05","wklo":"4,170.00","wkhicm_adj":"3,385.00","wklocm_adj":"1,375.00","xDt":"16-MAR-2016","cAct":"INTERIM DIVIDEND - RS 18\/- PER SHARE (PURPOSE REVISED)","yPC":"74.50","mPC":"8.35"},{"symbol":"GODREJCP","open":"1,475.00","high":"1,498.25","low":"1,462.90","ltP":"1,490.00","ptsC":"7.35","per":"0.50","trdVol":"1.64","trdVolM":"0.16","ntP":"24.33","mVal":"0.24","wkhi":"1,536.85","wklo":"1,050.05","wkhicm_adj":"1,119.00","wklocm_adj":"667.00","xDt":"10-MAY-2016","cAct":"INTERIM DIVIDEND - RS 2.75\/- PER SHARE (PURPOSE REVISED)","yPC":"36.28","mPC":"8.66"},{"symbol":"PGHH","open":"6,236.00","high":"6,240.00","low":"6,210.60","ltP":"6,215.00","ptsC":"20.25","per":"0.33","trdVol":"0.01","trdVolM":"0.00","ntP":"0.61","mVal":"0.01","wkhi":"6,995.00","wklo":"5,178.65","wkhicm_adj":"5,949.00","wklocm_adj":"2,752.00","xDt":"31-DEC-2999","cAct":"-","yPC":"-3.36","mPC":"-3.52"},{"symbol":"PFC","open":"164.40","high":"167.10","low":"163.80","ltP":"164.20","ptsC":"0.50","per":"0.31","trdVol":"24.09","trdVolM":"2.41","ntP":"39.81","mVal":"0.40","wkhi":"281.50","wklo":"140.25","wkhicm_adj":"344.75","wklocm_adj":"128.75","xDt":"31-DEC-2999","cAct":"-","yPC":"-39.20","mPC":"-7.75"},{"symbol":"OIL","open":"350.00","high":"354.70","low":"346.55","ltP":"350.65","ptsC":"0.65","per":"0.19","trdVol":"3.00","trdVolM":"0.30","ntP":"10.50","mVal":"0.11","wkhi":"487.55","wklo":"300.35","wkhicm_adj":"669.95","wklocm_adj":"438.00","xDt":"31-DEC-2999","cAct":"-","yPC":"-27.41","mPC":"4.58"},{"symbol":"DABUR","open":"289.90","high":"293.00","low":"288.55","ltP":"289.65","ptsC":"-0.05","per":"-0.02","trdVol":"8.88","trdVolM":"0.89","ntP":"25.80","mVal":"0.26","wkhi":"316.40","wklo":"231.50","wkhicm_adj":"249.15","wklocm_adj":"159.50","xDt":"31-DEC-2999","cAct":"-","yPC":"6.22","mPC":"-2.19"},{"symbol":"GSKCONS","open":"5,785.00","high":"5,837.00","low":"5,725.00","ltP":"5,740.00","ptsC":"-6.30","per":"-0.11","trdVol":"0.29","trdVolM":"0.03","ntP":"16.60","mVal":"0.17","wkhi":"6,800.00","wklo":"5,405.00","wkhicm_adj":"5,999.00","wklocm_adj":"4,011.00","xDt":"31-DEC-2999","cAct":"-","yPC":"-9.04","mPC":"-0.93"},{"symbol":"HINDPETRO","open":"920.00","high":"922.00","low":"901.10","ltP":"905.00","ptsC":"-1.45","per":"-0.16","trdVol":"9.79","trdVolM":"0.98","ntP":"88.98","mVal":"0.89","wkhi":"990.95","wklo":"635.15","wkhicm_adj":"627.80","wklocm_adj":"205.05","xDt":"17-MAR-2016","cAct":"INTERIM DIVIDEND - RS 7\/- PER SHARE (PURPOSE REVISED)","yPC":"30.30","mPC":"7.58"},{"symbol":"CASTROLIND","open":"375.15","high":"377.10","low":"371.65","ltP":"374.20","ptsC":"-0.75","per":"-0.20","trdVol":"6.70","trdVolM":"0.67","ntP":"25.04","mVal":"0.25","wkhi":"513.80","wklo":"360.85","wkhicm_adj":"523.50","wklocm_adj":"283.10","xDt":"27-APR-2016","cAct":"ANNUAL GENERAL MEETING\/ DIVIDEND - RS 5\/- PER SHARE","yPC":"-20.75","mPC":"-5.24"},{"symbol":"ABB","open":"1,240.00","high":"1,246.15","low":"1,218.95","ltP":"1,233.10","ptsC":"-3.90","per":"-0.32","trdVol":"0.43","trdVolM":"0.04","ntP":"5.25","mVal":"0.05","wkhi":"1,445.00","wklo":"955.20","wkhicm_adj":"1,263.50","wklocm_adj":"566.95","xDt":"13-APR-2016","cAct":"ANNUAL GENERAL MEETING\/DIVIDEND - RS 3.70 PER SHARE","yPC":"-7.41","mPC":"-2.79"},{"symbol":"LICHSGFIN","open":"470.30","high":"470.50","low":"463.25","ltP":"468.75","ptsC":"-2.00","per":"-0.42","trdVol":"12.12","trdVolM":"1.21","ntP":"56.60","mVal":"0.57","wkhi":"523.95","wklo":"388.65","wkhicm_adj":"429.50","wklocm_adj":"187.05","xDt":"31-DEC-2999","cAct":"-","yPC":"11.13","mPC":"1.82"},{"symbol":"CADILAHC","open":"338.60","high":"344.40","low":"331.75","ltP":"334.85","ptsC":"-1.55","per":"-0.46","trdVol":"6.73","trdVolM":"0.67","ntP":"22.76","mVal":"0.23","wkhi":"453.30","wklo":"295.00","wkhicm_adj":"1,760.15","wklocm_adj":"723.20","xDt":"17-MAR-2016","cAct":"INTERIM DIVIDEND - RS 3.20\/- PER SHARE","yPC":"-10.40","mPC":"3.16"},{"symbol":"MCDOWELL-N","open":"2,470.00","high":"2,490.00","low":"2,455.00","ltP":"2,457.10","ptsC":"-13.00","per":"-0.53","trdVol":"1.23","trdVolM":"0.12","ntP":"30.40","mVal":"0.30","wkhi":"3,837.90","wklo":"2,225.45","wkhicm_adj":"2,940.80","wklocm_adj":"2,225.00","xDt":"31-DEC-2999","cAct":"-","yPC":"-31.35","mPC":"4.13"},{"symbol":"GLAXO","open":"3,554.00","high":"3,574.35","low":"3,525.00","ltP":"3,534.00","ptsC":"-20.45","per":"-0.58","trdVol":"0.03","trdVolM":"0.00","ntP":"1.10","mVal":"0.01","wkhi":"3,872.00","wklo":"3,032.05","wkhicm_adj":"3,054.50","wklocm_adj":"2,365.00","xDt":"31-DEC-2999","cAct":"-","yPC":"8.83","mPC":"-3.77"},{"symbol":"TITAN","open":"359.00","high":"364.25","low":"356.40","ltP":"358.30","ptsC":"-2.20","per":"-0.61","trdVol":"15.20","trdVolM":"1.52","ntP":"54.81","mVal":"0.55","wkhi":"392.40","wklo":"301.70","wkhicm_adj":"425.00","wklocm_adj":"202.45","xDt":"22-MAR-2016","cAct":"INTERIM DIVIDEND - RS 2.20\/- PER SHARE (PURPOSE REVISED)","yPC":"-4.78","mPC":"-2.54"},{"symbol":"UPL","open":"598.25","high":"598.35","low":"585.40","ltP":"590.75","ptsC":"-4.75","per":"-0.80","trdVol":"15.86","trdVolM":"1.59","ntP":"93.78","mVal":"0.94","wkhi":"612.95","wklo":"367.25","wkhicm_adj":"388.70","wklocm_adj":"161.10","xDt":"31-DEC-2999","cAct":"-","yPC":"8.78","mPC":"-0.70"},{"symbol":"GLENMARK","open":"854.00","high":"865.80","low":"842.00","ltP":"842.95","ptsC":"-8.20","per":"-0.96","trdVol":"5.31","trdVolM":"0.53","ntP":"45.49","mVal":"0.45","wkhi":"1,262.90","wklo":"671.10","wkhicm_adj":"841.00","wklocm_adj":"493.00","xDt":"31-DEC-2999","cAct":"-","yPC":"-2.67","mPC":"1.65"},{"symbol":"CAIRN","open":"145.00","high":"146.20","low":"142.85","ltP":"143.60","ptsC":"-1.55","per":"-1.07","trdVol":"13.61","trdVolM":"1.36","ntP":"19.68","mVal":"0.20","wkhi":"197.90","wklo":"106.50","wkhicm_adj":"386.00","wklocm_adj":"255.00","xDt":"31-DEC-2999","cAct":"-","yPC":"-26.28","mPC":"-4.58"},{"symbol":"SRTRANSFIN","open":"1,180.50","high":"1,193.40","low":"1,156.00","ltP":"1,165.00","ptsC":"-15.40","per":"-1.30","trdVol":"5.48","trdVolM":"0.55","ntP":"64.70","mVal":"0.65","wkhi":"1,219.80","wklo":"736.95","wkhicm_adj":"1,139.00","wklocm_adj":"548.70","xDt":"31-DEC-2999","cAct":"-","yPC":"41.52","mPC":"7.57"},{"symbol":"JSWSTEEL","open":"1,396.00","high":"1,405.00","low":"1,370.40","ltP":"1,370.40","ptsC":"-18.75","per":"-1.35","trdVol":"6.47","trdVolM":"0.65","ntP":"89.88","mVal":"0.90","wkhi":"1,405.00","wklo":"800.00","wkhicm_adj":"1,366.50","wklocm_adj":"804.00","xDt":"31-DEC-2999","cAct":"-","yPC":"50.72","mPC":"0.41"},{"symbol":"HINDZINC","open":"170.75","high":"172.75","low":"168.05","ltP":"168.40","ptsC":"-2.35","per":"-1.38","trdVol":"4.71","trdVolM":"0.47","ntP":"8.02","mVal":"0.08","wkhi":"196.80","wklo":"117.05","wkhicm_adj":"184.00","wklocm_adj":"114.80","xDt":"31-DEC-2999","cAct":"-","yPC":"0.42","mPC":"-3.47"},{"symbol":"COLPAL","open":"863.00","high":"865.00","low":"847.50","ltP":"848.00","ptsC":"-13.35","per":"-1.55","trdVol":"2.25","trdVolM":"0.22","ntP":"19.25","mVal":"0.19","wkhi":"1,050.00","wklo":"787.20","wkhicm_adj":"2,049.00","wklocm_adj":"1,235.20","xDt":"06-APR-2016","cAct":"INTERIM DIVIDEND - RS 3\/- PER SHARE (PURPOSE REVISED)","yPC":"-14.74","mPC":"-0.21"},{"symbol":"BEL","open":"1,184.00","high":"1,200.00","low":"1,154.25","ltP":"1,156.35","ptsC":"-21.90","per":"-1.86","trdVol":"2.05","trdVolM":"0.21","ntP":"24.10","mVal":"0.24","wkhi":"1,416.85","wklo":"984.00","wkhicm_adj":"2,375.00","wklocm_adj":"893.00","xDt":"31-DEC-2999","cAct":"-","yPC":"-3.86","mPC":"-2.60"},{"symbol":"CONCOR","open":"1,439.00","high":"1,443.00","low":"1,402.00","ltP":"1,409.45","ptsC":"-29.60","per":"-2.06","trdVol":"0.71","trdVolM":"0.07","ntP":"10.09","mVal":"0.10","wkhi":"1,947.70","wklo":"1,051.00","wkhicm_adj":"1,504.70","wklocm_adj":"697.55","xDt":"31-DEC-2999","cAct":"-","yPC":"-20.59","mPC":"2.90"},{"symbol":"NMDC","open":"88.70","high":"88.80","low":"86.15","ltP":"86.40","ptsC":"-1.85","per":"-2.10","trdVol":"23.14","trdVolM":"2.31","ntP":"20.24","mVal":"0.20","wkhi":"129.70","wklo":"75.15","wkhicm_adj":"196.00","wklocm_adj":"123.10","xDt":"30-MAR-2016","cAct":"INTERIM DIVIDEND - RS 1.50\/- PER SHARE (PURPOSE REVISED)","yPC":"-32.87","mPC":"-11.43"},{"symbol":"BAJAJFINSV","open":"1,835.95","high":"1,839.00","low":"1,774.05","ltP":"1,774.05","ptsC":"-46.60","per":"-2.56","trdVol":"1.72","trdVolM":"0.17","ntP":"31.00","mVal":"0.31","wkhi":"2,160.00","wklo":"1,435.15","wkhicm_adj":"1,173.95","wklocm_adj":"658.35","xDt":"16-MAR-2016","cAct":"INTERIM DIVIDEND - RS 1.75\/- PER SHARE (PURPOSE REVISED)","yPC":"17.89","mPC":"-8.60"},{"symbol":"PNB","open":"79.00","high":"79.75","low":"76.25","ltP":"76.80","ptsC":"-2.20","per":"-2.78","trdVol":"89.93","trdVolM":"8.99","ntP":"70.48","mVal":"0.70","wkhi":"180.55","wklo":"69.25","wkhicm_adj":"1,096.50","wklocm_adj":"509.15","xDt":"31-DEC-2999","cAct":"-","yPC":"-50.08","mPC":"-8.73"},{"symbol":"CUMMINSIND","open":"803.45","high":"807.00","low":"771.00","ltP":"777.00","ptsC":"-23.00","per":"-2.88","trdVol":"5.41","trdVolM":"0.54","ntP":"42.35","mVal":"0.42","wkhi":"1,247.65","wklo":"746.15","wkhicm_adj":"955.60","wklocm_adj":"417.70","xDt":"31-DEC-2999","cAct":"-","yPC":"-15.32","mPC":"-12.60"},{"symbol":"SAIL","open":"42.80","high":"43.10","low":"41.50","ltP":"41.55","ptsC":"-1.25","per":"-2.92","trdVol":"38.05","trdVolM":"3.80","ntP":"16.12","mVal":"0.16","wkhi":"67.30","wklo":"33.50","wkhicm_adj":"112.95","wklocm_adj":"54.05","xDt":"31-DEC-2999","cAct":"-","yPC":"-37.33","mPC":"-12.06"},{"symbol":"VEDL","open":"109.00","high":"109.00","low":"104.55","ltP":"105.30","ptsC":"-3.25","per":"-2.99","trdVol":"105.83","trdVolM":"10.58","ntP":"113.00","mVal":"1.13","wkhi":"201.65","wklo":"58.15","wkhicm_adj":"318.30","wklocm_adj":"168.85","xDt":"31-DEC-2999","cAct":"-","yPC":"-46.74","mPC":"-4.88"},{"symbol":"ASHOKLEY","open":"110.00","high":"111.70","low":"103.85","ltP":"104.20","ptsC":"-4.75","per":"-4.36","trdVol":"292.31","trdVolM":"29.23","ntP":"315.40","mVal":"3.15","wkhi":"112.90","wklo":"64.00","wkhicm_adj":"56.20","wklocm_adj":"14.85","xDt":"31-DEC-2999","cAct":"-","yPC":"44.82","mPC":"-1.65"}],"trdValueSumMil":"28.80","unchanged":0,"trdVolumesum":"1,660.09","advances":24} </t>
  </si>
  <si>
    <t xml:space="preserve">{"trdVolumesumMil":"200.37","time":"Jun 01, 2016 15:59:47","latestData":[{"indexName":"NIFTY 50","open":"8,179.20","high":"8,215.35","low":"8,171.05","ltp":"8,179.95","ch":"19.85","per":"0.24","yCls":"-1.88","mCls":"4.79","yHigh":"8,654.75","yLow":"6,825.80"}],"declines":24,"trdValueSum":"8,408.47","data":[{"symbol":"ADANIPORTS","open":"192.85","high":"203.30","low":"192.50","ltP":"202.00","ptsC":"9.85","per":"5.13","trdVol":"109.36","trdVolM":"10.94","ntP":"219.00","mVal":"2.19","wkhi":"374.80","wklo":"169.15","wkhicm_adj":"308.75","wklocm_adj":"141.00","xDt":"22-MAR-2016","cAct":"INTERIM DIVIDEND - RS 1.10\/- PER SHARE (PURPOSE REVISED)","yPC":"-35.16","mPC":"-13.29"},{"symbol":"ASIANPAINT","open":"989.05","high":"1,025.00","low":"989.05","ltP":"1,024.00","ptsC":"39.15","per":"3.98","trdVol":"20.69","trdVolM":"2.07","ntP":"209.97","mVal":"2.10","wkhi":"1,025.00","wklo":"693.00","wkhicm_adj":"802.20","wklocm_adj":"460.20","xDt":"31-DEC-2999","cAct":"-","yPC":"29.66","mPC":"18.41"},{"symbol":"BHARTIARTL","open":"353.55","high":"364.35","low":"352.30","ltP":"363.95","ptsC":"12.55","per":"3.57","trdVol":"27.77","trdVolM":"2.78","ntP":"99.80","mVal":"1.00","wkhi":"452.45","wklo":"282.30","wkhicm_adj":"420.00","wklocm_adj":"281.90","xDt":"31-DEC-2999","cAct":"-","yPC":"-12.64","mPC":"1.72"},{"symbol":"ITC","open":"353.00","high":"362.20","low":"353.00","ltP":"361.10","ptsC":"10.05","per":"2.86","trdVol":"79.66","trdVolM":"7.97","ntP":"286.06","mVal":"2.86","wkhi":"364.00","wklo":"268.00","wkhicm_adj":"387.50","wklocm_adj":"307.55","xDt":"30-MAY-2016","cAct":"DIVIDEND-RS.8.50 PER SHARE (INCLUDING SPECIAL DIVIDEND OF RS.2\/- PER SHARE).","yPC":"8.75","mPC":"12.44"},{"symbol":"INFRATEL","open":"374.90","high":"386.00","low":"374.60","ltP":"384.60","ptsC":"10.05","per":"2.68","trdVol":"16.03","trdVolM":"1.60","ntP":"61.46","mVal":"0.61","wkhi":"499.65","wklo":"341.35","wkhicm_adj":"322.00","wklocm_adj":"156.00","xDt":"31-DEC-2999","cAct":"-","yPC":"-18.42","mPC":"2.38"},{"symbol":"TCS","open":"2,571.20","high":"2,645.00","low":"2,571.00","ltP":"2,633.90","ptsC":"64.50","per":"2.51","trdVol":"9.56","trdVolM":"0.96","ntP":"250.95","mVal":"2.51","wkhi":"2,770.00","wklo":"2,115.00","wkhicm_adj":"2,839.70","wklocm_adj":"1,970.00","xDt":"31-DEC-2999","cAct":"-","yPC":"0.62","mPC":"4.24"},{"symbol":"COALINDIA","open":"292.05","high":"299.50","low":"289.05","ltP":"297.95","ptsC":"6.55","per":"2.25","trdVol":"58.43","trdVolM":"5.84","ntP":"171.76","mVal":"1.72","wkhi":"447.10","wklo":"271.65","wkhicm_adj":"423.70","wklocm_adj":"240.30","xDt":"14-MAR-2016","cAct":"INTERIM DIVIDEND - RS 27.40\/- PER SHARE (PURPOSE REVISED)","yPC":"-23.95","mPC":"3.22"},{"symbol":"IDEA","open":"115.75","high":"118.25","low":"114.45","ltP":"117.25","ptsC":"2.30","per":"2.00","trdVol":"42.08","trdVolM":"4.21","ntP":"49.10","mVal":"0.49","wkhi":"186.50","wklo":"97.20","wkhicm_adj":"183.70","wklocm_adj":"125.10","xDt":"31-DEC-2999","cAct":"-","yPC":"-32.05","mPC":"-0.38"},{"symbol":"ACC","open":"1,535.00","high":"1,559.95","low":"1,528.00","ltP":"1,559.00","ptsC":"29.95","per":"1.96","trdVol":"7.42","trdVolM":"0.74","ntP":"114.39","mVal":"1.14","wkhi":"1,559.95","wklo":"1,174.00","wkhicm_adj":"1,564.65","wklocm_adj":"970.15","xDt":"31-DEC-2999","cAct":"-","yPC":"2.81","mPC":"9.75"},{"symbol":"WIPRO","open":"545.60","high":"555.80","low":"545.60","ltP":"554.60","ptsC":"9.15","per":"1.68","trdVol":"10.22","trdVolM":"1.02","ntP":"56.48","mVal":"0.56","wkhi":"613.30","wklo":"507.90","wkhicm_adj":"621.90","wklocm_adj":"466.65","xDt":"05-MAY-2016","cAct":"BUYBACK OF SHARES","yPC":"-1.59","mPC":"1.11"},{"symbol":"AMBUJACEM","open":"229.00","high":"232.80","low":"228.55","ltP":"232.10","ptsC":"3.70","per":"1.62","trdVol":"56.67","trdVolM":"5.67","ntP":"130.30","mVal":"1.30","wkhi":"257.30","wklo":"185.00","wkhicm_adj":"243.80","wklocm_adj":"150.10","xDt":"31-DEC-2999","cAct":"-","yPC":"-3.25","mPC":"3.71"},{"symbol":"ZEEL","open":"445.70","high":"452.50","low":"442.35","ltP":"449.65","ptsC":"6.30","per":"1.42","trdVol":"8.72","trdVolM":"0.87","ntP":"39.10","mVal":"0.39","wkhi":"458.95","wklo":"318.00","wkhicm_adj":"402.40","wklocm_adj":"251.80","xDt":"31-DEC-2999","cAct":"-","yPC":"40.41","mPC":"7.99"},{"symbol":"LUPIN","open":"1,479.65","high":"1,500.00","low":"1,478.00","ltP":"1,491.90","ptsC":"17.15","per":"1.16","trdVol":"18.80","trdVolM":"1.88","ntP":"280.18","mVal":"2.80","wkhi":"2,129.00","wklo":"1,280.00","wkhicm_adj":"1,497.50","wklocm_adj":"851.50","xDt":"31-DEC-2999","cAct":"-","yPC":"-16.75","mPC":"-7.85"},{"symbol":"NTPC","open":"142.90","high":"145.20","low":"141.55","ltP":"144.80","ptsC":"1.65","per":"1.15","trdVol":"46.49","trdVolM":"4.65","ntP":"66.78","mVal":"0.67","wkhi":"148.85","wklo":"107.10","wkhicm_adj":"168.90","wklocm_adj":"110.65","xDt":"31-DEC-2999","cAct":"-","yPC":"4.51","mPC":"4.51"},{"symbol":"EICHERMOT","open":"18,500.00","high":"18,809.00","low":"18,500.00","ltP":"18,680.10","ptsC":"194.25","per":"1.05","trdVol":"0.61","trdVolM":"0.06","ntP":"114.37","mVal":"1.14","wkhi":"21,620.00","wklo":"14,800.00","wkhicm_adj":"15,149.90","wklocm_adj":"4,401.10","xDt":"22-MAR-2016","cAct":"INTERIM DIVIDEND - RS 100\/- PER SHARE","yPC":"-0.52","mPC":"-5.91"},{"symbol":"HINDUNILVR","open":"852.15","high":"863.40","low":"846.05","ltP":"856.75","ptsC":"8.55","per":"1.01","trdVol":"12.24","trdVolM":"1.22","ntP":"104.77","mVal":"1.05","wkhi":"944.00","wklo":"766.40","wkhicm_adj":"814.85","wklocm_adj":"537.20","xDt":"31-DEC-2999","cAct":"-","yPC":"-2.73","mPC":"-0.83"},{"symbol":"M&amp;M","open":"1,329.00","high":"1,349.00","low":"1,326.25","ltP":"1,333.50","ptsC":"11.20","per":"0.85","trdVol":"9.45","trdVolM":"0.95","ntP":"126.45","mVal":"1.26","wkhi":"1,442.05","wklo":"1,091.25","wkhicm_adj":"1,433.70","wklocm_adj":"846.60","xDt":"31-DEC-2999","cAct":"-","yPC":"5.99","mPC":"-0.23"},{"symbol":"BPCL","open":"995.00","high":"996.00","low":"982.10","ltP":"988.40","ptsC":"7.90","per":"0.81","trdVol":"10.74","trdVolM":"1.07","ntP":"106.22","mVal":"1.06","wkhi":"1,024.70","wklo":"731.15","wkhicm_adj":"785.00","wklocm_adj":"316.05","xDt":"31-DEC-2999","cAct":"-","yPC":"14.83","mPC":"1.94"},{"symbol":"INFY","open":"1,246.05","high":"1,268.50","low":"1,246.00","ltP":"1,256.00","ptsC":"7.35","per":"0.59","trdVol":"24.20","trdVolM":"2.42","ntP":"304.67","mVal":"3.05","wkhi":"1,272.00","wklo":"932.65","wkhicm_adj":"4,402.20","wklocm_adj":"2,880.00","xDt":"31-DEC-2999","cAct":"-","yPC":"22.67","mPC":"4.58"},{"symbol":"GAIL","open":"370.45","high":"375.00","low":"368.60","ltP":"372.00","ptsC":"1.55","per":"0.42","trdVol":"10.83","trdVolM":"1.08","ntP":"40.27","mVal":"0.40","wkhi":"417.90","wklo":"260.05","wkhicm_adj":"551.90","wklocm_adj":"328.80","xDt":"31-DEC-2999","cAct":"-","yPC":"-4.93","mPC":"1.20"},{"symbol":"HDFC","open":"1,242.15","high":"1,248.35","low":"1,230.00","ltP":"1,242.65","ptsC":"4.95","per":"0.40","trdVol":"22.80","trdVolM":"2.28","ntP":"282.84","mVal":"2.83","wkhi":"1,372.40","wklo":"1,011.45","wkhicm_adj":"1,177.80","wklocm_adj":"755.00","xDt":"30-MAR-2016","cAct":"INTERIM DIVIDEND - RS 3\/- PER SHARE (PURPOSE REVISED)","yPC":"-0.41","mPC":"13.81"},{"symbol":"AUROPHARMA","open":"790.75","high":"802.70","low":"786.00","ltP":"788.00","ptsC":"2.70","per":"0.34","trdVol":"16.44","trdVolM":"1.64","ntP":"130.68","mVal":"1.31","wkhi":"891.50","wklo":"582.00","wkhicm_adj":"1,152.40","wklocm_adj":"286.55","xDt":"31-DEC-2999","cAct":"-","yPC":"15.85","mPC":"2.36"},{"symbol":"KOTAKBANK","open":"749.75","high":"749.75","low":"740.40","ltP":"749.00","ptsC":"2.45","per":"0.33","trdVol":"9.18","trdVolM":"0.92","ntP":"68.25","mVal":"0.68","wkhi":"754.50","wklo":"585.75","wkhicm_adj":"1,264.70","wklocm_adj":"630.50","xDt":"31-DEC-2999","cAct":"-","yPC":"7.56","mPC":"4.29"},{"symbol":"INDUSINDBK","open":"1,103.00","high":"1,107.80","low":"1,096.55","ltP":"1,106.30","ptsC":"3.45","per":"0.31","trdVol":"6.93","trdVolM":"0.69","ntP":"76.39","mVal":"0.76","wkhi":"1,113.55","wklo":"784.00","wkhicm_adj":"776.00","wklocm_adj":"369.50","xDt":"31-DEC-2999","cAct":"-","yPC":"25.30","mPC":"5.86"},{"symbol":"ULTRACEMCO","open":"3,226.70","high":"3,259.75","low":"3,207.85","ltP":"3,235.00","ptsC":"8.30","per":"0.26","trdVol":"1.24","trdVolM":"0.12","ntP":"40.11","mVal":"0.40","wkhi":"3,454.90","wklo":"2,579.00","wkhicm_adj":"2,872.00","wklocm_adj":"1,634.00","xDt":"31-DEC-2999","cAct":"-","yPC":"7.64","mPC":"1.85"},{"symbol":"GRASIM","open":"4,357.10","high":"4,390.00","low":"4,332.05","ltP":"4,357.00","ptsC":"0.05","per":"0.00","trdVol":"0.47","trdVolM":"0.05","ntP":"20.36","mVal":"0.20","wkhi":"4,404.35","wklo":"3,233.00","wkhicm_adj":"3,789.00","wklocm_adj":"2,426.35","xDt":"31-DEC-2999","cAct":"-","yPC":"20.58","mPC":"7.03"},{"symbol":"DRREDDY","open":"3,190.00","high":"3,219.90","low":"3,172.10","ltP":"3,183.00","ptsC":"-0.10","per":"-0.00","trdVol":"1.94","trdVolM":"0.19","ntP":"61.91","mVal":"0.62","wkhi":"4,386.60","wklo":"2,750.05","wkhicm_adj":"3,666.25","wklocm_adj":"2,246.50","xDt":"31-DEC-2999","cAct":"-","yPC":"-10.05","mPC":"5.68"},{"symbol":"ONGC","open":"211.40","high":"213.30","low":"210.10","ltP":"210.60","ptsC":"-0.15","per":"-0.07","trdVol":"30.15","trdVolM":"3.01","ntP":"63.83","mVal":"0.64","wkhi":"329.90","wklo":"187.75","wkhicm_adj":"471.85","wklocm_adj":"264.15","xDt":"16-MAR-2016","cAct":"INTERIM DIVIDEND - RE 0.75\/- PER SHARE (PURPOSE REVISED)","yPC":"-35.02","mPC":"-3.28"},{"symbol":"MARUTI","open":"4,170.70","high":"4,199.95","low":"4,150.00","ltP":"4,154.55","ptsC":"-7.05","per":"-0.17","trdVol":"6.47","trdVolM":"0.65","ntP":"269.97","mVal":"2.70","wkhi":"4,790.00","wklo":"3,193.25","wkhicm_adj":"3,432.00","wklocm_adj":"1,540.40","xDt":"31-DEC-2999","cAct":"-","yPC":"7.00","mPC":"8.45"},{"symbol":"TECHM","open":"541.00","high":"543.20","low":"537.30","ltP":"539.25","ptsC":"-1.10","per":"-0.20","trdVol":"10.94","trdVolM":"1.09","ntP":"59.04","mVal":"0.59","wkhi":"582.00","wklo":"407.40","wkhicm_adj":"2,734.00","wklocm_adj":"1,662.00","xDt":"31-DEC-2999","cAct":"-","yPC":"-2.06","mPC":"13.00"},{"symbol":"BAJAJ-AUTO","open":"2,635.00","high":"2,635.00","low":"2,600.00","ltP":"2,612.00","ptsC":"-6.35","per":"-0.24","trdVol":"1.64","trdVolM":"0.16","ntP":"42.74","mVal":"0.43","wkhi":"2,656.00","wklo":"2,133.65","wkhicm_adj":"2,695.00","wklocm_adj":"1,793.20","xDt":"16-MAR-2016","cAct":"INTERIM DIVIDEND - RS 50\/- PER SHARE (PURPOSE REVISED)","yPC":"11.73","mPC":"5.41"},{"symbol":"HEROMOTOCO","open":"3,123.70","high":"3,132.55","low":"3,070.70","ltP":"3,086.60","ptsC":"-12.30","per":"-0.40","trdVol":"6.68","trdVolM":"0.67","ntP":"207.46","mVal":"2.07","wkhi":"3,172.00","wklo":"2,257.20","wkhicm_adj":"3,269.95","wklocm_adj":"1,907.10","xDt":"21-MAR-2016","cAct":"INTERIM DIVIDEND - RS 40\/- PER SHARE","yPC":"13.90","mPC":"6.28"},{"symbol":"HDFCBANK","open":"1,182.95","high":"1,182.95","low":"1,171.00","ltP":"1,176.00","ptsC":"-5.90","per":"-0.50","trdVol":"14.19","trdVolM":"1.42","ntP":"166.69","mVal":"1.67","wkhi":"1,195.00","wklo":"928.00","wkhicm_adj":"965.90","wklocm_adj":"616.80","xDt":"31-DEC-2999","cAct":"-","yPC":"13.49","mPC":"5.22"},{"symbol":"LT","open":"1,470.05","high":"1,484.15","low":"1,461.10","ltP":"1,466.00","ptsC":"-7.55","per":"-0.51","trdVol":"16.58","trdVolM":"1.66","ntP":"244.05","mVal":"2.44","wkhi":"1,888.00","wklo":"1,016.05","wkhicm_adj":"1,776.60","wklocm_adj":"951.50","xDt":"31-DEC-2999","cAct":"-","yPC":"-14.05","mPC":"17.21"},{"symbol":"POWERGRID","open":"150.60","high":"150.60","low":"148.40","ltP":"149.20","ptsC":"-0.80","per":"-0.53","trdVol":"28.23","trdVolM":"2.82","ntP":"42.15","mVal":"0.42","wkhi":"152.95","wklo":"120.55","wkhicm_adj":"150.90","wklocm_adj":"91.65","xDt":"31-DEC-2999","cAct":"-","yPC":"4.26","mPC":"4.45"},{"symbol":"RELIANCE","open":"957.95","high":"966.10","low":"951.80","ltP":"952.70","ptsC":"-5.15","per":"-0.54","trdVol":"20.67","trdVolM":"2.07","ntP":"198.27","mVal":"1.98","wkhi":"1,089.75","wklo":"818.00","wkhicm_adj":"1,145.25","wklocm_adj":"793.10","xDt":"17-MAR-2016","cAct":"INTERIM DIVIDEND - RS 10.50\/- PER SHARE (PURPOSE REVISED)","yPC":"5.59","mPC":"-3.47"},{"symbol":"HCLTECH","open":"744.00","high":"744.35","low":"731.70","ltP":"735.80","ptsC":"-4.00","per":"-0.54","trdVol":"22.47","trdVolM":"2.25","ntP":"165.59","mVal":"1.66","wkhi":"1,006.00","wklo":"706.40","wkhicm_adj":"1,776.25","wklocm_adj":"1,057.60","xDt":"05-MAY-2016","cAct":"INTERIM DIVIDEND - RS 6\/- PER SHARE (PURPOSE REVISED)","yPC":"-24.40","mPC":"-0.86"},{"symbol":"AXISBANK","open":"524.85","high":"529.45","low":"510.00","ltP":"512.15","ptsC":"-3.05","per":"-0.59","trdVol":"95.59","trdVolM":"9.56","ntP":"496.67","mVal":"4.97","wkhi":"613.45","wklo":"366.75","wkhicm_adj":"493.20","wklocm_adj":"216.52","xDt":"31-DEC-2999","cAct":"-","yPC":"-11.46","mPC":"8.55"},{"symbol":"TATASTEEL","open":"335.90","high":"339.60","low":"329.40","ltP":"332.30","ptsC":"-2.05","per":"-0.61","trdVol":"64.83","trdVolM":"6.48","ntP":"217.31","mVal":"2.17","wkhi":"364.05","wklo":"199.70","wkhicm_adj":"579.90","wklocm_adj":"332.00","xDt":"31-DEC-2999","cAct":"-","yPC":"0.80","mPC":"-4.22"},{"symbol":"BOSCHLTD","open":"22,300.05","high":"22,485.55","low":"22,106.30","ltP":"22,160.00","ptsC":"-187.55","per":"-0.84","trdVol":"0.19","trdVolM":"0.02","ntP":"41.39","mVal":"0.41","wkhi":"26,719.95","wklo":"15,736.05","wkhicm_adj":"19,570.00","wklocm_adj":"8,450.00","xDt":"31-DEC-2999","cAct":"-","yPC":"-5.02","mPC":"13.04"},{"symbol":"YESBANK","open":"1,031.50","high":"1,033.90","low":"1,005.55","ltP":"1,023.00","ptsC":"-10.00","per":"-0.97","trdVol":"24.43","trdVolM":"2.44","ntP":"248.96","mVal":"2.49","wkhi":"1,046.00","wklo":"595.00","wkhicm_adj":"719.90","wklocm_adj":"291.40","xDt":"30-MAY-2016","cAct":"ANNUAL GENERAL MEETING\/ DIVIDEND - RS 10\/- PER SHARE","yPC":"16.31","mPC":"8.26"},{"symbol":"SUNPHARMA","open":"767.05","high":"771.40","low":"752.45","ltP":"755.10","ptsC":"-7.65","per":"-1.00","trdVol":"49.22","trdVolM":"4.92","ntP":"374.38","mVal":"3.74","wkhi":"966.00","wklo":"704.00","wkhicm_adj":"932.50","wklocm_adj":"552.55","xDt":"31-DEC-2999","cAct":"-","yPC":"-13.96","mPC":"-6.98"},{"symbol":"TATAPOWER","open":"74.95","high":"74.95","low":"72.45","ltP":"72.85","ptsC":"-0.90","per":"-1.22","trdVol":"40.52","trdVolM":"4.05","ntP":"29.80","mVal":"0.30","wkhi":"76.85","wklo":"55.00","wkhicm_adj":"115.60","wklocm_adj":"68.65","xDt":"31-DEC-2999","cAct":"-","yPC":"-4.27","mPC":"3.85"},{"symbol":"BHEL","open":"122.00","high":"122.00","low":"117.50","ltP":"118.65","ptsC":"-1.85","per":"-1.54","trdVol":"66.00","trdVolM":"6.60","ntP":"78.89","mVal":"0.79","wkhi":"290.00","wklo":"90.15","wkhicm_adj":"291.50","wklocm_adj":"145.55","xDt":"31-DEC-2999","cAct":"-","yPC":"-53.30","mPC":"-7.09"},{"symbol":"ICICIBANK","open":"243.90","high":"245.45","low":"239.10","ltP":"240.50","ptsC":"-4.15","per":"-1.70","trdVol":"107.84","trdVolM":"10.78","ntP":"261.21","mVal":"2.61","wkhi":"321.00","wklo":"180.75","wkhicm_adj":"1,779.00","wklocm_adj":"943.60","xDt":"31-DEC-2999","cAct":"-","yPC":"-24.00","mPC":"6.06"},{"symbol":"HINDALCO","open":"105.35","high":"105.75","low":"102.60","ltP":"103.40","ptsC":"-1.85","per":"-1.76","trdVol":"123.75","trdVolM":"12.37","ntP":"128.70","mVal":"1.29","wkhi":"129.80","wklo":"58.80","wkhicm_adj":"198.90","wklocm_adj":"96.70","xDt":"31-DEC-2999","cAct":"-","yPC":"-19.44","mPC":"4.82"},{"symbol":"TATAMTRDVR","open":"318.00","high":"318.00","low":"308.00","ltP":"308.15","ptsC":"-6.35","per":"-2.02","trdVol":"23.69","trdVolM":"2.37","ntP":"73.83","mVal":"0.74","wkhi":"318.00","wklo":"200.20","wkhicm_adj":"391.35","wklocm_adj":"168.25","xDt":"31-DEC-2999","cAct":"-","yPC":"6.02","mPC":"4.33"},{"symbol":"CIPLA","open":"474.70","high":"474.70","low":"462.75","ltP":"463.00","ptsC":"-9.65","per":"-2.04","trdVol":"12.48","trdVolM":"1.25","ntP":"58.62","mVal":"0.59","wkhi":"745.00","wklo":"457.45","wkhicm_adj":"673.00","wklocm_adj":"366.50","xDt":"31-DEC-2999","cAct":"-","yPC":"-30.07","mPC":"-14.36"},{"symbol":"BANKBARODA","open":"143.30","high":"143.40","low":"137.90","ltP":"139.25","ptsC":"-3.55","per":"-2.49","trdVol":"75.63","trdVolM":"7.56","ntP":"106.73","mVal":"1.07","wkhi":"216.30","wklo":"109.35","wkhicm_adj":"1,104.70","wklocm_adj":"511.15","xDt":"31-DEC-2999","cAct":"-","yPC":"-15.71","mPC":"-10.45"},{"symbol":"TATAMOTORS","open":"455.75","high":"458.30","low":"445.00","ltP":"446.80","ptsC":"-12.85","per":"-2.80","trdVol":"103.89","trdVolM":"10.39","ntP":"470.32","mVal":"4.70","wkhi":"482.90","wklo":"265.80","wkhicm_adj":"550.70","wklocm_adj":"332.10","xDt":"31-DEC-2999","cAct":"-","yPC":"-5.35","mPC":"9.59"},{"symbol":"SBIN","open":"205.95","high":"208.30","low":"196.60","ltP":"198.60","ptsC":"-6.35","per":"-3.10","trdVol":"418.68","trdVolM":"41.87","ntP":"849.25","mVal":"8.49","wkhi":"291.80","wklo":"148.25","wkhicm_adj":"326.95","wklocm_adj":"145.51","xDt":"31-DEC-2999","cAct":"-","yPC":"-28.61","mPC":"6.77"}],"trdValueSumMil":"84.08","unchanged":2,"trdVolumesum":"2,003.73","advances":25} </t>
  </si>
  <si>
    <t xml:space="preserve">{"trdVolumesumMil":"102.94","time":"Jun 01, 2016 15:59:47","latestData":[{"indexName":"NIFTY MIDCAP 50","open":"3,384.45","high":"3,395.15","low":"3,342.15","ltp":"3,349.15","ch":"-27.15","per":"-0.80","yCls":"-0.56","mCls":"0.24","yHigh":"3,563.60","yLow":"2,633.10"}],"declines":37,"trdValueSum":"1,846.70","data":[{"symbol":"PAGEIND","open":"13,800.00","high":"14,435.00","low":"13,711.45","ltP":"14,435.00","ptsC":"640.10","per":"4.64","trdVol":"0.13","trdVolM":"0.01","ntP":"18.29","mVal":"0.18","wkhi":"17,000.00","wklo":"9,752.35","wkhicm_adj":"10,390.00","wklocm_adj":"5,010.00","xDt":"31-MAY-2016","cAct":"INTERIM DIVIDEND RS 22\/- PER SHARE (PURPOSE REVISED)","yPC":"-14.48","mPC":"12.24"},{"symbol":"ADANIENT","open":"73.00","high":"77.30","low":"72.60","ltP":"75.05","ptsC":"2.20","per":"3.02","trdVol":"49.16","trdVolM":"4.92","ntP":"37.11","mVal":"0.37","wkhi":"721.70","wklo":"58.20","wkhicm_adj":"585.00","wklocm_adj":"210.10","xDt":"22-MAR-2016","cAct":"INTERIM DIVIDEND - RE 0.40\/- PER SHARE (PURPOSE REVISED)","yPC":"-88.14","mPC":"-13.79"},{"symbol":"ENGINERSIN","open":"182.00","high":"184.90","low":"180.40","ltP":"183.95","ptsC":"4.60","per":"2.56","trdVol":"4.86","trdVolM":"0.49","ntP":"8.88","mVal":"0.09","wkhi":"252.20","wklo":"143.10","wkhicm_adj":"331.70","wklocm_adj":"142.50","xDt":"08-MAR-2016","cAct":"INTERIM DIVIDEND - RS 2\/- PER SHARE (PURPOSE REVISED)","yPC":"-12.59","mPC":"2.54"},{"symbol":"AJANTPHARM","open":"1,529.95","high":"1,552.80","low":"1,506.55","ltP":"1,547.00","ptsC":"28.25","per":"1.86","trdVol":"0.59","trdVolM":"0.06","ntP":"9.03","mVal":"0.09","wkhi":"1,720.00","wklo":"1,101.05","wkhicm_adj":"2,526.95","wklocm_adj":"776.65","xDt":"31-DEC-2999","cAct":"-","yPC":"-4.57","mPC":"2.78"},{"symbol":"JUSTDIAL","open":"686.40","high":"705.50","low":"685.00","ltP":"692.00","ptsC":"12.00","per":"1.76","trdVol":"25.63","trdVolM":"2.56","ntP":"178.57","mVal":"1.79","wkhi":"1,290.00","wklo":"375.70","wkhicm_adj":"1,894.40","wklocm_adj":"982.60","xDt":"31-DEC-2999","cAct":"-","yPC":"-39.06","mPC":"-18.76"},{"symbol":"TVSMOTOR","open":"288.00","high":"292.00","low":"286.95","ltP":"288.65","ptsC":"4.00","per":"1.41","trdVol":"14.84","trdVolM":"1.48","ntP":"42.98","mVal":"0.43","wkhi":"340.85","wklo":"201.00","wkhicm_adj":"266.70","wklocm_adj":"52.50","xDt":"17-MAR-2016","cAct":"INTERIM DIVIDEND - RS 1.50 PER SHARE (PURPOSE REVISED)","yPC":"21.97","mPC":"-9.50"},{"symbol":"WOCKPHARMA","open":"920.00","high":"942.35","low":"918.15","ltP":"929.55","ptsC":"12.60","per":"1.37","trdVol":"5.31","trdVolM":"0.53","ntP":"49.36","mVal":"0.49","wkhi":"1,745.00","wklo":"705.75","wkhicm_adj":"887.00","wklocm_adj":"336.55","xDt":"31-DEC-2999","cAct":"-","yPC":"-36.97","mPC":"-7.77"},{"symbol":"M&amp;MFIN","open":"322.90","high":"326.70","low":"320.40","ltP":"324.80","ptsC":"3.25","per":"1.01","trdVol":"6.98","trdVolM":"0.70","ntP":"22.66","mVal":"0.23","wkhi":"332.55","wklo":"173.10","wkhicm_adj":"356.50","wklocm_adj":"229.25","xDt":"31-DEC-2999","cAct":"-","yPC":"18.89","mPC":"4.15"},{"symbol":"CENTURYTEX","open":"623.10","high":"640.90","low":"620.00","ltP":"627.30","ptsC":"4.85","per":"0.78","trdVol":"9.86","trdVolM":"0.99","ntP":"62.38","mVal":"0.62","wkhi":"748.60","wklo":"403.00","wkhicm_adj":"664.40","wklocm_adj":"248.25","xDt":"31-DEC-2999","cAct":"-","yPC":"-4.45","mPC":"-1.66"},{"symbol":"AMARAJABAT","open":"840.00","high":"852.00","low":"828.20","ltP":"843.00","ptsC":"3.40","per":"0.40","trdVol":"2.80","trdVolM":"0.28","ntP":"23.52","mVal":"0.24","wkhi":"1,128.00","wklo":"774.15","wkhicm_adj":"794.00","wklocm_adj":"315.05","xDt":"22-MAR-2016","cAct":"INTERIM DIVIDEND - RS 4.25\/- PER SHARE (PURPOSE REVISED)","yPC":"-3.74","mPC":"-12.07"},{"symbol":"DISHTV","open":"88.40","high":"91.15","low":"87.55","ltP":"88.50","ptsC":"0.20","per":"0.23","trdVol":"41.11","trdVolM":"4.11","ntP":"36.72","mVal":"0.37","wkhi":"121.65","wklo":"65.20","wkhicm_adj":"65.90","wklocm_adj":"43.15","xDt":"31-DEC-2999","cAct":"-","yPC":"-12.85","mPC":"-2.16"},{"symbol":"TATAGLOBAL","open":"118.20","high":"119.45","low":"117.85","ltP":"117.90","ptsC":"0.15","per":"0.13","trdVol":"5.81","trdVolM":"0.58","ntP":"6.89","mVal":"0.07","wkhi":"149.80","wklo":"100.00","wkhicm_adj":"177.15","wklocm_adj":"135.25","xDt":"31-DEC-2999","cAct":"-","yPC":"-18.77","mPC":"-2.64"},{"symbol":"GMRINFRA","open":"11.30","high":"11.55","low":"11.20","ltP":"11.25","ptsC":"0.00","per":"0.00","trdVol":"118.17","trdVolM":"11.82","ntP":"13.39","mVal":"0.13","wkhi":"18.55","wklo":"9.75","wkhicm_adj":"38.25","wklocm_adj":"17.15","xDt":"31-DEC-2999","cAct":"-","yPC":"-21.05","mPC":"-11.42"},{"symbol":"IGL","open":"559.00","high":"565.70","low":"557.05","ltP":"558.45","ptsC":"-0.10","per":"-0.02","trdVol":"1.88","trdVolM":"0.19","ntP":"10.56","mVal":"0.11","wkhi":"608.00","wklo":"375.35","wkhicm_adj":"458.80","wklocm_adj":"238.05","xDt":"31-DEC-2999","cAct":"-","yPC":"36.82","mPC":"-4.26"},{"symbol":"STAR","open":"1,118.00","high":"1,135.00","low":"1,104.00","ltP":"1,111.25","ptsC":"-0.40","per":"-0.04","trdVol":"2.51","trdVolM":"0.25","ntP":"28.09","mVal":"0.28","wkhi":"1,414.00","wklo":"847.00","wkhicm_adj":"1,045.00","wklocm_adj":"310.15","xDt":"31-DEC-2999","cAct":"-","yPC":"-9.10","mPC":"0.34"},{"symbol":"GODREJIND","open":"345.00","high":"348.00","low":"341.35","ltP":"343.90","ptsC":"-0.45","per":"-0.13","trdVol":"1.05","trdVolM":"0.10","ntP":"3.60","mVal":"0.04","wkhi":"412.00","wklo":"290.00","wkhicm_adj":"372.80","wklocm_adj":"248.50","xDt":"15-MAR-2016","cAct":"INTERIM DIVIDEND - RE 1.75 PER SHARE (PURPOSE REVISED)","yPC":"-8.15","mPC":"-3.04"},{"symbol":"ADANIPOWER","open":"30.00","high":"30.50","low":"29.50","ltP":"29.75","ptsC":"-0.05","per":"-0.17","trdVol":"57.37","trdVolM":"5.74","ntP":"17.26","mVal":"0.17","wkhi":"39.15","wklo":"19.60","wkhicm_adj":"68.35","wklocm_adj":"31.80","xDt":"31-DEC-2999","cAct":"-","yPC":"-20.35","mPC":"-7.75"},{"symbol":"CESC","open":"545.00","high":"548.85","low":"539.20","ltP":"543.15","ptsC":"-1.35","per":"-0.25","trdVol":"2.40","trdVolM":"0.24","ntP":"13.08","mVal":"0.13","wkhi":"624.30","wklo":"404.55","wkhicm_adj":"827.45","wklocm_adj":"374.40","xDt":"17-MAR-2016","cAct":"INTERIM DIVIDEND - RS 10\/- PER SHARE (PURPOSE REVISED)","yPC":"-0.64","mPC":"0.19"},{"symbol":"PETRONET","open":"274.00","high":"275.65","low":"271.30","ltP":"272.60","ptsC":"-0.95","per":"-0.35","trdVol":"3.21","trdVolM":"0.32","ntP":"8.75","mVal":"0.09","wkhi":"284.80","wklo":"163.55","wkhicm_adj":"208.80","wklocm_adj":"102.60","xDt":"31-DEC-2999","cAct":"-","yPC":"50.11","mPC":"2.14"},{"symbol":"BIOCON","open":"717.00","high":"726.95","low":"711.20","ltP":"714.45","ptsC":"-3.10","per":"-0.43","trdVol":"9.06","trdVolM":"0.91","ntP":"65.33","mVal":"0.65","wkhi":"726.95","wklo":"395.30","wkhicm_adj":"553.60","wklocm_adj":"378.65","xDt":"17-MAR-2016","cAct":"INTERIM DIVIDEND - RS 5\/- PER SHARE (PURPOSE REVISED)","yPC":"56.90","mPC":"17.60"},{"symbol":"RPOWER","open":"52.10","high":"53.30","low":"51.50","ltP":"51.75","ptsC":"-0.25","per":"-0.48","trdVol":"44.42","trdVolM":"4.44","ntP":"23.22","mVal":"0.23","wkhi":"61.25","wklo":"33.10","wkhicm_adj":"113.30","wklocm_adj":"60.00","xDt":"31-DEC-2999","cAct":"-","yPC":"-2.08","mPC":"0.68"},{"symbol":"BANKINDIA","open":"87.35","high":"88.20","low":"85.35","ltP":"86.20","ptsC":"-0.45","per":"-0.52","trdVol":"32.96","trdVolM":"3.30","ntP":"28.62","mVal":"0.29","wkhi":"199.00","wklo":"78.40","wkhicm_adj":"357.00","wklocm_adj":"165.55","xDt":"31-DEC-2999","cAct":"-","yPC":"-56.13","mPC":"-4.33"},{"symbol":"TATACHEM","open":"435.40","high":"435.95","low":"426.40","ltP":"429.25","ptsC":"-2.45","per":"-0.57","trdVol":"4.63","trdVolM":"0.46","ntP":"19.92","mVal":"0.20","wkhi":"526.00","wklo":"309.60","wkhicm_adj":"442.75","wklocm_adj":"244.20","xDt":"31-DEC-2999","cAct":"-","yPC":"0.18","mPC":"5.58"},{"symbol":"VOLTAS","open":"336.05","high":"342.25","low":"329.70","ltP":"333.95","ptsC":"-1.95","per":"-0.58","trdVol":"12.14","trdVolM":"1.21","ntP":"40.98","mVal":"0.41","wkhi":"359.90","wklo":"211.00","wkhicm_adj":"286.45","wklocm_adj":"96.85","xDt":"31-DEC-2999","cAct":"-","yPC":"-1.18","mPC":"12.69"},{"symbol":"MINDTREE","open":"665.95","high":"665.95","low":"653.30","ltP":"655.40","ptsC":"-5.50","per":"-0.83","trdVol":"3.86","trdVolM":"0.39","ntP":"25.43","mVal":"0.25","wkhi":"804.50","wklo":"594.03","wkhicm_adj":"1,268.30","wklocm_adj":"648.75","xDt":"11-APR-2016","cAct":"INTERIM DIVIDEND - RS 2\/- PER SHARE (PURPOSE REVISED)","yPC":"-7.48","mPC":"-3.88"},{"symbol":"BATAINDIA","open":"574.00","high":"580.50","low":"566.00","ltP":"566.05","ptsC":"-6.35","per":"-1.11","trdVol":"2.93","trdVolM":"0.29","ntP":"16.86","mVal":"0.17","wkhi":"622.00","wklo":"438.00","wkhicm_adj":"1,413.40","wklocm_adj":"894.55","xDt":"31-DEC-2999","cAct":"-","yPC":"-46.46","mPC":"-2.23"},{"symbol":"PCJEWELLER","open":"366.00","high":"366.40","low":"358.50","ltP":"360.00","ptsC":"-4.10","per":"-1.13","trdVol":"4.09","trdVolM":"0.41","ntP":"14.74","mVal":"0.15","wkhi":"493.40","wklo":"295.80","wkhicm_adj":"278.00","wklocm_adj":"72.00","xDt":"31-DEC-2999","cAct":"-","yPC":"-9.25","mPC":"1.38"},{"symbol":"ARVIND","open":"319.60","high":"322.00","low":"312.65","ltP":"315.40","ptsC":"-4.05","per":"-1.27","trdVol":"10.18","trdVolM":"1.02","ntP":"32.38","mVal":"0.32","wkhi":"365.70","wklo":"216.30","wkhicm_adj":"341.50","wklocm_adj":"119.00","xDt":"31-DEC-2999","cAct":"-","yPC":"28.11","mPC":"9.95"},{"symbol":"JSWENERGY","open":"70.50","high":"72.50","low":"69.80","ltP":"70.10","ptsC":"-1.05","per":"-1.48","trdVol":"10.68","trdVolM":"1.07","ntP":"7.62","mVal":"0.08","wkhi":"114.30","wklo":"59.00","wkhicm_adj":"97.40","wklocm_adj":"39.85","xDt":"31-DEC-2999","cAct":"-","yPC":"-38.13","mPC":"4.47"},{"symbol":"L&amp;TFH","open":"79.35","high":"80.75","low":"77.15","ltP":"77.50","ptsC":"-1.30","per":"-1.65","trdVol":"63.24","trdVolM":"6.32","ntP":"50.19","mVal":"0.50","wkhi":"80.75","wklo":"48.25","wkhicm_adj":"88.25","wklocm_adj":"62.30","xDt":"31-DEC-2999","cAct":"-","yPC":"21.86","mPC":"2.85"},{"symbol":"MRF","open":"33,700.00","high":"33,879.00","low":"33,200.00","ltP":"33,200.00","ptsC":"-574.45","per":"-1.70","trdVol":"0.03","trdVolM":"0.00","ntP":"9.60","mVal":"0.10","wkhi":"46,399.00","wklo":"31,002.00","wkhicm_adj":"33,980.00","wklocm_adj":"17,070.00","xDt":"31-DEC-2999","cAct":"-","yPC":"-7.85","mPC":"-2.89"},{"symbol":"JINDALSTEL","open":"63.40","high":"63.70","low":"61.50","ltP":"62.10","ptsC":"-1.15","per":"-1.82","trdVol":"49.71","trdVolM":"4.97","ntP":"31.05","mVal":"0.31","wkhi":"122.15","wklo":"48.10","wkhicm_adj":"351.00","wklocm_adj":"127.70","xDt":"31-DEC-2999","cAct":"-","yPC":"-46.79","mPC":"-12.16"},{"symbol":"APOLLOTYRE","open":"156.55","high":"157.70","low":"153.05","ltP":"153.50","ptsC":"-2.95","per":"-1.89","trdVol":"9.90","trdVolM":"0.99","ntP":"15.35","mVal":"0.15","wkhi":"223.40","wklo":"127.05","wkhicm_adj":"242.95","wklocm_adj":"77.50","xDt":"31-DEC-2999","cAct":"-","yPC":"-16.94","mPC":"-5.31"},{"symbol":"RELCAPITAL","open":"412.80","high":"420.50","low":"400.25","ltP":"402.95","ptsC":"-7.95","per":"-1.93","trdVol":"37.23","trdVolM":"3.72","ntP":"153.21","mVal":"1.53","wkhi":"471.00","wklo":"246.35","wkhicm_adj":"669.90","wklocm_adj":"304.50","xDt":"31-DEC-2999","cAct":"-","yPC":"1.03","mPC":"0.10"},{"symbol":"JUBLFOOD","open":"1,040.00","high":"1,044.35","low":"1,005.00","ltP":"1,013.05","ptsC":"-20.60","per":"-1.99","trdVol":"7.97","trdVolM":"0.80","ntP":"81.42","mVal":"0.81","wkhi":"1,959.50","wklo":"887.35","wkhicm_adj":"1,497.40","wklocm_adj":"937.70","xDt":"31-DEC-2999","cAct":"-","yPC":"-44.15","mPC":"-13.95"},{"symbol":"SRF","open":"1,300.00","high":"1,309.50","low":"1,267.15","ltP":"1,271.00","ptsC":"-26.10","per":"-2.01","trdVol":"1.41","trdVolM":"0.14","ntP":"18.24","mVal":"0.18","wkhi":"1,498.85","wklo":"1,002.00","wkhicm_adj":"958.80","wklocm_adj":"170.00","xDt":"31-DEC-2999","cAct":"-","yPC":"11.52","mPC":"-6.48"},{"symbol":"IDFC","open":"52.30","high":"52.35","low":"50.35","ltP":"50.50","ptsC":"-1.05","per":"-2.04","trdVol":"25.03","trdVolM":"2.50","ntP":"12.83","mVal":"0.13","wkhi":"163.60","wklo":"34.80","wkhicm_adj":"166.65","wklocm_adj":"88.05","xDt":"31-DEC-2999","cAct":"-","yPC":"-67.20","mPC":"16.09"},{"symbol":"HEXAWARE","open":"217.00","high":"220.20","low":"211.45","ltP":"212.50","ptsC":"-4.60","per":"-2.12","trdVol":"11.16","trdVolM":"1.12","ntP":"24.10","mVal":"0.24","wkhi":"298.50","wklo":"201.50","wkhicm_adj":"226.25","wklocm_adj":"111.90","xDt":"13-MAY-2016","cAct":"INTERIM DIVIDEND - RS 2.50\/- PER SHARE","yPC":"-24.31","mPC":"-10.86"},{"symbol":"HAVELLS","open":"358.50","high":"363.40","low":"353.25","ltP":"356.20","ptsC":"-8.30","per":"-2.28","trdVol":"18.56","trdVolM":"1.86","ntP":"66.51","mVal":"0.67","wkhi":"378.40","wklo":"235.30","wkhicm_adj":"326.50","wklocm_adj":"143.57","xDt":"31-DEC-2999","cAct":"-","yPC":"28.68","mPC":"6.50"},{"symbol":"RELINFRA","open":"538.00","high":"543.60","low":"520.55","ltP":"524.95","ptsC":"-13.15","per":"-2.44","trdVol":"25.83","trdVolM":"2.58","ntP":"138.07","mVal":"1.38","wkhi":"621.90","wklo":"281.55","wkhicm_adj":"819.90","wklocm_adj":"350.30","xDt":"31-DEC-2999","cAct":"-","yPC":"28.41","mPC":"-3.22"},{"symbol":"FEDERALBNK","open":"52.35","high":"52.50","low":"50.75","ltP":"50.95","ptsC":"-1.40","per":"-2.67","trdVol":"40.18","trdVolM":"4.02","ntP":"20.77","mVal":"0.21","wkhi":"79.80","wklo":"41.35","wkhicm_adj":"152.95","wklocm_adj":"72.35","xDt":"31-DEC-2999","cAct":"-","yPC":"-28.67","mPC":"9.69"},{"symbol":"IRB","open":"221.20","high":"221.70","low":"214.10","ltP":"214.50","ptsC":"-6.00","per":"-2.72","trdVol":"8.05","trdVolM":"0.80","ntP":"17.48","mVal":"0.17","wkhi":"272.00","wklo":"197.10","wkhicm_adj":"289.65","wklocm_adj":"67.20","xDt":"16-MAR-2016","cAct":"INTERIM DIVIDEND - RS 2\/- PER SHARE (PURPOSE REVISED)","yPC":"-15.38","mPC":"0.14"},{"symbol":"IDBI","open":"68.05","high":"68.45","low":"65.70","ltP":"65.90","ptsC":"-2.00","per":"-2.95","trdVol":"36.83","trdVolM":"3.68","ntP":"24.77","mVal":"0.25","wkhi":"95.70","wklo":"47.25","wkhicm_adj":"116.40","wklocm_adj":"52.90","xDt":"31-DEC-2999","cAct":"-","yPC":"-7.05","mPC":"-3.94"},{"symbol":"SUNTV","open":"380.00","high":"380.00","low":"362.40","ltP":"363.55","ptsC":"-11.40","per":"-3.04","trdVol":"12.19","trdVolM":"1.22","ntP":"44.72","mVal":"0.45","wkhi":"436.80","wklo":"255.80","wkhicm_adj":"477.00","wklocm_adj":"300.00","xDt":"21-MAR-2016","cAct":"INTERIM DIVIDEND - RS 7.50\/- PER SHARE (PURPOSE REVISED)","yPC":"0.18","mPC":"-1.65"},{"symbol":"TATACOMM","open":"453.25","high":"457.25","low":"441.05","ltP":"441.50","ptsC":"-15.75","per":"-3.44","trdVol":"4.65","trdVolM":"0.46","ntP":"20.80","mVal":"0.21","wkhi":"491.35","wklo":"325.00","wkhicm_adj":"462.40","wklocm_adj":"258.50","xDt":"31-DEC-2999","cAct":"-","yPC":"1.63","mPC":"5.17"},{"symbol":"EXIDEIND","open":"164.00","high":"164.25","low":"157.45","ltP":"158.60","ptsC":"-5.65","per":"-3.44","trdVol":"5.58","trdVolM":"0.56","ntP":"8.97","mVal":"0.09","wkhi":"168.60","wklo":"116.00","wkhicm_adj":"183.40","wklocm_adj":"99.00","xDt":"31-DEC-2999","cAct":"-","yPC":"2.85","mPC":"10.41"},{"symbol":"ALBK","open":"53.30","high":"53.95","low":"51.25","ltP":"51.30","ptsC":"-1.85","per":"-3.48","trdVol":"27.19","trdVolM":"2.72","ntP":"14.28","mVal":"0.14","wkhi":"108.25","wklo":"39.40","wkhicm_adj":"150.00","wklocm_adj":"72.20","xDt":"31-DEC-2999","cAct":"-","yPC":"-51.90","mPC":"-9.76"},{"symbol":"SYNDIBANK","open":"67.00","high":"68.10","low":"64.10","ltP":"64.45","ptsC":"-2.65","per":"-3.95","trdVol":"37.39","trdVolM":"3.74","ntP":"24.67","mVal":"0.25","wkhi":"117.90","wklo":"49.40","wkhicm_adj":"180.00","wklocm_adj":"77.60","xDt":"31-DEC-2999","cAct":"-","yPC":"-44.84","mPC":"-6.80"},{"symbol":"UNIONBANK","open":"118.80","high":"119.20","low":"113.20","ltP":"113.65","ptsC":"-4.75","per":"-4.01","trdVol":"42.59","trdVolM":"4.26","ntP":"49.58","mVal":"0.50","wkhi":"222.70","wklo":"104.00","wkhicm_adj":"259.65","wklocm_adj":"100.50","xDt":"31-DEC-2999","cAct":"-","yPC":"-35.11","mPC":"-9.87"},{"symbol":"CANBK","open":"207.00","high":"207.95","low":"196.40","ltP":"197.00","ptsC":"-9.40","per":"-4.55","trdVol":"76.10","trdVolM":"7.61","ntP":"153.87","mVal":"1.54","wkhi":"360.45","wklo":"156.00","wkhicm_adj":"498.00","wklocm_adj":"209.00","xDt":"31-DEC-2999","cAct":"-","yPC":"-42.52","mPC":"-2.01"}],"trdValueSumMil":"18.47","unchanged":1,"trdVolumesum":"1,029.44","advances":12} </t>
  </si>
  <si>
    <t xml:space="preserve">LONG </t>
  </si>
  <si>
    <t xml:space="preserve">SHORT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</si>
</sst>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7" formatCode="dd/mm/yyyy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9" tint="-0.249977111117893"/>
      <name val="Calibri"/>
      <family val="2"/>
      <scheme val="minor"/>
    </font>
    <font>
      <sz val="9"/>
      <color rgb="FF212121"/>
      <name val="Consolas"/>
      <family val="3"/>
    </font>
    <font>
      <sz val="9"/>
      <color rgb="FF881391"/>
      <name val="Consolas"/>
      <family val="3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8">
    <xf numFmtId="0" fontId="0" fillId="0" borderId="0" xfId="0"/>
    <xf numFmtId="0" fontId="0" fillId="0" borderId="0" xfId="0" applyFont="1"/>
    <xf numFmtId="0" fontId="3" fillId="0" borderId="0" xfId="0" applyFont="1" applyAlignment="1">
      <alignment horizontal="right"/>
    </xf>
    <xf numFmtId="0" fontId="0" fillId="0" borderId="0" xfId="0" applyNumberFormat="1"/>
    <xf numFmtId="0" fontId="2" fillId="2" borderId="1" xfId="0" applyFont="1" applyFill="1" applyBorder="1"/>
    <xf numFmtId="0" fontId="0" fillId="0" borderId="1" xfId="0" applyBorder="1"/>
    <xf numFmtId="0" fontId="0" fillId="3" borderId="1" xfId="0" applyFill="1" applyBorder="1" applyAlignment="1">
      <alignment horizontal="center" vertical="top" wrapText="1"/>
    </xf>
    <xf numFmtId="0" fontId="0" fillId="3" borderId="1" xfId="0" applyFill="1" applyBorder="1" applyAlignment="1">
      <alignment vertical="top" wrapText="1"/>
    </xf>
    <xf numFmtId="164" fontId="0" fillId="0" borderId="1" xfId="0" applyNumberFormat="1" applyBorder="1"/>
    <xf numFmtId="10" fontId="0" fillId="0" borderId="1" xfId="1" applyNumberFormat="1" applyFont="1" applyBorder="1"/>
    <xf numFmtId="0" fontId="4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 indent="1"/>
    </xf>
    <xf numFmtId="0" fontId="0" fillId="0" borderId="1" xfId="0" applyFont="1" applyBorder="1"/>
    <xf numFmtId="0" fontId="2" fillId="0" borderId="0" xfId="0" applyFont="1"/>
    <xf numFmtId="19" fontId="0" fillId="0" borderId="1" xfId="0" applyNumberFormat="1" applyBorder="1"/>
    <xf numFmtId="0" fontId="0" fillId="0" borderId="0" xfId="0" applyBorder="1"/>
    <xf numFmtId="19" fontId="0" fillId="0" borderId="0" xfId="0" applyNumberFormat="1"/>
    <xf numFmtId="0" fontId="2" fillId="0" borderId="1" xfId="0" applyFont="1" applyBorder="1" applyProtection="1"/>
    <xf numFmtId="0" fontId="0" fillId="0" borderId="1" xfId="0" applyBorder="1" applyProtection="1"/>
    <xf numFmtId="0" fontId="0" fillId="3" borderId="1" xfId="0" applyFill="1" applyBorder="1" applyAlignment="1" applyProtection="1">
      <alignment horizontal="center" vertical="top" wrapText="1"/>
    </xf>
    <xf numFmtId="0" fontId="0" fillId="3" borderId="1" xfId="0" applyFill="1" applyBorder="1" applyAlignment="1" applyProtection="1">
      <alignment vertical="top" wrapText="1"/>
    </xf>
    <xf numFmtId="164" fontId="0" fillId="0" borderId="1" xfId="0" applyNumberFormat="1" applyBorder="1" applyProtection="1"/>
    <xf numFmtId="10" fontId="0" fillId="0" borderId="1" xfId="1" applyNumberFormat="1" applyFont="1" applyBorder="1" applyProtection="1"/>
    <xf numFmtId="19" fontId="0" fillId="0" borderId="1" xfId="0" applyNumberFormat="1" applyBorder="1" applyProtection="1"/>
    <xf numFmtId="4" fontId="0" fillId="0" borderId="0" xfId="0" applyNumberFormat="1"/>
    <xf numFmtId="10" fontId="0" fillId="0" borderId="0" xfId="0" applyNumberFormat="1"/>
    <xf numFmtId="14" fontId="0" fillId="0" borderId="0" xfId="0" applyNumberFormat="1"/>
    <xf numFmtId="167" fontId="0" fillId="0" borderId="0" xfId="0" applyNumberFormat="1"/>
  </cellXfs>
  <cellStyles count="2">
    <cellStyle name="Normal" xfId="0" builtinId="0"/>
    <cellStyle name="Percent" xfId="1" builtinId="5"/>
  </cellStyles>
  <dxfs count="8"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niftyMidcap50StockWatch_1" refreshOnLoad="1" connectionId="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juniorNiftyStockWatch_1" refreshOnLoad="1" connectionId="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niftyStockWatch_1" refreshOnLoad="1" connectionId="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Relationship Id="rId4" Type="http://schemas.openxmlformats.org/officeDocument/2006/relationships/queryTable" Target="../queryTables/queryTable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501"/>
  <sheetViews>
    <sheetView topLeftCell="A7" workbookViewId="0">
      <selection activeCell="A12" sqref="A12"/>
    </sheetView>
  </sheetViews>
  <sheetFormatPr defaultRowHeight="15" x14ac:dyDescent="0.25"/>
  <cols>
    <col min="1" max="1" width="25" customWidth="1"/>
    <col min="2" max="2" width="255.7109375" hidden="1" customWidth="1"/>
    <col min="3" max="3" width="14.85546875" style="1" bestFit="1" customWidth="1"/>
    <col min="4" max="4" width="11.5703125" customWidth="1"/>
    <col min="5" max="5" width="9.140625" bestFit="1" customWidth="1"/>
    <col min="6" max="6" width="11" customWidth="1"/>
    <col min="7" max="7" width="9.140625" customWidth="1"/>
    <col min="8" max="8" width="8.28515625" bestFit="1" customWidth="1"/>
    <col min="9" max="10" width="9.140625" customWidth="1"/>
    <col min="11" max="11" width="17" bestFit="1" customWidth="1"/>
    <col min="12" max="12" width="10.42578125" bestFit="1" customWidth="1"/>
    <col min="14" max="16" width="81.140625" bestFit="1" customWidth="1"/>
  </cols>
  <sheetData>
    <row r="1" spans="1:13" ht="22.5" customHeight="1" x14ac:dyDescent="0.25">
      <c r="D1" s="2"/>
      <c r="E1" s="3"/>
    </row>
    <row r="2" spans="1:13" x14ac:dyDescent="0.25">
      <c r="A2" t="str">
        <f>MID(M2, 14, 4)</f>
        <v/>
      </c>
    </row>
    <row r="6" spans="1:13" x14ac:dyDescent="0.25">
      <c r="A6" t="str">
        <f>MID(M6, 14, 4)</f>
        <v/>
      </c>
    </row>
    <row r="8" spans="1:13" x14ac:dyDescent="0.25">
      <c r="C8" s="13" t="s">
        <v>163</v>
      </c>
    </row>
    <row r="9" spans="1:13" x14ac:dyDescent="0.25">
      <c r="A9" t="str">
        <f>MID(M9, 14, 4)</f>
        <v/>
      </c>
      <c r="B9" t="s">
        <v>0</v>
      </c>
      <c r="C9" s="4" t="s">
        <v>1</v>
      </c>
      <c r="D9" s="4" t="s">
        <v>2</v>
      </c>
      <c r="E9" s="4" t="s">
        <v>3</v>
      </c>
      <c r="F9" s="4" t="s">
        <v>4</v>
      </c>
      <c r="G9" s="4" t="s">
        <v>5</v>
      </c>
      <c r="H9" s="4" t="s">
        <v>6</v>
      </c>
      <c r="I9" s="4" t="s">
        <v>7</v>
      </c>
      <c r="J9" s="4" t="s">
        <v>8</v>
      </c>
      <c r="K9" s="4" t="s">
        <v>58</v>
      </c>
      <c r="L9" s="4" t="s">
        <v>165</v>
      </c>
    </row>
    <row r="10" spans="1:13" x14ac:dyDescent="0.25">
      <c r="B10" t="str">
        <f>MID($N$500,FIND(C10,$N$500)-1,FIND("}",$N$500,FIND(C10,$N$500))-FIND(C10,$N$500)+1)</f>
        <v>"ACC","open":"1,535.00","high":"1,559.95","low":"1,528.00","ltP":"1,559.00","ptsC":"29.95","per":"1.96","trdVol":"7.42","trdVolM":"0.74","ntP":"114.39","mVal":"1.14","wkhi":"1,559.95","wklo":"1,174.00","wkhicm_adj":"1,564.65","wklocm_adj":"970.15","xDt":"31-DEC-2999","cAct":"-","yPC":"2.81","mPC":"9.75"</v>
      </c>
      <c r="C10" s="17" t="s">
        <v>9</v>
      </c>
      <c r="D10" s="18" t="str">
        <f t="shared" ref="D10:G31" si="0">MID($B10,FIND(D$9,$B10)+LEN(D$9)+3,FIND(CHAR(34),$B10,FIND(D$9,$B10)+LEN(D$9)+3)-(FIND(D$9,$B10)+LEN(D$9)+3))</f>
        <v>1,535.00</v>
      </c>
      <c r="E10" s="18" t="str">
        <f t="shared" si="0"/>
        <v>1,559.95</v>
      </c>
      <c r="F10" s="18" t="str">
        <f t="shared" si="0"/>
        <v>1,528.00</v>
      </c>
      <c r="G10" s="18" t="str">
        <f t="shared" si="0"/>
        <v>1,559.00</v>
      </c>
      <c r="H10" s="19" t="str">
        <f t="shared" ref="H10:H60" si="1">IF(AND(E10=0, F10=0, D10=0),"  ",IF(E10= D10,"SHORT ",IF(F10= D10,"LONG ",IF(E10&lt;&gt; F10&lt;&gt; D10,"   "))))</f>
        <v xml:space="preserve">   </v>
      </c>
      <c r="I10" s="20" t="str">
        <f>IF(AND(E10=0,F10=0,D10=0),"  ",IF(D10=F10,ROUND(((SQRT(F10) +0.0833) ^2),0),IF(E10=D10,ROUND(((SQRT(E10) -0.0833) ^2),0),IF(E10&lt;&gt;F10&lt;&gt;D10,"   "))))</f>
        <v xml:space="preserve">   </v>
      </c>
      <c r="J10" s="21" t="str">
        <f>IF(AND(E10=0, F10=0, D10=0),"  ",IF(E10= D10,D10+0.005*D10,IF(F10= D10,D10-0.005*D10,IF(E10&lt;&gt; F10&lt;&gt; D10,"   "))))</f>
        <v xml:space="preserve">   </v>
      </c>
      <c r="K10" s="22" t="str">
        <f>IF(AND(E10=0, F10=0, D10=0),"  ",IF(E10= D10,(I10-G10)/I10,IF(F10= D10,(G10-I10)/I10,IF(E10&lt;&gt; F10&lt;&gt; D10,"   "))))</f>
        <v xml:space="preserve">   </v>
      </c>
      <c r="L10" s="18"/>
      <c r="M10" s="10"/>
    </row>
    <row r="11" spans="1:13" x14ac:dyDescent="0.25">
      <c r="B11" t="str">
        <f t="shared" ref="B11:B60" si="2">MID($N$500,FIND(C11,$N$500)-1,FIND("}",$N$500,FIND(C11,$N$500))-FIND(C11,$N$500)+1)</f>
        <v>"ADANIPORTS","open":"192.85","high":"203.30","low":"192.50","ltP":"202.00","ptsC":"9.85","per":"5.13","trdVol":"109.36","trdVolM":"10.94","ntP":"219.00","mVal":"2.19","wkhi":"374.80","wklo":"169.15","wkhicm_adj":"308.75","wklocm_adj":"141.00","xDt":"22-MAR-2016","cAct":"INTERIM DIVIDEND - RS 1.10\/- PER SHARE (PURPOSE REVISED)","yPC":"-35.16","mPC":"-13.29"</v>
      </c>
      <c r="C11" s="17" t="s">
        <v>60</v>
      </c>
      <c r="D11" s="18" t="str">
        <f t="shared" si="0"/>
        <v>192.85</v>
      </c>
      <c r="E11" s="18" t="str">
        <f t="shared" si="0"/>
        <v>203.30</v>
      </c>
      <c r="F11" s="18" t="str">
        <f t="shared" si="0"/>
        <v>192.50</v>
      </c>
      <c r="G11" s="18" t="str">
        <f t="shared" si="0"/>
        <v>202.00</v>
      </c>
      <c r="H11" s="19" t="str">
        <f t="shared" si="1"/>
        <v xml:space="preserve">   </v>
      </c>
      <c r="I11" s="20" t="str">
        <f>IF(AND(E11=0,F11=0,D11=0),"  ",IF(D11=F11,ROUND(((SQRT(F11) +0.0833) ^2),0),IF(E11=D11,ROUND(((SQRT(E11) -0.0833) ^2),0),IF(E11&lt;&gt;F11&lt;&gt;D11,"   "))))</f>
        <v xml:space="preserve">   </v>
      </c>
      <c r="J11" s="21" t="str">
        <f>IF(AND(E11=0, F11=0, D11=0),"  ",IF(E11= D11,D11+0.005*D11,IF(F11= D11,D11-0.005*D11,IF(E11&lt;&gt; F11&lt;&gt; D11,"   "))))</f>
        <v xml:space="preserve">   </v>
      </c>
      <c r="K11" s="22" t="str">
        <f>IF(AND(E11=0, F11=0, D11=0),"  ",IF(E11= D11,(I11-G11)/I11,IF(F11= D11,(G11-I11)/I11,IF(E11&lt;&gt; F11&lt;&gt; D11,"   "))))</f>
        <v xml:space="preserve">   </v>
      </c>
      <c r="L11" s="23"/>
      <c r="M11" s="10"/>
    </row>
    <row r="12" spans="1:13" x14ac:dyDescent="0.25">
      <c r="B12" t="str">
        <f t="shared" si="2"/>
        <v>"AMBUJACEM","open":"229.00","high":"232.80","low":"228.55","ltP":"232.10","ptsC":"3.70","per":"1.62","trdVol":"56.67","trdVolM":"5.67","ntP":"130.30","mVal":"1.30","wkhi":"257.30","wklo":"185.00","wkhicm_adj":"243.80","wklocm_adj":"150.10","xDt":"31-DEC-2999","cAct":"-","yPC":"-3.25","mPC":"3.71"</v>
      </c>
      <c r="C12" s="17" t="s">
        <v>10</v>
      </c>
      <c r="D12" s="18" t="str">
        <f t="shared" si="0"/>
        <v>229.00</v>
      </c>
      <c r="E12" s="18" t="str">
        <f t="shared" si="0"/>
        <v>232.80</v>
      </c>
      <c r="F12" s="18" t="str">
        <f t="shared" si="0"/>
        <v>228.55</v>
      </c>
      <c r="G12" s="18" t="str">
        <f t="shared" si="0"/>
        <v>232.10</v>
      </c>
      <c r="H12" s="19" t="str">
        <f t="shared" si="1"/>
        <v xml:space="preserve">   </v>
      </c>
      <c r="I12" s="20" t="str">
        <f t="shared" ref="I12:I60" si="3">IF(AND(E12=0,F12=0,D12=0),"  ",IF(D12=F12,ROUND(((SQRT(F12) +0.0833) ^2),0),IF(E12=D12,ROUND(((SQRT(E12) -0.0833) ^2),0),IF(E12&lt;&gt;F12&lt;&gt;D12,"   "))))</f>
        <v xml:space="preserve">   </v>
      </c>
      <c r="J12" s="21" t="str">
        <f t="shared" ref="J12:J60" si="4">IF(AND(E12=0, F12=0, D12=0),"  ",IF(E12= D12,D12+0.005*D12,IF(F12= D12,D12-0.005*D12,IF(E12&lt;&gt; F12&lt;&gt; D12,"   "))))</f>
        <v xml:space="preserve">   </v>
      </c>
      <c r="K12" s="22" t="str">
        <f t="shared" ref="K12:K13" si="5">IF(AND(E12=0, F12=0, D12=0),"  ",IF(E12= D12,(I12-G12)/I12,IF(F12= D12,(G12-I12)/I12,IF(E12&lt;&gt; F12&lt;&gt; D12,"   "))))</f>
        <v xml:space="preserve">   </v>
      </c>
      <c r="L12" s="18"/>
      <c r="M12" s="11"/>
    </row>
    <row r="13" spans="1:13" x14ac:dyDescent="0.25">
      <c r="B13" t="str">
        <f t="shared" si="2"/>
        <v>"ASIANPAINT","open":"989.05","high":"1,025.00","low":"989.05","ltP":"1,024.00","ptsC":"39.15","per":"3.98","trdVol":"20.69","trdVolM":"2.07","ntP":"209.97","mVal":"2.10","wkhi":"1,025.00","wklo":"693.00","wkhicm_adj":"802.20","wklocm_adj":"460.20","xDt":"31-DEC-2999","cAct":"-","yPC":"29.66","mPC":"18.41"</v>
      </c>
      <c r="C13" s="17" t="s">
        <v>11</v>
      </c>
      <c r="D13" s="18" t="str">
        <f t="shared" si="0"/>
        <v>989.05</v>
      </c>
      <c r="E13" s="18" t="str">
        <f t="shared" si="0"/>
        <v>1,025.00</v>
      </c>
      <c r="F13" s="18" t="str">
        <f t="shared" si="0"/>
        <v>989.05</v>
      </c>
      <c r="G13" s="18" t="str">
        <f t="shared" si="0"/>
        <v>1,024.00</v>
      </c>
      <c r="H13" s="19" t="str">
        <f t="shared" si="1"/>
        <v xml:space="preserve">LONG </v>
      </c>
      <c r="I13" s="20">
        <f t="shared" si="3"/>
        <v>994</v>
      </c>
      <c r="J13" s="21">
        <f t="shared" si="4"/>
        <v>984.10474999999997</v>
      </c>
      <c r="K13" s="22">
        <f t="shared" si="5"/>
        <v>3.0181086519114688E-2</v>
      </c>
      <c r="L13" s="18"/>
      <c r="M13" s="11"/>
    </row>
    <row r="14" spans="1:13" x14ac:dyDescent="0.25">
      <c r="B14" t="str">
        <f t="shared" si="2"/>
        <v>"AUROPHARMA","open":"790.75","high":"802.70","low":"786.00","ltP":"788.00","ptsC":"2.70","per":"0.34","trdVol":"16.44","trdVolM":"1.64","ntP":"130.68","mVal":"1.31","wkhi":"891.50","wklo":"582.00","wkhicm_adj":"1,152.40","wklocm_adj":"286.55","xDt":"31-DEC-2999","cAct":"-","yPC":"15.85","mPC":"2.36"</v>
      </c>
      <c r="C14" s="17" t="s">
        <v>61</v>
      </c>
      <c r="D14" s="18" t="str">
        <f t="shared" si="0"/>
        <v>790.75</v>
      </c>
      <c r="E14" s="18" t="str">
        <f t="shared" si="0"/>
        <v>802.70</v>
      </c>
      <c r="F14" s="18" t="str">
        <f t="shared" si="0"/>
        <v>786.00</v>
      </c>
      <c r="G14" s="18" t="str">
        <f t="shared" si="0"/>
        <v>788.00</v>
      </c>
      <c r="H14" s="19" t="str">
        <f t="shared" si="1"/>
        <v xml:space="preserve">   </v>
      </c>
      <c r="I14" s="20" t="str">
        <f t="shared" ref="I14" si="6">IF(AND(E14=0,F14=0,D14=0),"  ",IF(D14=F14,ROUND(((SQRT(F14) +0.0833) ^2),0),IF(E14=D14,ROUND(((SQRT(E14) -0.0833) ^2),0),IF(E14&lt;&gt;F14&lt;&gt;D14,"   "))))</f>
        <v xml:space="preserve">   </v>
      </c>
      <c r="J14" s="21" t="str">
        <f t="shared" ref="J14" si="7">IF(AND(E14=0, F14=0, D14=0),"  ",IF(E14= D14,D14+0.005*D14,IF(F14= D14,D14-0.005*D14,IF(E14&lt;&gt; F14&lt;&gt; D14,"   "))))</f>
        <v xml:space="preserve">   </v>
      </c>
      <c r="K14" s="22" t="str">
        <f t="shared" ref="K14" si="8">IF(AND(E14=0, F14=0, D14=0),"  ",IF(E14= D14,(I14-G14)/I14,IF(F14= D14,(G14-I14)/I14,IF(E14&lt;&gt; F14&lt;&gt; D14,"   "))))</f>
        <v xml:space="preserve">   </v>
      </c>
      <c r="L14" s="18"/>
      <c r="M14" s="11"/>
    </row>
    <row r="15" spans="1:13" x14ac:dyDescent="0.25">
      <c r="B15" t="str">
        <f t="shared" si="2"/>
        <v>"AXISBANK","open":"524.85","high":"529.45","low":"510.00","ltP":"512.15","ptsC":"-3.05","per":"-0.59","trdVol":"95.59","trdVolM":"9.56","ntP":"496.67","mVal":"4.97","wkhi":"613.45","wklo":"366.75","wkhicm_adj":"493.20","wklocm_adj":"216.52","xDt":"31-DEC-2999","cAct":"-","yPC":"-11.46","mPC":"8.55"</v>
      </c>
      <c r="C15" s="17" t="s">
        <v>12</v>
      </c>
      <c r="D15" s="18" t="str">
        <f t="shared" si="0"/>
        <v>524.85</v>
      </c>
      <c r="E15" s="18" t="str">
        <f t="shared" si="0"/>
        <v>529.45</v>
      </c>
      <c r="F15" s="18" t="str">
        <f t="shared" si="0"/>
        <v>510.00</v>
      </c>
      <c r="G15" s="18" t="str">
        <f t="shared" si="0"/>
        <v>512.15</v>
      </c>
      <c r="H15" s="19" t="str">
        <f t="shared" si="1"/>
        <v xml:space="preserve">   </v>
      </c>
      <c r="I15" s="20" t="str">
        <f t="shared" si="3"/>
        <v xml:space="preserve">   </v>
      </c>
      <c r="J15" s="21" t="str">
        <f t="shared" si="4"/>
        <v xml:space="preserve">   </v>
      </c>
      <c r="K15" s="22" t="str">
        <f t="shared" ref="K15:K21" si="9">IF(AND(E15=0, F15=0, D15=0),"  ",IF(E15= D15,(I15-G15)/I15,IF(F15= D15,(G15-I15)/I15,IF(E15&lt;&gt; F15&lt;&gt; D15,"   "))))</f>
        <v xml:space="preserve">   </v>
      </c>
      <c r="L15" s="18"/>
      <c r="M15" s="11"/>
    </row>
    <row r="16" spans="1:13" x14ac:dyDescent="0.25">
      <c r="B16" t="str">
        <f t="shared" si="2"/>
        <v>"BAJAJ-AUTO","open":"2,635.00","high":"2,635.00","low":"2,600.00","ltP":"2,612.00","ptsC":"-6.35","per":"-0.24","trdVol":"1.64","trdVolM":"0.16","ntP":"42.74","mVal":"0.43","wkhi":"2,656.00","wklo":"2,133.65","wkhicm_adj":"2,695.00","wklocm_adj":"1,793.20","xDt":"16-MAR-2016","cAct":"INTERIM DIVIDEND - RS 50\/- PER SHARE (PURPOSE REVISED)","yPC":"11.73","mPC":"5.41"</v>
      </c>
      <c r="C16" s="17" t="s">
        <v>13</v>
      </c>
      <c r="D16" s="18" t="str">
        <f t="shared" si="0"/>
        <v>2,635.00</v>
      </c>
      <c r="E16" s="18" t="str">
        <f t="shared" si="0"/>
        <v>2,635.00</v>
      </c>
      <c r="F16" s="18" t="str">
        <f t="shared" si="0"/>
        <v>2,600.00</v>
      </c>
      <c r="G16" s="18" t="str">
        <f t="shared" si="0"/>
        <v>2,612.00</v>
      </c>
      <c r="H16" s="19" t="str">
        <f t="shared" si="1"/>
        <v xml:space="preserve">SHORT </v>
      </c>
      <c r="I16" s="20">
        <f t="shared" si="3"/>
        <v>2626</v>
      </c>
      <c r="J16" s="21">
        <f t="shared" si="4"/>
        <v>2648.1750000000002</v>
      </c>
      <c r="K16" s="22">
        <f t="shared" si="9"/>
        <v>5.3313023610053311E-3</v>
      </c>
      <c r="L16" s="18"/>
      <c r="M16" s="11"/>
    </row>
    <row r="17" spans="2:13" x14ac:dyDescent="0.25">
      <c r="B17" t="str">
        <f t="shared" si="2"/>
        <v>"BANKBARODA","open":"143.30","high":"143.40","low":"137.90","ltP":"139.25","ptsC":"-3.55","per":"-2.49","trdVol":"75.63","trdVolM":"7.56","ntP":"106.73","mVal":"1.07","wkhi":"216.30","wklo":"109.35","wkhicm_adj":"1,104.70","wklocm_adj":"511.15","xDt":"31-DEC-2999","cAct":"-","yPC":"-15.71","mPC":"-10.45"</v>
      </c>
      <c r="C17" s="17" t="s">
        <v>14</v>
      </c>
      <c r="D17" s="18" t="str">
        <f t="shared" si="0"/>
        <v>143.30</v>
      </c>
      <c r="E17" s="18" t="str">
        <f t="shared" si="0"/>
        <v>143.40</v>
      </c>
      <c r="F17" s="18" t="str">
        <f t="shared" si="0"/>
        <v>137.90</v>
      </c>
      <c r="G17" s="18" t="str">
        <f t="shared" si="0"/>
        <v>139.25</v>
      </c>
      <c r="H17" s="19" t="str">
        <f t="shared" si="1"/>
        <v xml:space="preserve">   </v>
      </c>
      <c r="I17" s="20" t="str">
        <f t="shared" si="3"/>
        <v xml:space="preserve">   </v>
      </c>
      <c r="J17" s="21" t="str">
        <f t="shared" si="4"/>
        <v xml:space="preserve">   </v>
      </c>
      <c r="K17" s="22" t="str">
        <f t="shared" si="9"/>
        <v xml:space="preserve">   </v>
      </c>
      <c r="L17" s="18"/>
      <c r="M17" s="11"/>
    </row>
    <row r="18" spans="2:13" x14ac:dyDescent="0.25">
      <c r="B18" t="str">
        <f t="shared" si="2"/>
        <v>"BHARTIARTL","open":"353.55","high":"364.35","low":"352.30","ltP":"363.95","ptsC":"12.55","per":"3.57","trdVol":"27.77","trdVolM":"2.78","ntP":"99.80","mVal":"1.00","wkhi":"452.45","wklo":"282.30","wkhicm_adj":"420.00","wklocm_adj":"281.90","xDt":"31-DEC-2999","cAct":"-","yPC":"-12.64","mPC":"1.72"</v>
      </c>
      <c r="C18" s="17" t="s">
        <v>15</v>
      </c>
      <c r="D18" s="18" t="str">
        <f t="shared" si="0"/>
        <v>353.55</v>
      </c>
      <c r="E18" s="18" t="str">
        <f t="shared" si="0"/>
        <v>364.35</v>
      </c>
      <c r="F18" s="18" t="str">
        <f t="shared" si="0"/>
        <v>352.30</v>
      </c>
      <c r="G18" s="18" t="str">
        <f t="shared" si="0"/>
        <v>363.95</v>
      </c>
      <c r="H18" s="19" t="str">
        <f t="shared" si="1"/>
        <v xml:space="preserve">   </v>
      </c>
      <c r="I18" s="20" t="str">
        <f t="shared" si="3"/>
        <v xml:space="preserve">   </v>
      </c>
      <c r="J18" s="21" t="str">
        <f t="shared" si="4"/>
        <v xml:space="preserve">   </v>
      </c>
      <c r="K18" s="22" t="str">
        <f t="shared" si="9"/>
        <v xml:space="preserve">   </v>
      </c>
      <c r="L18" s="18"/>
      <c r="M18" s="11"/>
    </row>
    <row r="19" spans="2:13" x14ac:dyDescent="0.25">
      <c r="B19" t="str">
        <f t="shared" si="2"/>
        <v>"BHEL","open":"122.00","high":"122.00","low":"117.50","ltP":"118.65","ptsC":"-1.85","per":"-1.54","trdVol":"66.00","trdVolM":"6.60","ntP":"78.89","mVal":"0.79","wkhi":"290.00","wklo":"90.15","wkhicm_adj":"291.50","wklocm_adj":"145.55","xDt":"31-DEC-2999","cAct":"-","yPC":"-53.30","mPC":"-7.09"</v>
      </c>
      <c r="C19" s="17" t="s">
        <v>16</v>
      </c>
      <c r="D19" s="18" t="str">
        <f t="shared" si="0"/>
        <v>122.00</v>
      </c>
      <c r="E19" s="18" t="str">
        <f t="shared" si="0"/>
        <v>122.00</v>
      </c>
      <c r="F19" s="18" t="str">
        <f t="shared" si="0"/>
        <v>117.50</v>
      </c>
      <c r="G19" s="18" t="str">
        <f t="shared" si="0"/>
        <v>118.65</v>
      </c>
      <c r="H19" s="19" t="str">
        <f t="shared" si="1"/>
        <v xml:space="preserve">SHORT </v>
      </c>
      <c r="I19" s="20">
        <f t="shared" si="3"/>
        <v>120</v>
      </c>
      <c r="J19" s="21">
        <f t="shared" si="4"/>
        <v>122.61</v>
      </c>
      <c r="K19" s="22">
        <f t="shared" si="9"/>
        <v>1.1249999999999953E-2</v>
      </c>
      <c r="L19" s="18"/>
      <c r="M19" s="11"/>
    </row>
    <row r="20" spans="2:13" x14ac:dyDescent="0.25">
      <c r="B20" t="str">
        <f t="shared" si="2"/>
        <v>"BOSCHLTD","open":"22,300.05","high":"22,485.55","low":"22,106.30","ltP":"22,160.00","ptsC":"-187.55","per":"-0.84","trdVol":"0.19","trdVolM":"0.02","ntP":"41.39","mVal":"0.41","wkhi":"26,719.95","wklo":"15,736.05","wkhicm_adj":"19,570.00","wklocm_adj":"8,450.00","xDt":"31-DEC-2999","cAct":"-","yPC":"-5.02","mPC":"13.04"</v>
      </c>
      <c r="C20" s="17" t="s">
        <v>17</v>
      </c>
      <c r="D20" s="18" t="str">
        <f t="shared" si="0"/>
        <v>22,300.05</v>
      </c>
      <c r="E20" s="18" t="str">
        <f t="shared" si="0"/>
        <v>22,485.55</v>
      </c>
      <c r="F20" s="18" t="str">
        <f t="shared" si="0"/>
        <v>22,106.30</v>
      </c>
      <c r="G20" s="18" t="str">
        <f t="shared" si="0"/>
        <v>22,160.00</v>
      </c>
      <c r="H20" s="19" t="str">
        <f t="shared" si="1"/>
        <v xml:space="preserve">   </v>
      </c>
      <c r="I20" s="20" t="str">
        <f t="shared" si="3"/>
        <v xml:space="preserve">   </v>
      </c>
      <c r="J20" s="21" t="str">
        <f t="shared" si="4"/>
        <v xml:space="preserve">   </v>
      </c>
      <c r="K20" s="22" t="str">
        <f t="shared" si="9"/>
        <v xml:space="preserve">   </v>
      </c>
      <c r="L20" s="18"/>
      <c r="M20" s="11"/>
    </row>
    <row r="21" spans="2:13" x14ac:dyDescent="0.25">
      <c r="B21" t="str">
        <f t="shared" si="2"/>
        <v>"BPCL","open":"995.00","high":"996.00","low":"982.10","ltP":"988.40","ptsC":"7.90","per":"0.81","trdVol":"10.74","trdVolM":"1.07","ntP":"106.22","mVal":"1.06","wkhi":"1,024.70","wklo":"731.15","wkhicm_adj":"785.00","wklocm_adj":"316.05","xDt":"31-DEC-2999","cAct":"-","yPC":"14.83","mPC":"1.94"</v>
      </c>
      <c r="C21" s="17" t="s">
        <v>18</v>
      </c>
      <c r="D21" s="18" t="str">
        <f t="shared" si="0"/>
        <v>995.00</v>
      </c>
      <c r="E21" s="18" t="str">
        <f t="shared" si="0"/>
        <v>996.00</v>
      </c>
      <c r="F21" s="18" t="str">
        <f t="shared" si="0"/>
        <v>982.10</v>
      </c>
      <c r="G21" s="18" t="str">
        <f t="shared" si="0"/>
        <v>988.40</v>
      </c>
      <c r="H21" s="19" t="str">
        <f t="shared" si="1"/>
        <v xml:space="preserve">   </v>
      </c>
      <c r="I21" s="20" t="str">
        <f t="shared" si="3"/>
        <v xml:space="preserve">   </v>
      </c>
      <c r="J21" s="21" t="str">
        <f t="shared" si="4"/>
        <v xml:space="preserve">   </v>
      </c>
      <c r="K21" s="22" t="str">
        <f t="shared" si="9"/>
        <v xml:space="preserve">   </v>
      </c>
      <c r="L21" s="18"/>
      <c r="M21" s="11"/>
    </row>
    <row r="22" spans="2:13" x14ac:dyDescent="0.25">
      <c r="B22" t="str">
        <f t="shared" si="2"/>
        <v>"CIPLA","open":"474.70","high":"474.70","low":"462.75","ltP":"463.00","ptsC":"-9.65","per":"-2.04","trdVol":"12.48","trdVolM":"1.25","ntP":"58.62","mVal":"0.59","wkhi":"745.00","wklo":"457.45","wkhicm_adj":"673.00","wklocm_adj":"366.50","xDt":"31-DEC-2999","cAct":"-","yPC":"-30.07","mPC":"-14.36"</v>
      </c>
      <c r="C22" s="17" t="s">
        <v>20</v>
      </c>
      <c r="D22" s="18" t="str">
        <f t="shared" si="0"/>
        <v>474.70</v>
      </c>
      <c r="E22" s="18" t="str">
        <f t="shared" si="0"/>
        <v>474.70</v>
      </c>
      <c r="F22" s="18" t="str">
        <f t="shared" si="0"/>
        <v>462.75</v>
      </c>
      <c r="G22" s="18" t="str">
        <f t="shared" si="0"/>
        <v>463.00</v>
      </c>
      <c r="H22" s="19" t="str">
        <f t="shared" si="1"/>
        <v xml:space="preserve">SHORT </v>
      </c>
      <c r="I22" s="20">
        <f t="shared" si="3"/>
        <v>471</v>
      </c>
      <c r="J22" s="21">
        <f t="shared" si="4"/>
        <v>477.07349999999997</v>
      </c>
      <c r="K22" s="22">
        <f t="shared" ref="K22:K60" si="10">IF(AND(E22=0, F22=0, D22=0),"  ",IF(E22= D22,(I22-G22)/I22,IF(F22= D22,(G22-I22)/I22,IF(E22&lt;&gt; F22&lt;&gt; D22,"   "))))</f>
        <v>1.6985138004246284E-2</v>
      </c>
      <c r="L22" s="18"/>
      <c r="M22" s="11"/>
    </row>
    <row r="23" spans="2:13" x14ac:dyDescent="0.25">
      <c r="B23" t="str">
        <f t="shared" si="2"/>
        <v>"COALINDIA","open":"292.05","high":"299.50","low":"289.05","ltP":"297.95","ptsC":"6.55","per":"2.25","trdVol":"58.43","trdVolM":"5.84","ntP":"171.76","mVal":"1.72","wkhi":"447.10","wklo":"271.65","wkhicm_adj":"423.70","wklocm_adj":"240.30","xDt":"14-MAR-2016","cAct":"INTERIM DIVIDEND - RS 27.40\/- PER SHARE (PURPOSE REVISED)","yPC":"-23.95","mPC":"3.22"</v>
      </c>
      <c r="C23" s="17" t="s">
        <v>21</v>
      </c>
      <c r="D23" s="18" t="str">
        <f t="shared" si="0"/>
        <v>292.05</v>
      </c>
      <c r="E23" s="18" t="str">
        <f t="shared" si="0"/>
        <v>299.50</v>
      </c>
      <c r="F23" s="18" t="str">
        <f t="shared" si="0"/>
        <v>289.05</v>
      </c>
      <c r="G23" s="18" t="str">
        <f t="shared" si="0"/>
        <v>297.95</v>
      </c>
      <c r="H23" s="19" t="str">
        <f t="shared" si="1"/>
        <v xml:space="preserve">   </v>
      </c>
      <c r="I23" s="20" t="str">
        <f t="shared" si="3"/>
        <v xml:space="preserve">   </v>
      </c>
      <c r="J23" s="21" t="str">
        <f t="shared" si="4"/>
        <v xml:space="preserve">   </v>
      </c>
      <c r="K23" s="22" t="str">
        <f t="shared" si="10"/>
        <v xml:space="preserve">   </v>
      </c>
      <c r="L23" s="18"/>
      <c r="M23" s="11"/>
    </row>
    <row r="24" spans="2:13" x14ac:dyDescent="0.25">
      <c r="B24" t="str">
        <f t="shared" si="2"/>
        <v>"DRREDDY","open":"3,190.00","high":"3,219.90","low":"3,172.10","ltP":"3,183.00","ptsC":"-0.10","per":"-0.00","trdVol":"1.94","trdVolM":"0.19","ntP":"61.91","mVal":"0.62","wkhi":"4,386.60","wklo":"2,750.05","wkhicm_adj":"3,666.25","wklocm_adj":"2,246.50","xDt":"31-DEC-2999","cAct":"-","yPC":"-10.05","mPC":"5.68"</v>
      </c>
      <c r="C24" s="17" t="s">
        <v>22</v>
      </c>
      <c r="D24" s="18" t="str">
        <f t="shared" si="0"/>
        <v>3,190.00</v>
      </c>
      <c r="E24" s="18" t="str">
        <f t="shared" si="0"/>
        <v>3,219.90</v>
      </c>
      <c r="F24" s="18" t="str">
        <f t="shared" si="0"/>
        <v>3,172.10</v>
      </c>
      <c r="G24" s="18" t="str">
        <f t="shared" si="0"/>
        <v>3,183.00</v>
      </c>
      <c r="H24" s="19" t="str">
        <f t="shared" si="1"/>
        <v xml:space="preserve">   </v>
      </c>
      <c r="I24" s="20" t="str">
        <f t="shared" si="3"/>
        <v xml:space="preserve">   </v>
      </c>
      <c r="J24" s="21" t="str">
        <f t="shared" si="4"/>
        <v xml:space="preserve">   </v>
      </c>
      <c r="K24" s="22" t="str">
        <f t="shared" si="10"/>
        <v xml:space="preserve">   </v>
      </c>
      <c r="L24" s="18"/>
      <c r="M24" s="11"/>
    </row>
    <row r="25" spans="2:13" x14ac:dyDescent="0.25">
      <c r="B25" t="str">
        <f t="shared" si="2"/>
        <v>"EICHERMOT","open":"18,500.00","high":"18,809.00","low":"18,500.00","ltP":"18,680.10","ptsC":"194.25","per":"1.05","trdVol":"0.61","trdVolM":"0.06","ntP":"114.37","mVal":"1.14","wkhi":"21,620.00","wklo":"14,800.00","wkhicm_adj":"15,149.90","wklocm_adj":"4,401.10","xDt":"22-MAR-2016","cAct":"INTERIM DIVIDEND - RS 100\/- PER SHARE","yPC":"-0.52","mPC":"-5.91"</v>
      </c>
      <c r="C25" s="17" t="s">
        <v>62</v>
      </c>
      <c r="D25" s="18" t="str">
        <f t="shared" si="0"/>
        <v>18,500.00</v>
      </c>
      <c r="E25" s="18" t="str">
        <f t="shared" si="0"/>
        <v>18,809.00</v>
      </c>
      <c r="F25" s="18" t="str">
        <f t="shared" si="0"/>
        <v>18,500.00</v>
      </c>
      <c r="G25" s="18" t="str">
        <f t="shared" si="0"/>
        <v>18,680.10</v>
      </c>
      <c r="H25" s="19" t="str">
        <f t="shared" si="1"/>
        <v xml:space="preserve">LONG </v>
      </c>
      <c r="I25" s="20">
        <f t="shared" ref="I25" si="11">IF(AND(E25=0,F25=0,D25=0),"  ",IF(D25=F25,ROUND(((SQRT(F25) +0.0833) ^2),0),IF(E25=D25,ROUND(((SQRT(E25) -0.0833) ^2),0),IF(E25&lt;&gt;F25&lt;&gt;D25,"   "))))</f>
        <v>18523</v>
      </c>
      <c r="J25" s="21">
        <f t="shared" ref="J25" si="12">IF(AND(E25=0, F25=0, D25=0),"  ",IF(E25= D25,D25+0.005*D25,IF(F25= D25,D25-0.005*D25,IF(E25&lt;&gt; F25&lt;&gt; D25,"   "))))</f>
        <v>18407.5</v>
      </c>
      <c r="K25" s="22">
        <f t="shared" ref="K25" si="13">IF(AND(E25=0, F25=0, D25=0),"  ",IF(E25= D25,(I25-G25)/I25,IF(F25= D25,(G25-I25)/I25,IF(E25&lt;&gt; F25&lt;&gt; D25,"   "))))</f>
        <v>8.4813475139015569E-3</v>
      </c>
      <c r="L25" s="18"/>
      <c r="M25" s="11"/>
    </row>
    <row r="26" spans="2:13" x14ac:dyDescent="0.25">
      <c r="B26" t="str">
        <f t="shared" si="2"/>
        <v>"GAIL","open":"370.45","high":"375.00","low":"368.60","ltP":"372.00","ptsC":"1.55","per":"0.42","trdVol":"10.83","trdVolM":"1.08","ntP":"40.27","mVal":"0.40","wkhi":"417.90","wklo":"260.05","wkhicm_adj":"551.90","wklocm_adj":"328.80","xDt":"31-DEC-2999","cAct":"-","yPC":"-4.93","mPC":"1.20"</v>
      </c>
      <c r="C26" s="17" t="s">
        <v>23</v>
      </c>
      <c r="D26" s="18" t="str">
        <f t="shared" si="0"/>
        <v>370.45</v>
      </c>
      <c r="E26" s="18" t="str">
        <f t="shared" si="0"/>
        <v>375.00</v>
      </c>
      <c r="F26" s="18" t="str">
        <f t="shared" si="0"/>
        <v>368.60</v>
      </c>
      <c r="G26" s="18" t="str">
        <f t="shared" si="0"/>
        <v>372.00</v>
      </c>
      <c r="H26" s="19" t="str">
        <f t="shared" si="1"/>
        <v xml:space="preserve">   </v>
      </c>
      <c r="I26" s="20" t="str">
        <f t="shared" si="3"/>
        <v xml:space="preserve">   </v>
      </c>
      <c r="J26" s="21" t="str">
        <f t="shared" si="4"/>
        <v xml:space="preserve">   </v>
      </c>
      <c r="K26" s="22" t="str">
        <f t="shared" si="10"/>
        <v xml:space="preserve">   </v>
      </c>
      <c r="L26" s="18"/>
      <c r="M26" s="11"/>
    </row>
    <row r="27" spans="2:13" x14ac:dyDescent="0.25">
      <c r="B27" t="str">
        <f t="shared" si="2"/>
        <v>"GRASIM","open":"4,357.10","high":"4,390.00","low":"4,332.05","ltP":"4,357.00","ptsC":"0.05","per":"0.00","trdVol":"0.47","trdVolM":"0.05","ntP":"20.36","mVal":"0.20","wkhi":"4,404.35","wklo":"3,233.00","wkhicm_adj":"3,789.00","wklocm_adj":"2,426.35","xDt":"31-DEC-2999","cAct":"-","yPC":"20.58","mPC":"7.03"</v>
      </c>
      <c r="C27" s="17" t="s">
        <v>24</v>
      </c>
      <c r="D27" s="18" t="str">
        <f t="shared" si="0"/>
        <v>4,357.10</v>
      </c>
      <c r="E27" s="18" t="str">
        <f t="shared" si="0"/>
        <v>4,390.00</v>
      </c>
      <c r="F27" s="18" t="str">
        <f t="shared" si="0"/>
        <v>4,332.05</v>
      </c>
      <c r="G27" s="18" t="str">
        <f t="shared" si="0"/>
        <v>4,357.00</v>
      </c>
      <c r="H27" s="19" t="str">
        <f t="shared" si="1"/>
        <v xml:space="preserve">   </v>
      </c>
      <c r="I27" s="20" t="str">
        <f t="shared" si="3"/>
        <v xml:space="preserve">   </v>
      </c>
      <c r="J27" s="21" t="str">
        <f t="shared" si="4"/>
        <v xml:space="preserve">   </v>
      </c>
      <c r="K27" s="22" t="str">
        <f t="shared" si="10"/>
        <v xml:space="preserve">   </v>
      </c>
      <c r="L27" s="18"/>
      <c r="M27" s="11"/>
    </row>
    <row r="28" spans="2:13" x14ac:dyDescent="0.25">
      <c r="B28" t="str">
        <f t="shared" si="2"/>
        <v>"HCLTECH","open":"744.00","high":"744.35","low":"731.70","ltP":"735.80","ptsC":"-4.00","per":"-0.54","trdVol":"22.47","trdVolM":"2.25","ntP":"165.59","mVal":"1.66","wkhi":"1,006.00","wklo":"706.40","wkhicm_adj":"1,776.25","wklocm_adj":"1,057.60","xDt":"05-MAY-2016","cAct":"INTERIM DIVIDEND - RS 6\/- PER SHARE (PURPOSE REVISED)","yPC":"-24.40","mPC":"-0.86"</v>
      </c>
      <c r="C28" s="17" t="s">
        <v>25</v>
      </c>
      <c r="D28" s="18" t="str">
        <f t="shared" si="0"/>
        <v>744.00</v>
      </c>
      <c r="E28" s="18" t="str">
        <f t="shared" si="0"/>
        <v>744.35</v>
      </c>
      <c r="F28" s="18" t="str">
        <f t="shared" si="0"/>
        <v>731.70</v>
      </c>
      <c r="G28" s="18" t="str">
        <f t="shared" si="0"/>
        <v>735.80</v>
      </c>
      <c r="H28" s="19" t="str">
        <f t="shared" si="1"/>
        <v xml:space="preserve">   </v>
      </c>
      <c r="I28" s="20" t="str">
        <f t="shared" si="3"/>
        <v xml:space="preserve">   </v>
      </c>
      <c r="J28" s="21" t="str">
        <f t="shared" si="4"/>
        <v xml:space="preserve">   </v>
      </c>
      <c r="K28" s="22" t="str">
        <f t="shared" si="10"/>
        <v xml:space="preserve">   </v>
      </c>
      <c r="L28" s="18"/>
      <c r="M28" s="11"/>
    </row>
    <row r="29" spans="2:13" x14ac:dyDescent="0.25">
      <c r="B29" t="str">
        <f t="shared" si="2"/>
        <v>"HDFC","open":"1,242.15","high":"1,248.35","low":"1,230.00","ltP":"1,242.65","ptsC":"4.95","per":"0.40","trdVol":"22.80","trdVolM":"2.28","ntP":"282.84","mVal":"2.83","wkhi":"1,372.40","wklo":"1,011.45","wkhicm_adj":"1,177.80","wklocm_adj":"755.00","xDt":"30-MAR-2016","cAct":"INTERIM DIVIDEND - RS 3\/- PER SHARE (PURPOSE REVISED)","yPC":"-0.41","mPC":"13.81"</v>
      </c>
      <c r="C29" s="17" t="s">
        <v>26</v>
      </c>
      <c r="D29" s="18" t="str">
        <f t="shared" si="0"/>
        <v>1,242.15</v>
      </c>
      <c r="E29" s="18" t="str">
        <f t="shared" si="0"/>
        <v>1,248.35</v>
      </c>
      <c r="F29" s="18" t="str">
        <f t="shared" si="0"/>
        <v>1,230.00</v>
      </c>
      <c r="G29" s="18" t="str">
        <f t="shared" si="0"/>
        <v>1,242.65</v>
      </c>
      <c r="H29" s="19" t="str">
        <f t="shared" si="1"/>
        <v xml:space="preserve">   </v>
      </c>
      <c r="I29" s="20" t="str">
        <f t="shared" si="3"/>
        <v xml:space="preserve">   </v>
      </c>
      <c r="J29" s="21" t="str">
        <f t="shared" si="4"/>
        <v xml:space="preserve">   </v>
      </c>
      <c r="K29" s="22" t="str">
        <f t="shared" si="10"/>
        <v xml:space="preserve">   </v>
      </c>
      <c r="L29" s="18"/>
      <c r="M29" s="11"/>
    </row>
    <row r="30" spans="2:13" x14ac:dyDescent="0.25">
      <c r="B30" t="str">
        <f t="shared" si="2"/>
        <v>"HDFCBANK","open":"1,182.95","high":"1,182.95","low":"1,171.00","ltP":"1,176.00","ptsC":"-5.90","per":"-0.50","trdVol":"14.19","trdVolM":"1.42","ntP":"166.69","mVal":"1.67","wkhi":"1,195.00","wklo":"928.00","wkhicm_adj":"965.90","wklocm_adj":"616.80","xDt":"31-DEC-2999","cAct":"-","yPC":"13.49","mPC":"5.22"</v>
      </c>
      <c r="C30" s="17" t="s">
        <v>27</v>
      </c>
      <c r="D30" s="18" t="str">
        <f t="shared" si="0"/>
        <v>1,182.95</v>
      </c>
      <c r="E30" s="18" t="str">
        <f t="shared" si="0"/>
        <v>1,182.95</v>
      </c>
      <c r="F30" s="18" t="str">
        <f t="shared" si="0"/>
        <v>1,171.00</v>
      </c>
      <c r="G30" s="18" t="str">
        <f t="shared" si="0"/>
        <v>1,176.00</v>
      </c>
      <c r="H30" s="19" t="str">
        <f t="shared" si="1"/>
        <v xml:space="preserve">SHORT </v>
      </c>
      <c r="I30" s="20">
        <f t="shared" si="3"/>
        <v>1177</v>
      </c>
      <c r="J30" s="21">
        <f t="shared" si="4"/>
        <v>1188.86475</v>
      </c>
      <c r="K30" s="22">
        <f t="shared" si="10"/>
        <v>8.4961767204757861E-4</v>
      </c>
      <c r="L30" s="18"/>
      <c r="M30" s="11"/>
    </row>
    <row r="31" spans="2:13" x14ac:dyDescent="0.25">
      <c r="B31" t="str">
        <f t="shared" si="2"/>
        <v>"HEROMOTOCO","open":"3,123.70","high":"3,132.55","low":"3,070.70","ltP":"3,086.60","ptsC":"-12.30","per":"-0.40","trdVol":"6.68","trdVolM":"0.67","ntP":"207.46","mVal":"2.07","wkhi":"3,172.00","wklo":"2,257.20","wkhicm_adj":"3,269.95","wklocm_adj":"1,907.10","xDt":"21-MAR-2016","cAct":"INTERIM DIVIDEND - RS 40\/- PER SHARE","yPC":"13.90","mPC":"6.28"</v>
      </c>
      <c r="C31" s="17" t="s">
        <v>28</v>
      </c>
      <c r="D31" s="18" t="str">
        <f t="shared" si="0"/>
        <v>3,123.70</v>
      </c>
      <c r="E31" s="18" t="str">
        <f t="shared" si="0"/>
        <v>3,132.55</v>
      </c>
      <c r="F31" s="18" t="str">
        <f t="shared" si="0"/>
        <v>3,070.70</v>
      </c>
      <c r="G31" s="18" t="str">
        <f t="shared" si="0"/>
        <v>3,086.60</v>
      </c>
      <c r="H31" s="19" t="str">
        <f t="shared" si="1"/>
        <v xml:space="preserve">   </v>
      </c>
      <c r="I31" s="20" t="str">
        <f t="shared" si="3"/>
        <v xml:space="preserve">   </v>
      </c>
      <c r="J31" s="21" t="str">
        <f t="shared" si="4"/>
        <v xml:space="preserve">   </v>
      </c>
      <c r="K31" s="22" t="str">
        <f t="shared" si="10"/>
        <v xml:space="preserve">   </v>
      </c>
      <c r="L31" s="18"/>
      <c r="M31" s="11"/>
    </row>
    <row r="32" spans="2:13" x14ac:dyDescent="0.25">
      <c r="B32" t="str">
        <f t="shared" si="2"/>
        <v>"HINDALCO","open":"105.35","high":"105.75","low":"102.60","ltP":"103.40","ptsC":"-1.85","per":"-1.76","trdVol":"123.75","trdVolM":"12.37","ntP":"128.70","mVal":"1.29","wkhi":"129.80","wklo":"58.80","wkhicm_adj":"198.90","wklocm_adj":"96.70","xDt":"31-DEC-2999","cAct":"-","yPC":"-19.44","mPC":"4.82"</v>
      </c>
      <c r="C32" s="17" t="s">
        <v>29</v>
      </c>
      <c r="D32" s="18" t="str">
        <f t="shared" ref="D32:G52" si="14">MID($B32,FIND(D$9,$B32)+LEN(D$9)+3,FIND(CHAR(34),$B32,FIND(D$9,$B32)+LEN(D$9)+3)-(FIND(D$9,$B32)+LEN(D$9)+3))</f>
        <v>105.35</v>
      </c>
      <c r="E32" s="18" t="str">
        <f t="shared" si="14"/>
        <v>105.75</v>
      </c>
      <c r="F32" s="18" t="str">
        <f t="shared" si="14"/>
        <v>102.60</v>
      </c>
      <c r="G32" s="18" t="str">
        <f t="shared" si="14"/>
        <v>103.40</v>
      </c>
      <c r="H32" s="19" t="str">
        <f t="shared" si="1"/>
        <v xml:space="preserve">   </v>
      </c>
      <c r="I32" s="20" t="str">
        <f t="shared" si="3"/>
        <v xml:space="preserve">   </v>
      </c>
      <c r="J32" s="21" t="str">
        <f t="shared" si="4"/>
        <v xml:space="preserve">   </v>
      </c>
      <c r="K32" s="22" t="str">
        <f t="shared" si="10"/>
        <v xml:space="preserve">   </v>
      </c>
      <c r="L32" s="18"/>
      <c r="M32" s="11"/>
    </row>
    <row r="33" spans="2:13" x14ac:dyDescent="0.25">
      <c r="B33" t="str">
        <f t="shared" si="2"/>
        <v>"HINDUNILVR","open":"852.15","high":"863.40","low":"846.05","ltP":"856.75","ptsC":"8.55","per":"1.01","trdVol":"12.24","trdVolM":"1.22","ntP":"104.77","mVal":"1.05","wkhi":"944.00","wklo":"766.40","wkhicm_adj":"814.85","wklocm_adj":"537.20","xDt":"31-DEC-2999","cAct":"-","yPC":"-2.73","mPC":"-0.83"</v>
      </c>
      <c r="C33" s="17" t="s">
        <v>30</v>
      </c>
      <c r="D33" s="18" t="str">
        <f t="shared" si="14"/>
        <v>852.15</v>
      </c>
      <c r="E33" s="18" t="str">
        <f t="shared" si="14"/>
        <v>863.40</v>
      </c>
      <c r="F33" s="18" t="str">
        <f t="shared" si="14"/>
        <v>846.05</v>
      </c>
      <c r="G33" s="18" t="str">
        <f t="shared" si="14"/>
        <v>856.75</v>
      </c>
      <c r="H33" s="19" t="str">
        <f t="shared" si="1"/>
        <v xml:space="preserve">   </v>
      </c>
      <c r="I33" s="20" t="str">
        <f t="shared" si="3"/>
        <v xml:space="preserve">   </v>
      </c>
      <c r="J33" s="21" t="str">
        <f t="shared" si="4"/>
        <v xml:space="preserve">   </v>
      </c>
      <c r="K33" s="22" t="str">
        <f t="shared" si="10"/>
        <v xml:space="preserve">   </v>
      </c>
      <c r="L33" s="18"/>
      <c r="M33" s="11"/>
    </row>
    <row r="34" spans="2:13" x14ac:dyDescent="0.25">
      <c r="B34" t="str">
        <f t="shared" si="2"/>
        <v>"ICICIBANK","open":"243.90","high":"245.45","low":"239.10","ltP":"240.50","ptsC":"-4.15","per":"-1.70","trdVol":"107.84","trdVolM":"10.78","ntP":"261.21","mVal":"2.61","wkhi":"321.00","wklo":"180.75","wkhicm_adj":"1,779.00","wklocm_adj":"943.60","xDt":"31-DEC-2999","cAct":"-","yPC":"-24.00","mPC":"6.06"</v>
      </c>
      <c r="C34" s="17" t="s">
        <v>31</v>
      </c>
      <c r="D34" s="18" t="str">
        <f t="shared" si="14"/>
        <v>243.90</v>
      </c>
      <c r="E34" s="18" t="str">
        <f t="shared" si="14"/>
        <v>245.45</v>
      </c>
      <c r="F34" s="18" t="str">
        <f t="shared" si="14"/>
        <v>239.10</v>
      </c>
      <c r="G34" s="18" t="str">
        <f t="shared" si="14"/>
        <v>240.50</v>
      </c>
      <c r="H34" s="19" t="str">
        <f t="shared" si="1"/>
        <v xml:space="preserve">   </v>
      </c>
      <c r="I34" s="20" t="str">
        <f t="shared" si="3"/>
        <v xml:space="preserve">   </v>
      </c>
      <c r="J34" s="21" t="str">
        <f t="shared" si="4"/>
        <v xml:space="preserve">   </v>
      </c>
      <c r="K34" s="22" t="str">
        <f t="shared" si="10"/>
        <v xml:space="preserve">   </v>
      </c>
      <c r="L34" s="18"/>
      <c r="M34" s="11"/>
    </row>
    <row r="35" spans="2:13" x14ac:dyDescent="0.25">
      <c r="B35" t="str">
        <f t="shared" si="2"/>
        <v>"IDEA","open":"115.75","high":"118.25","low":"114.45","ltP":"117.25","ptsC":"2.30","per":"2.00","trdVol":"42.08","trdVolM":"4.21","ntP":"49.10","mVal":"0.49","wkhi":"186.50","wklo":"97.20","wkhicm_adj":"183.70","wklocm_adj":"125.10","xDt":"31-DEC-2999","cAct":"-","yPC":"-32.05","mPC":"-0.38"</v>
      </c>
      <c r="C35" s="17" t="s">
        <v>32</v>
      </c>
      <c r="D35" s="18" t="str">
        <f t="shared" si="14"/>
        <v>115.75</v>
      </c>
      <c r="E35" s="18" t="str">
        <f t="shared" si="14"/>
        <v>118.25</v>
      </c>
      <c r="F35" s="18" t="str">
        <f t="shared" si="14"/>
        <v>114.45</v>
      </c>
      <c r="G35" s="18" t="str">
        <f t="shared" si="14"/>
        <v>117.25</v>
      </c>
      <c r="H35" s="19" t="str">
        <f t="shared" si="1"/>
        <v xml:space="preserve">   </v>
      </c>
      <c r="I35" s="20" t="str">
        <f t="shared" si="3"/>
        <v xml:space="preserve">   </v>
      </c>
      <c r="J35" s="21" t="str">
        <f t="shared" si="4"/>
        <v xml:space="preserve">   </v>
      </c>
      <c r="K35" s="22" t="str">
        <f t="shared" si="10"/>
        <v xml:space="preserve">   </v>
      </c>
      <c r="L35" s="18"/>
      <c r="M35" s="11"/>
    </row>
    <row r="36" spans="2:13" x14ac:dyDescent="0.25">
      <c r="B36" t="str">
        <f t="shared" si="2"/>
        <v>"INDUSINDBK","open":"1,103.00","high":"1,107.80","low":"1,096.55","ltP":"1,106.30","ptsC":"3.45","per":"0.31","trdVol":"6.93","trdVolM":"0.69","ntP":"76.39","mVal":"0.76","wkhi":"1,113.55","wklo":"784.00","wkhicm_adj":"776.00","wklocm_adj":"369.50","xDt":"31-DEC-2999","cAct":"-","yPC":"25.30","mPC":"5.86"</v>
      </c>
      <c r="C36" s="17" t="s">
        <v>33</v>
      </c>
      <c r="D36" s="18" t="str">
        <f t="shared" si="14"/>
        <v>1,103.00</v>
      </c>
      <c r="E36" s="18" t="str">
        <f t="shared" si="14"/>
        <v>1,107.80</v>
      </c>
      <c r="F36" s="18" t="str">
        <f t="shared" si="14"/>
        <v>1,096.55</v>
      </c>
      <c r="G36" s="18" t="str">
        <f t="shared" si="14"/>
        <v>1,106.30</v>
      </c>
      <c r="H36" s="19" t="str">
        <f t="shared" si="1"/>
        <v xml:space="preserve">   </v>
      </c>
      <c r="I36" s="20" t="str">
        <f t="shared" si="3"/>
        <v xml:space="preserve">   </v>
      </c>
      <c r="J36" s="21" t="str">
        <f t="shared" si="4"/>
        <v xml:space="preserve">   </v>
      </c>
      <c r="K36" s="22" t="str">
        <f t="shared" si="10"/>
        <v xml:space="preserve">   </v>
      </c>
      <c r="L36" s="18"/>
      <c r="M36" s="11"/>
    </row>
    <row r="37" spans="2:13" x14ac:dyDescent="0.25">
      <c r="B37" t="str">
        <f t="shared" si="2"/>
        <v>"INFRATEL","open":"374.90","high":"386.00","low":"374.60","ltP":"384.60","ptsC":"10.05","per":"2.68","trdVol":"16.03","trdVolM":"1.60","ntP":"61.46","mVal":"0.61","wkhi":"499.65","wklo":"341.35","wkhicm_adj":"322.00","wklocm_adj":"156.00","xDt":"31-DEC-2999","cAct":"-","yPC":"-18.42","mPC":"2.38"</v>
      </c>
      <c r="C37" s="17" t="s">
        <v>63</v>
      </c>
      <c r="D37" s="18" t="str">
        <f t="shared" si="14"/>
        <v>374.90</v>
      </c>
      <c r="E37" s="18" t="str">
        <f t="shared" si="14"/>
        <v>386.00</v>
      </c>
      <c r="F37" s="18" t="str">
        <f t="shared" si="14"/>
        <v>374.60</v>
      </c>
      <c r="G37" s="18" t="str">
        <f t="shared" si="14"/>
        <v>384.60</v>
      </c>
      <c r="H37" s="19" t="str">
        <f t="shared" si="1"/>
        <v xml:space="preserve">   </v>
      </c>
      <c r="I37" s="20" t="str">
        <f t="shared" ref="I37" si="15">IF(AND(E37=0,F37=0,D37=0),"  ",IF(D37=F37,ROUND(((SQRT(F37) +0.0833) ^2),0),IF(E37=D37,ROUND(((SQRT(E37) -0.0833) ^2),0),IF(E37&lt;&gt;F37&lt;&gt;D37,"   "))))</f>
        <v xml:space="preserve">   </v>
      </c>
      <c r="J37" s="21" t="str">
        <f t="shared" ref="J37" si="16">IF(AND(E37=0, F37=0, D37=0),"  ",IF(E37= D37,D37+0.005*D37,IF(F37= D37,D37-0.005*D37,IF(E37&lt;&gt; F37&lt;&gt; D37,"   "))))</f>
        <v xml:space="preserve">   </v>
      </c>
      <c r="K37" s="22" t="str">
        <f t="shared" ref="K37" si="17">IF(AND(E37=0, F37=0, D37=0),"  ",IF(E37= D37,(I37-G37)/I37,IF(F37= D37,(G37-I37)/I37,IF(E37&lt;&gt; F37&lt;&gt; D37,"   "))))</f>
        <v xml:space="preserve">   </v>
      </c>
      <c r="L37" s="18"/>
      <c r="M37" s="11"/>
    </row>
    <row r="38" spans="2:13" x14ac:dyDescent="0.25">
      <c r="B38" t="str">
        <f t="shared" si="2"/>
        <v>"INFY","open":"1,246.05","high":"1,268.50","low":"1,246.00","ltP":"1,256.00","ptsC":"7.35","per":"0.59","trdVol":"24.20","trdVolM":"2.42","ntP":"304.67","mVal":"3.05","wkhi":"1,272.00","wklo":"932.65","wkhicm_adj":"4,402.20","wklocm_adj":"2,880.00","xDt":"31-DEC-2999","cAct":"-","yPC":"22.67","mPC":"4.58"</v>
      </c>
      <c r="C38" s="17" t="s">
        <v>34</v>
      </c>
      <c r="D38" s="18" t="str">
        <f t="shared" si="14"/>
        <v>1,246.05</v>
      </c>
      <c r="E38" s="18" t="str">
        <f t="shared" si="14"/>
        <v>1,268.50</v>
      </c>
      <c r="F38" s="18" t="str">
        <f t="shared" si="14"/>
        <v>1,246.00</v>
      </c>
      <c r="G38" s="18" t="str">
        <f t="shared" si="14"/>
        <v>1,256.00</v>
      </c>
      <c r="H38" s="19" t="str">
        <f t="shared" si="1"/>
        <v xml:space="preserve">   </v>
      </c>
      <c r="I38" s="20" t="str">
        <f t="shared" si="3"/>
        <v xml:space="preserve">   </v>
      </c>
      <c r="J38" s="21" t="str">
        <f t="shared" si="4"/>
        <v xml:space="preserve">   </v>
      </c>
      <c r="K38" s="22" t="str">
        <f t="shared" si="10"/>
        <v xml:space="preserve">   </v>
      </c>
      <c r="L38" s="18"/>
      <c r="M38" s="11"/>
    </row>
    <row r="39" spans="2:13" x14ac:dyDescent="0.25">
      <c r="B39" t="str">
        <f t="shared" si="2"/>
        <v>"ITC","open":"353.00","high":"362.20","low":"353.00","ltP":"361.10","ptsC":"10.05","per":"2.86","trdVol":"79.66","trdVolM":"7.97","ntP":"286.06","mVal":"2.86","wkhi":"364.00","wklo":"268.00","wkhicm_adj":"387.50","wklocm_adj":"307.55","xDt":"30-MAY-2016","cAct":"DIVIDEND-RS.8.50 PER SHARE (INCLUDING SPECIAL DIVIDEND OF RS.2\/- PER SHARE).","yPC":"8.75","mPC":"12.44"</v>
      </c>
      <c r="C39" s="17" t="s">
        <v>35</v>
      </c>
      <c r="D39" s="18" t="str">
        <f t="shared" si="14"/>
        <v>353.00</v>
      </c>
      <c r="E39" s="18" t="str">
        <f t="shared" si="14"/>
        <v>362.20</v>
      </c>
      <c r="F39" s="18" t="str">
        <f t="shared" si="14"/>
        <v>353.00</v>
      </c>
      <c r="G39" s="18" t="str">
        <f t="shared" si="14"/>
        <v>361.10</v>
      </c>
      <c r="H39" s="19" t="str">
        <f t="shared" si="1"/>
        <v xml:space="preserve">LONG </v>
      </c>
      <c r="I39" s="20">
        <f t="shared" si="3"/>
        <v>356</v>
      </c>
      <c r="J39" s="21">
        <f t="shared" si="4"/>
        <v>351.23500000000001</v>
      </c>
      <c r="K39" s="22">
        <f t="shared" si="10"/>
        <v>1.4325842696629277E-2</v>
      </c>
      <c r="L39" s="18"/>
      <c r="M39" s="11"/>
    </row>
    <row r="40" spans="2:13" x14ac:dyDescent="0.25">
      <c r="B40" t="str">
        <f t="shared" si="2"/>
        <v>"KOTAKBANK","open":"749.75","high":"749.75","low":"740.40","ltP":"749.00","ptsC":"2.45","per":"0.33","trdVol":"9.18","trdVolM":"0.92","ntP":"68.25","mVal":"0.68","wkhi":"754.50","wklo":"585.75","wkhicm_adj":"1,264.70","wklocm_adj":"630.50","xDt":"31-DEC-2999","cAct":"-","yPC":"7.56","mPC":"4.29"</v>
      </c>
      <c r="C40" s="17" t="s">
        <v>36</v>
      </c>
      <c r="D40" s="18" t="str">
        <f t="shared" si="14"/>
        <v>749.75</v>
      </c>
      <c r="E40" s="18" t="str">
        <f t="shared" si="14"/>
        <v>749.75</v>
      </c>
      <c r="F40" s="18" t="str">
        <f t="shared" si="14"/>
        <v>740.40</v>
      </c>
      <c r="G40" s="18" t="str">
        <f t="shared" si="14"/>
        <v>749.00</v>
      </c>
      <c r="H40" s="19" t="str">
        <f t="shared" si="1"/>
        <v xml:space="preserve">SHORT </v>
      </c>
      <c r="I40" s="20">
        <f t="shared" si="3"/>
        <v>745</v>
      </c>
      <c r="J40" s="21">
        <f t="shared" si="4"/>
        <v>753.49874999999997</v>
      </c>
      <c r="K40" s="22">
        <f t="shared" si="10"/>
        <v>-5.3691275167785232E-3</v>
      </c>
      <c r="L40" s="18"/>
      <c r="M40" s="11"/>
    </row>
    <row r="41" spans="2:13" x14ac:dyDescent="0.25">
      <c r="B41" t="str">
        <f t="shared" si="2"/>
        <v>ULTRACEMCO","open":"3,226.70","high":"3,259.75","low":"3,207.85","ltP":"3,235.00","ptsC":"8.30","per":"0.26","trdVol":"1.24","trdVolM":"0.12","ntP":"40.11","mVal":"0.40","wkhi":"3,454.90","wklo":"2,579.00","wkhicm_adj":"2,872.00","wklocm_adj":"1,634.00","xDt":"31-DEC-2999","cAct":"-","yPC":"7.64","mPC":"1.85"</v>
      </c>
      <c r="C41" s="17" t="s">
        <v>37</v>
      </c>
      <c r="D41" s="18" t="str">
        <f t="shared" si="14"/>
        <v>3,226.70</v>
      </c>
      <c r="E41" s="18" t="str">
        <f t="shared" si="14"/>
        <v>3,259.75</v>
      </c>
      <c r="F41" s="18" t="str">
        <f t="shared" si="14"/>
        <v>3,207.85</v>
      </c>
      <c r="G41" s="18" t="str">
        <f t="shared" si="14"/>
        <v>3,235.00</v>
      </c>
      <c r="H41" s="19" t="str">
        <f t="shared" si="1"/>
        <v xml:space="preserve">   </v>
      </c>
      <c r="I41" s="20" t="str">
        <f t="shared" si="3"/>
        <v xml:space="preserve">   </v>
      </c>
      <c r="J41" s="21" t="str">
        <f t="shared" si="4"/>
        <v xml:space="preserve">   </v>
      </c>
      <c r="K41" s="22" t="str">
        <f t="shared" si="10"/>
        <v xml:space="preserve">   </v>
      </c>
      <c r="L41" s="18"/>
      <c r="M41" s="11"/>
    </row>
    <row r="42" spans="2:13" x14ac:dyDescent="0.25">
      <c r="B42" t="str">
        <f t="shared" si="2"/>
        <v>"LUPIN","open":"1,479.65","high":"1,500.00","low":"1,478.00","ltP":"1,491.90","ptsC":"17.15","per":"1.16","trdVol":"18.80","trdVolM":"1.88","ntP":"280.18","mVal":"2.80","wkhi":"2,129.00","wklo":"1,280.00","wkhicm_adj":"1,497.50","wklocm_adj":"851.50","xDt":"31-DEC-2999","cAct":"-","yPC":"-16.75","mPC":"-7.85"</v>
      </c>
      <c r="C42" s="17" t="s">
        <v>38</v>
      </c>
      <c r="D42" s="18" t="str">
        <f t="shared" si="14"/>
        <v>1,479.65</v>
      </c>
      <c r="E42" s="18" t="str">
        <f t="shared" si="14"/>
        <v>1,500.00</v>
      </c>
      <c r="F42" s="18" t="str">
        <f t="shared" si="14"/>
        <v>1,478.00</v>
      </c>
      <c r="G42" s="18" t="str">
        <f t="shared" si="14"/>
        <v>1,491.90</v>
      </c>
      <c r="H42" s="19" t="str">
        <f t="shared" si="1"/>
        <v xml:space="preserve">   </v>
      </c>
      <c r="I42" s="20" t="str">
        <f t="shared" si="3"/>
        <v xml:space="preserve">   </v>
      </c>
      <c r="J42" s="21" t="str">
        <f t="shared" si="4"/>
        <v xml:space="preserve">   </v>
      </c>
      <c r="K42" s="22" t="str">
        <f t="shared" si="10"/>
        <v xml:space="preserve">   </v>
      </c>
      <c r="L42" s="18"/>
      <c r="M42" s="11"/>
    </row>
    <row r="43" spans="2:13" x14ac:dyDescent="0.25">
      <c r="B43" t="str">
        <f t="shared" si="2"/>
        <v>"M&amp;M","open":"1,329.00","high":"1,349.00","low":"1,326.25","ltP":"1,333.50","ptsC":"11.20","per":"0.85","trdVol":"9.45","trdVolM":"0.95","ntP":"126.45","mVal":"1.26","wkhi":"1,442.05","wklo":"1,091.25","wkhicm_adj":"1,433.70","wklocm_adj":"846.60","xDt":"31-DEC-2999","cAct":"-","yPC":"5.99","mPC":"-0.23"</v>
      </c>
      <c r="C43" s="17" t="s">
        <v>39</v>
      </c>
      <c r="D43" s="18" t="str">
        <f t="shared" si="14"/>
        <v>1,329.00</v>
      </c>
      <c r="E43" s="18" t="str">
        <f t="shared" si="14"/>
        <v>1,349.00</v>
      </c>
      <c r="F43" s="18" t="str">
        <f t="shared" si="14"/>
        <v>1,326.25</v>
      </c>
      <c r="G43" s="18" t="str">
        <f t="shared" si="14"/>
        <v>1,333.50</v>
      </c>
      <c r="H43" s="19" t="str">
        <f t="shared" si="1"/>
        <v xml:space="preserve">   </v>
      </c>
      <c r="I43" s="20" t="str">
        <f t="shared" si="3"/>
        <v xml:space="preserve">   </v>
      </c>
      <c r="J43" s="21" t="str">
        <f t="shared" si="4"/>
        <v xml:space="preserve">   </v>
      </c>
      <c r="K43" s="22" t="str">
        <f t="shared" si="10"/>
        <v xml:space="preserve">   </v>
      </c>
      <c r="L43" s="18"/>
      <c r="M43" s="11"/>
    </row>
    <row r="44" spans="2:13" x14ac:dyDescent="0.25">
      <c r="B44" t="str">
        <f t="shared" si="2"/>
        <v>"MARUTI","open":"4,170.70","high":"4,199.95","low":"4,150.00","ltP":"4,154.55","ptsC":"-7.05","per":"-0.17","trdVol":"6.47","trdVolM":"0.65","ntP":"269.97","mVal":"2.70","wkhi":"4,790.00","wklo":"3,193.25","wkhicm_adj":"3,432.00","wklocm_adj":"1,540.40","xDt":"31-DEC-2999","cAct":"-","yPC":"7.00","mPC":"8.45"</v>
      </c>
      <c r="C44" s="17" t="s">
        <v>40</v>
      </c>
      <c r="D44" s="18" t="str">
        <f t="shared" si="14"/>
        <v>4,170.70</v>
      </c>
      <c r="E44" s="18" t="str">
        <f t="shared" si="14"/>
        <v>4,199.95</v>
      </c>
      <c r="F44" s="18" t="str">
        <f t="shared" si="14"/>
        <v>4,150.00</v>
      </c>
      <c r="G44" s="18" t="str">
        <f t="shared" si="14"/>
        <v>4,154.55</v>
      </c>
      <c r="H44" s="19" t="str">
        <f t="shared" si="1"/>
        <v xml:space="preserve">   </v>
      </c>
      <c r="I44" s="20" t="str">
        <f t="shared" si="3"/>
        <v xml:space="preserve">   </v>
      </c>
      <c r="J44" s="21" t="str">
        <f t="shared" si="4"/>
        <v xml:space="preserve">   </v>
      </c>
      <c r="K44" s="22" t="str">
        <f t="shared" si="10"/>
        <v xml:space="preserve">   </v>
      </c>
      <c r="L44" s="18"/>
      <c r="M44" s="11"/>
    </row>
    <row r="45" spans="2:13" x14ac:dyDescent="0.25">
      <c r="B45" t="str">
        <f t="shared" si="2"/>
        <v>"NTPC","open":"142.90","high":"145.20","low":"141.55","ltP":"144.80","ptsC":"1.65","per":"1.15","trdVol":"46.49","trdVolM":"4.65","ntP":"66.78","mVal":"0.67","wkhi":"148.85","wklo":"107.10","wkhicm_adj":"168.90","wklocm_adj":"110.65","xDt":"31-DEC-2999","cAct":"-","yPC":"4.51","mPC":"4.51"</v>
      </c>
      <c r="C45" s="17" t="s">
        <v>41</v>
      </c>
      <c r="D45" s="18" t="str">
        <f t="shared" si="14"/>
        <v>142.90</v>
      </c>
      <c r="E45" s="18" t="str">
        <f t="shared" si="14"/>
        <v>145.20</v>
      </c>
      <c r="F45" s="18" t="str">
        <f t="shared" si="14"/>
        <v>141.55</v>
      </c>
      <c r="G45" s="18" t="str">
        <f t="shared" si="14"/>
        <v>144.80</v>
      </c>
      <c r="H45" s="19" t="str">
        <f t="shared" si="1"/>
        <v xml:space="preserve">   </v>
      </c>
      <c r="I45" s="20" t="str">
        <f t="shared" si="3"/>
        <v xml:space="preserve">   </v>
      </c>
      <c r="J45" s="21" t="str">
        <f t="shared" si="4"/>
        <v xml:space="preserve">   </v>
      </c>
      <c r="K45" s="22" t="str">
        <f t="shared" si="10"/>
        <v xml:space="preserve">   </v>
      </c>
      <c r="L45" s="18"/>
      <c r="M45" s="11"/>
    </row>
    <row r="46" spans="2:13" x14ac:dyDescent="0.25">
      <c r="B46" t="str">
        <f t="shared" si="2"/>
        <v>"ONGC","open":"211.40","high":"213.30","low":"210.10","ltP":"210.60","ptsC":"-0.15","per":"-0.07","trdVol":"30.15","trdVolM":"3.01","ntP":"63.83","mVal":"0.64","wkhi":"329.90","wklo":"187.75","wkhicm_adj":"471.85","wklocm_adj":"264.15","xDt":"16-MAR-2016","cAct":"INTERIM DIVIDEND - RE 0.75\/- PER SHARE (PURPOSE REVISED)","yPC":"-35.02","mPC":"-3.28"</v>
      </c>
      <c r="C46" s="17" t="s">
        <v>42</v>
      </c>
      <c r="D46" s="18" t="str">
        <f t="shared" si="14"/>
        <v>211.40</v>
      </c>
      <c r="E46" s="18" t="str">
        <f t="shared" si="14"/>
        <v>213.30</v>
      </c>
      <c r="F46" s="18" t="str">
        <f t="shared" si="14"/>
        <v>210.10</v>
      </c>
      <c r="G46" s="18" t="str">
        <f t="shared" si="14"/>
        <v>210.60</v>
      </c>
      <c r="H46" s="19" t="str">
        <f t="shared" si="1"/>
        <v xml:space="preserve">   </v>
      </c>
      <c r="I46" s="20" t="str">
        <f t="shared" si="3"/>
        <v xml:space="preserve">   </v>
      </c>
      <c r="J46" s="21" t="str">
        <f t="shared" si="4"/>
        <v xml:space="preserve">   </v>
      </c>
      <c r="K46" s="22" t="str">
        <f t="shared" si="10"/>
        <v xml:space="preserve">   </v>
      </c>
      <c r="L46" s="18"/>
      <c r="M46" s="11"/>
    </row>
    <row r="47" spans="2:13" x14ac:dyDescent="0.25">
      <c r="B47" t="str">
        <f t="shared" si="2"/>
        <v>"POWERGRID","open":"150.60","high":"150.60","low":"148.40","ltP":"149.20","ptsC":"-0.80","per":"-0.53","trdVol":"28.23","trdVolM":"2.82","ntP":"42.15","mVal":"0.42","wkhi":"152.95","wklo":"120.55","wkhicm_adj":"150.90","wklocm_adj":"91.65","xDt":"31-DEC-2999","cAct":"-","yPC":"4.26","mPC":"4.45"</v>
      </c>
      <c r="C47" s="17" t="s">
        <v>44</v>
      </c>
      <c r="D47" s="18" t="str">
        <f t="shared" si="14"/>
        <v>150.60</v>
      </c>
      <c r="E47" s="18" t="str">
        <f t="shared" si="14"/>
        <v>150.60</v>
      </c>
      <c r="F47" s="18" t="str">
        <f t="shared" si="14"/>
        <v>148.40</v>
      </c>
      <c r="G47" s="18" t="str">
        <f t="shared" si="14"/>
        <v>149.20</v>
      </c>
      <c r="H47" s="19" t="str">
        <f t="shared" si="1"/>
        <v xml:space="preserve">SHORT </v>
      </c>
      <c r="I47" s="20">
        <f t="shared" si="3"/>
        <v>149</v>
      </c>
      <c r="J47" s="21">
        <f t="shared" si="4"/>
        <v>151.35299999999998</v>
      </c>
      <c r="K47" s="22">
        <f t="shared" si="10"/>
        <v>-1.3422818791945545E-3</v>
      </c>
      <c r="L47" s="18"/>
      <c r="M47" s="11"/>
    </row>
    <row r="48" spans="2:13" x14ac:dyDescent="0.25">
      <c r="B48" t="str">
        <f t="shared" si="2"/>
        <v>"RELIANCE","open":"957.95","high":"966.10","low":"951.80","ltP":"952.70","ptsC":"-5.15","per":"-0.54","trdVol":"20.67","trdVolM":"2.07","ntP":"198.27","mVal":"1.98","wkhi":"1,089.75","wklo":"818.00","wkhicm_adj":"1,145.25","wklocm_adj":"793.10","xDt":"17-MAR-2016","cAct":"INTERIM DIVIDEND - RS 10.50\/- PER SHARE (PURPOSE REVISED)","yPC":"5.59","mPC":"-3.47"</v>
      </c>
      <c r="C48" s="17" t="s">
        <v>45</v>
      </c>
      <c r="D48" s="18" t="str">
        <f t="shared" si="14"/>
        <v>957.95</v>
      </c>
      <c r="E48" s="18" t="str">
        <f t="shared" si="14"/>
        <v>966.10</v>
      </c>
      <c r="F48" s="18" t="str">
        <f t="shared" si="14"/>
        <v>951.80</v>
      </c>
      <c r="G48" s="18" t="str">
        <f t="shared" si="14"/>
        <v>952.70</v>
      </c>
      <c r="H48" s="19" t="str">
        <f t="shared" si="1"/>
        <v xml:space="preserve">   </v>
      </c>
      <c r="I48" s="20" t="str">
        <f t="shared" si="3"/>
        <v xml:space="preserve">   </v>
      </c>
      <c r="J48" s="21" t="str">
        <f t="shared" si="4"/>
        <v xml:space="preserve">   </v>
      </c>
      <c r="K48" s="22" t="str">
        <f t="shared" si="10"/>
        <v xml:space="preserve">   </v>
      </c>
      <c r="L48" s="18"/>
      <c r="M48" s="11"/>
    </row>
    <row r="49" spans="2:13" x14ac:dyDescent="0.25">
      <c r="B49" t="str">
        <f t="shared" si="2"/>
        <v>"SBIN","open":"205.95","high":"208.30","low":"196.60","ltP":"198.60","ptsC":"-6.35","per":"-3.10","trdVol":"418.68","trdVolM":"41.87","ntP":"849.25","mVal":"8.49","wkhi":"291.80","wklo":"148.25","wkhicm_adj":"326.95","wklocm_adj":"145.51","xDt":"31-DEC-2999","cAct":"-","yPC":"-28.61","mPC":"6.77"</v>
      </c>
      <c r="C49" s="17" t="s">
        <v>46</v>
      </c>
      <c r="D49" s="18" t="str">
        <f t="shared" si="14"/>
        <v>205.95</v>
      </c>
      <c r="E49" s="18" t="str">
        <f t="shared" si="14"/>
        <v>208.30</v>
      </c>
      <c r="F49" s="18" t="str">
        <f t="shared" si="14"/>
        <v>196.60</v>
      </c>
      <c r="G49" s="18" t="str">
        <f t="shared" si="14"/>
        <v>198.60</v>
      </c>
      <c r="H49" s="19" t="str">
        <f t="shared" si="1"/>
        <v xml:space="preserve">   </v>
      </c>
      <c r="I49" s="20" t="str">
        <f t="shared" si="3"/>
        <v xml:space="preserve">   </v>
      </c>
      <c r="J49" s="21" t="str">
        <f t="shared" si="4"/>
        <v xml:space="preserve">   </v>
      </c>
      <c r="K49" s="22" t="str">
        <f t="shared" si="10"/>
        <v xml:space="preserve">   </v>
      </c>
      <c r="L49" s="18"/>
      <c r="M49" s="11"/>
    </row>
    <row r="50" spans="2:13" x14ac:dyDescent="0.25">
      <c r="B50" t="str">
        <f t="shared" si="2"/>
        <v>"SUNPHARMA","open":"767.05","high":"771.40","low":"752.45","ltP":"755.10","ptsC":"-7.65","per":"-1.00","trdVol":"49.22","trdVolM":"4.92","ntP":"374.38","mVal":"3.74","wkhi":"966.00","wklo":"704.00","wkhicm_adj":"932.50","wklocm_adj":"552.55","xDt":"31-DEC-2999","cAct":"-","yPC":"-13.96","mPC":"-6.98"</v>
      </c>
      <c r="C50" s="17" t="s">
        <v>47</v>
      </c>
      <c r="D50" s="18" t="str">
        <f t="shared" si="14"/>
        <v>767.05</v>
      </c>
      <c r="E50" s="18" t="str">
        <f t="shared" si="14"/>
        <v>771.40</v>
      </c>
      <c r="F50" s="18" t="str">
        <f t="shared" si="14"/>
        <v>752.45</v>
      </c>
      <c r="G50" s="18" t="str">
        <f t="shared" si="14"/>
        <v>755.10</v>
      </c>
      <c r="H50" s="19" t="str">
        <f t="shared" si="1"/>
        <v xml:space="preserve">   </v>
      </c>
      <c r="I50" s="20" t="str">
        <f t="shared" si="3"/>
        <v xml:space="preserve">   </v>
      </c>
      <c r="J50" s="21" t="str">
        <f t="shared" si="4"/>
        <v xml:space="preserve">   </v>
      </c>
      <c r="K50" s="22" t="str">
        <f t="shared" si="10"/>
        <v xml:space="preserve">   </v>
      </c>
      <c r="L50" s="18"/>
      <c r="M50" s="11"/>
    </row>
    <row r="51" spans="2:13" x14ac:dyDescent="0.25">
      <c r="B51" t="str">
        <f t="shared" si="2"/>
        <v>"TATAMOTORS","open":"455.75","high":"458.30","low":"445.00","ltP":"446.80","ptsC":"-12.85","per":"-2.80","trdVol":"103.89","trdVolM":"10.39","ntP":"470.32","mVal":"4.70","wkhi":"482.90","wklo":"265.80","wkhicm_adj":"550.70","wklocm_adj":"332.10","xDt":"31-DEC-2999","cAct":"-","yPC":"-5.35","mPC":"9.59"</v>
      </c>
      <c r="C51" s="17" t="s">
        <v>48</v>
      </c>
      <c r="D51" s="18" t="str">
        <f t="shared" si="14"/>
        <v>455.75</v>
      </c>
      <c r="E51" s="18" t="str">
        <f t="shared" si="14"/>
        <v>458.30</v>
      </c>
      <c r="F51" s="18" t="str">
        <f t="shared" si="14"/>
        <v>445.00</v>
      </c>
      <c r="G51" s="18" t="str">
        <f t="shared" si="14"/>
        <v>446.80</v>
      </c>
      <c r="H51" s="19" t="str">
        <f t="shared" si="1"/>
        <v xml:space="preserve">   </v>
      </c>
      <c r="I51" s="20" t="str">
        <f t="shared" si="3"/>
        <v xml:space="preserve">   </v>
      </c>
      <c r="J51" s="21" t="str">
        <f t="shared" si="4"/>
        <v xml:space="preserve">   </v>
      </c>
      <c r="K51" s="22" t="str">
        <f t="shared" si="10"/>
        <v xml:space="preserve">   </v>
      </c>
      <c r="L51" s="18"/>
      <c r="M51" s="11"/>
    </row>
    <row r="52" spans="2:13" x14ac:dyDescent="0.25">
      <c r="B52" t="str">
        <f t="shared" si="2"/>
        <v>"TATAMTRDVR","open":"318.00","high":"318.00","low":"308.00","ltP":"308.15","ptsC":"-6.35","per":"-2.02","trdVol":"23.69","trdVolM":"2.37","ntP":"73.83","mVal":"0.74","wkhi":"318.00","wklo":"200.20","wkhicm_adj":"391.35","wklocm_adj":"168.25","xDt":"31-DEC-2999","cAct":"-","yPC":"6.02","mPC":"4.33"</v>
      </c>
      <c r="C52" s="17" t="s">
        <v>64</v>
      </c>
      <c r="D52" s="18" t="str">
        <f t="shared" si="14"/>
        <v>318.00</v>
      </c>
      <c r="E52" s="18" t="str">
        <f t="shared" si="14"/>
        <v>318.00</v>
      </c>
      <c r="F52" s="18" t="str">
        <f t="shared" si="14"/>
        <v>308.00</v>
      </c>
      <c r="G52" s="18" t="str">
        <f t="shared" si="14"/>
        <v>308.15</v>
      </c>
      <c r="H52" s="19" t="str">
        <f t="shared" si="1"/>
        <v xml:space="preserve">SHORT </v>
      </c>
      <c r="I52" s="20">
        <f t="shared" ref="I52" si="18">IF(AND(E52=0,F52=0,D52=0),"  ",IF(D52=F52,ROUND(((SQRT(F52) +0.0833) ^2),0),IF(E52=D52,ROUND(((SQRT(E52) -0.0833) ^2),0),IF(E52&lt;&gt;F52&lt;&gt;D52,"   "))))</f>
        <v>315</v>
      </c>
      <c r="J52" s="21">
        <f t="shared" ref="J52" si="19">IF(AND(E52=0, F52=0, D52=0),"  ",IF(E52= D52,D52+0.005*D52,IF(F52= D52,D52-0.005*D52,IF(E52&lt;&gt; F52&lt;&gt; D52,"   "))))</f>
        <v>319.58999999999997</v>
      </c>
      <c r="K52" s="22">
        <f t="shared" ref="K52" si="20">IF(AND(E52=0, F52=0, D52=0),"  ",IF(E52= D52,(I52-G52)/I52,IF(F52= D52,(G52-I52)/I52,IF(E52&lt;&gt; F52&lt;&gt; D52,"   "))))</f>
        <v>2.1746031746031819E-2</v>
      </c>
      <c r="L52" s="18"/>
      <c r="M52" s="11"/>
    </row>
    <row r="53" spans="2:13" x14ac:dyDescent="0.25">
      <c r="B53" t="str">
        <f t="shared" si="2"/>
        <v>"TATAPOWER","open":"74.95","high":"74.95","low":"72.45","ltP":"72.85","ptsC":"-0.90","per":"-1.22","trdVol":"40.52","trdVolM":"4.05","ntP":"29.80","mVal":"0.30","wkhi":"76.85","wklo":"55.00","wkhicm_adj":"115.60","wklocm_adj":"68.65","xDt":"31-DEC-2999","cAct":"-","yPC":"-4.27","mPC":"3.85"</v>
      </c>
      <c r="C53" s="17" t="s">
        <v>49</v>
      </c>
      <c r="D53" s="18" t="str">
        <f t="shared" ref="D53:G60" si="21">MID($B53,FIND(D$9,$B53)+LEN(D$9)+3,FIND(CHAR(34),$B53,FIND(D$9,$B53)+LEN(D$9)+3)-(FIND(D$9,$B53)+LEN(D$9)+3))</f>
        <v>74.95</v>
      </c>
      <c r="E53" s="18" t="str">
        <f t="shared" si="21"/>
        <v>74.95</v>
      </c>
      <c r="F53" s="18" t="str">
        <f t="shared" si="21"/>
        <v>72.45</v>
      </c>
      <c r="G53" s="18" t="str">
        <f t="shared" si="21"/>
        <v>72.85</v>
      </c>
      <c r="H53" s="19" t="str">
        <f t="shared" si="1"/>
        <v xml:space="preserve">SHORT </v>
      </c>
      <c r="I53" s="20">
        <f t="shared" si="3"/>
        <v>74</v>
      </c>
      <c r="J53" s="21">
        <f t="shared" si="4"/>
        <v>75.324750000000009</v>
      </c>
      <c r="K53" s="22">
        <f t="shared" si="10"/>
        <v>1.5540540540540618E-2</v>
      </c>
      <c r="L53" s="18"/>
      <c r="M53" s="11"/>
    </row>
    <row r="54" spans="2:13" x14ac:dyDescent="0.25">
      <c r="B54" t="str">
        <f t="shared" si="2"/>
        <v>"TATASTEEL","open":"335.90","high":"339.60","low":"329.40","ltP":"332.30","ptsC":"-2.05","per":"-0.61","trdVol":"64.83","trdVolM":"6.48","ntP":"217.31","mVal":"2.17","wkhi":"364.05","wklo":"199.70","wkhicm_adj":"579.90","wklocm_adj":"332.00","xDt":"31-DEC-2999","cAct":"-","yPC":"0.80","mPC":"-4.22"</v>
      </c>
      <c r="C54" s="17" t="s">
        <v>50</v>
      </c>
      <c r="D54" s="18" t="str">
        <f t="shared" si="21"/>
        <v>335.90</v>
      </c>
      <c r="E54" s="18" t="str">
        <f t="shared" si="21"/>
        <v>339.60</v>
      </c>
      <c r="F54" s="18" t="str">
        <f t="shared" si="21"/>
        <v>329.40</v>
      </c>
      <c r="G54" s="18" t="str">
        <f t="shared" si="21"/>
        <v>332.30</v>
      </c>
      <c r="H54" s="19" t="str">
        <f t="shared" si="1"/>
        <v xml:space="preserve">   </v>
      </c>
      <c r="I54" s="20" t="str">
        <f t="shared" si="3"/>
        <v xml:space="preserve">   </v>
      </c>
      <c r="J54" s="21" t="str">
        <f t="shared" si="4"/>
        <v xml:space="preserve">   </v>
      </c>
      <c r="K54" s="22" t="str">
        <f t="shared" si="10"/>
        <v xml:space="preserve">   </v>
      </c>
      <c r="L54" s="18"/>
      <c r="M54" s="11"/>
    </row>
    <row r="55" spans="2:13" x14ac:dyDescent="0.25">
      <c r="B55" t="str">
        <f t="shared" si="2"/>
        <v>"TCS","open":"2,571.20","high":"2,645.00","low":"2,571.00","ltP":"2,633.90","ptsC":"64.50","per":"2.51","trdVol":"9.56","trdVolM":"0.96","ntP":"250.95","mVal":"2.51","wkhi":"2,770.00","wklo":"2,115.00","wkhicm_adj":"2,839.70","wklocm_adj":"1,970.00","xDt":"31-DEC-2999","cAct":"-","yPC":"0.62","mPC":"4.24"</v>
      </c>
      <c r="C55" s="17" t="s">
        <v>51</v>
      </c>
      <c r="D55" s="18" t="str">
        <f t="shared" si="21"/>
        <v>2,571.20</v>
      </c>
      <c r="E55" s="18" t="str">
        <f t="shared" si="21"/>
        <v>2,645.00</v>
      </c>
      <c r="F55" s="18" t="str">
        <f t="shared" si="21"/>
        <v>2,571.00</v>
      </c>
      <c r="G55" s="18" t="str">
        <f t="shared" si="21"/>
        <v>2,633.90</v>
      </c>
      <c r="H55" s="19" t="str">
        <f t="shared" si="1"/>
        <v xml:space="preserve">   </v>
      </c>
      <c r="I55" s="20" t="str">
        <f t="shared" si="3"/>
        <v xml:space="preserve">   </v>
      </c>
      <c r="J55" s="21" t="str">
        <f t="shared" si="4"/>
        <v xml:space="preserve">   </v>
      </c>
      <c r="K55" s="22" t="str">
        <f t="shared" si="10"/>
        <v xml:space="preserve">   </v>
      </c>
      <c r="L55" s="18"/>
      <c r="M55" s="11"/>
    </row>
    <row r="56" spans="2:13" x14ac:dyDescent="0.25">
      <c r="B56" t="str">
        <f t="shared" si="2"/>
        <v>"TECHM","open":"541.00","high":"543.20","low":"537.30","ltP":"539.25","ptsC":"-1.10","per":"-0.20","trdVol":"10.94","trdVolM":"1.09","ntP":"59.04","mVal":"0.59","wkhi":"582.00","wklo":"407.40","wkhicm_adj":"2,734.00","wklocm_adj":"1,662.00","xDt":"31-DEC-2999","cAct":"-","yPC":"-2.06","mPC":"13.00"</v>
      </c>
      <c r="C56" s="17" t="s">
        <v>52</v>
      </c>
      <c r="D56" s="18" t="str">
        <f t="shared" si="21"/>
        <v>541.00</v>
      </c>
      <c r="E56" s="18" t="str">
        <f t="shared" si="21"/>
        <v>543.20</v>
      </c>
      <c r="F56" s="18" t="str">
        <f t="shared" si="21"/>
        <v>537.30</v>
      </c>
      <c r="G56" s="18" t="str">
        <f t="shared" si="21"/>
        <v>539.25</v>
      </c>
      <c r="H56" s="19" t="str">
        <f t="shared" si="1"/>
        <v xml:space="preserve">   </v>
      </c>
      <c r="I56" s="20" t="str">
        <f t="shared" si="3"/>
        <v xml:space="preserve">   </v>
      </c>
      <c r="J56" s="21" t="str">
        <f t="shared" si="4"/>
        <v xml:space="preserve">   </v>
      </c>
      <c r="K56" s="22" t="str">
        <f t="shared" si="10"/>
        <v xml:space="preserve">   </v>
      </c>
      <c r="L56" s="18"/>
      <c r="M56" s="11"/>
    </row>
    <row r="57" spans="2:13" x14ac:dyDescent="0.25">
      <c r="B57" t="str">
        <f t="shared" si="2"/>
        <v>"ULTRACEMCO","open":"3,226.70","high":"3,259.75","low":"3,207.85","ltP":"3,235.00","ptsC":"8.30","per":"0.26","trdVol":"1.24","trdVolM":"0.12","ntP":"40.11","mVal":"0.40","wkhi":"3,454.90","wklo":"2,579.00","wkhicm_adj":"2,872.00","wklocm_adj":"1,634.00","xDt":"31-DEC-2999","cAct":"-","yPC":"7.64","mPC":"1.85"</v>
      </c>
      <c r="C57" s="17" t="s">
        <v>53</v>
      </c>
      <c r="D57" s="18" t="str">
        <f t="shared" si="21"/>
        <v>3,226.70</v>
      </c>
      <c r="E57" s="18" t="str">
        <f t="shared" si="21"/>
        <v>3,259.75</v>
      </c>
      <c r="F57" s="18" t="str">
        <f t="shared" si="21"/>
        <v>3,207.85</v>
      </c>
      <c r="G57" s="18" t="str">
        <f t="shared" si="21"/>
        <v>3,235.00</v>
      </c>
      <c r="H57" s="19" t="str">
        <f t="shared" si="1"/>
        <v xml:space="preserve">   </v>
      </c>
      <c r="I57" s="20" t="str">
        <f t="shared" si="3"/>
        <v xml:space="preserve">   </v>
      </c>
      <c r="J57" s="21" t="str">
        <f t="shared" si="4"/>
        <v xml:space="preserve">   </v>
      </c>
      <c r="K57" s="22" t="str">
        <f t="shared" si="10"/>
        <v xml:space="preserve">   </v>
      </c>
      <c r="L57" s="18"/>
      <c r="M57" s="11"/>
    </row>
    <row r="58" spans="2:13" x14ac:dyDescent="0.25">
      <c r="B58" t="str">
        <f t="shared" si="2"/>
        <v>"WIPRO","open":"545.60","high":"555.80","low":"545.60","ltP":"554.60","ptsC":"9.15","per":"1.68","trdVol":"10.22","trdVolM":"1.02","ntP":"56.48","mVal":"0.56","wkhi":"613.30","wklo":"507.90","wkhicm_adj":"621.90","wklocm_adj":"466.65","xDt":"05-MAY-2016","cAct":"BUYBACK OF SHARES","yPC":"-1.59","mPC":"1.11"</v>
      </c>
      <c r="C58" s="17" t="s">
        <v>55</v>
      </c>
      <c r="D58" s="18" t="str">
        <f t="shared" si="21"/>
        <v>545.60</v>
      </c>
      <c r="E58" s="18" t="str">
        <f t="shared" si="21"/>
        <v>555.80</v>
      </c>
      <c r="F58" s="18" t="str">
        <f t="shared" si="21"/>
        <v>545.60</v>
      </c>
      <c r="G58" s="18" t="str">
        <f t="shared" si="21"/>
        <v>554.60</v>
      </c>
      <c r="H58" s="19" t="str">
        <f t="shared" si="1"/>
        <v xml:space="preserve">LONG </v>
      </c>
      <c r="I58" s="20">
        <f t="shared" si="3"/>
        <v>549</v>
      </c>
      <c r="J58" s="21">
        <f t="shared" si="4"/>
        <v>542.87200000000007</v>
      </c>
      <c r="K58" s="22">
        <f t="shared" si="10"/>
        <v>1.0200364298724996E-2</v>
      </c>
      <c r="L58" s="18"/>
      <c r="M58" s="11"/>
    </row>
    <row r="59" spans="2:13" x14ac:dyDescent="0.25">
      <c r="B59" t="str">
        <f t="shared" si="2"/>
        <v>"YESBANK","open":"1,031.50","high":"1,033.90","low":"1,005.55","ltP":"1,023.00","ptsC":"-10.00","per":"-0.97","trdVol":"24.43","trdVolM":"2.44","ntP":"248.96","mVal":"2.49","wkhi":"1,046.00","wklo":"595.00","wkhicm_adj":"719.90","wklocm_adj":"291.40","xDt":"30-MAY-2016","cAct":"ANNUAL GENERAL MEETING\/ DIVIDEND - RS 10\/- PER SHARE","yPC":"16.31","mPC":"8.26"</v>
      </c>
      <c r="C59" s="17" t="s">
        <v>56</v>
      </c>
      <c r="D59" s="18" t="str">
        <f t="shared" si="21"/>
        <v>1,031.50</v>
      </c>
      <c r="E59" s="18" t="str">
        <f t="shared" si="21"/>
        <v>1,033.90</v>
      </c>
      <c r="F59" s="18" t="str">
        <f t="shared" si="21"/>
        <v>1,005.55</v>
      </c>
      <c r="G59" s="18" t="str">
        <f t="shared" si="21"/>
        <v>1,023.00</v>
      </c>
      <c r="H59" s="19" t="str">
        <f t="shared" si="1"/>
        <v xml:space="preserve">   </v>
      </c>
      <c r="I59" s="20" t="str">
        <f t="shared" si="3"/>
        <v xml:space="preserve">   </v>
      </c>
      <c r="J59" s="21" t="str">
        <f t="shared" si="4"/>
        <v xml:space="preserve">   </v>
      </c>
      <c r="K59" s="22" t="str">
        <f t="shared" si="10"/>
        <v xml:space="preserve">   </v>
      </c>
      <c r="L59" s="18"/>
      <c r="M59" s="11"/>
    </row>
    <row r="60" spans="2:13" x14ac:dyDescent="0.25">
      <c r="B60" t="str">
        <f t="shared" si="2"/>
        <v>"ZEEL","open":"445.70","high":"452.50","low":"442.35","ltP":"449.65","ptsC":"6.30","per":"1.42","trdVol":"8.72","trdVolM":"0.87","ntP":"39.10","mVal":"0.39","wkhi":"458.95","wklo":"318.00","wkhicm_adj":"402.40","wklocm_adj":"251.80","xDt":"31-DEC-2999","cAct":"-","yPC":"40.41","mPC":"7.99"</v>
      </c>
      <c r="C60" s="17" t="s">
        <v>57</v>
      </c>
      <c r="D60" s="18" t="str">
        <f t="shared" si="21"/>
        <v>445.70</v>
      </c>
      <c r="E60" s="18" t="str">
        <f t="shared" si="21"/>
        <v>452.50</v>
      </c>
      <c r="F60" s="18" t="str">
        <f t="shared" si="21"/>
        <v>442.35</v>
      </c>
      <c r="G60" s="18" t="str">
        <f t="shared" si="21"/>
        <v>449.65</v>
      </c>
      <c r="H60" s="19" t="str">
        <f t="shared" si="1"/>
        <v xml:space="preserve">   </v>
      </c>
      <c r="I60" s="20" t="str">
        <f t="shared" si="3"/>
        <v xml:space="preserve">   </v>
      </c>
      <c r="J60" s="21" t="str">
        <f t="shared" si="4"/>
        <v xml:space="preserve">   </v>
      </c>
      <c r="K60" s="22" t="str">
        <f t="shared" si="10"/>
        <v xml:space="preserve">   </v>
      </c>
      <c r="L60" s="18"/>
      <c r="M60" s="11"/>
    </row>
    <row r="61" spans="2:13" x14ac:dyDescent="0.25">
      <c r="M61" s="11"/>
    </row>
    <row r="64" spans="2:13" x14ac:dyDescent="0.25">
      <c r="C64" s="13" t="s">
        <v>65</v>
      </c>
    </row>
    <row r="65" spans="2:12" x14ac:dyDescent="0.25">
      <c r="B65" t="s">
        <v>0</v>
      </c>
      <c r="C65" s="4" t="s">
        <v>1</v>
      </c>
      <c r="D65" s="4" t="s">
        <v>2</v>
      </c>
      <c r="E65" s="4" t="s">
        <v>3</v>
      </c>
      <c r="F65" s="4" t="s">
        <v>4</v>
      </c>
      <c r="G65" s="4" t="s">
        <v>5</v>
      </c>
      <c r="H65" s="4" t="s">
        <v>6</v>
      </c>
      <c r="I65" s="4" t="s">
        <v>7</v>
      </c>
      <c r="J65" s="4" t="s">
        <v>8</v>
      </c>
      <c r="K65" s="4" t="s">
        <v>58</v>
      </c>
      <c r="L65" s="4" t="s">
        <v>165</v>
      </c>
    </row>
    <row r="66" spans="2:12" x14ac:dyDescent="0.25">
      <c r="B66" t="str">
        <f>MID($O$500,FIND(C66,$O$500)-1,FIND("}",$O$500,FIND(C66,$O$500))-FIND(C66,$O$500)+1)</f>
        <v>"ABB","open":"1,240.00","high":"1,246.15","low":"1,218.95","ltP":"1,233.10","ptsC":"-3.90","per":"-0.32","trdVol":"0.43","trdVolM":"0.04","ntP":"5.25","mVal":"0.05","wkhi":"1,445.00","wklo":"955.20","wkhicm_adj":"1,263.50","wklocm_adj":"566.95","xDt":"13-APR-2016","cAct":"ANNUAL GENERAL MEETING\/DIVIDEND - RS 3.70 PER SHARE","yPC":"-7.41","mPC":"-2.79"</v>
      </c>
      <c r="C66" s="12" t="s">
        <v>67</v>
      </c>
      <c r="D66" s="5" t="str">
        <f t="shared" ref="D66:G85" si="22">MID($B66,FIND(D$9,$B66)+LEN(D$9)+3,FIND(CHAR(34),$B66,FIND(D$9,$B66)+LEN(D$9)+3)-(FIND(D$9,$B66)+LEN(D$9)+3))</f>
        <v>1,240.00</v>
      </c>
      <c r="E66" s="5" t="str">
        <f t="shared" si="22"/>
        <v>1,246.15</v>
      </c>
      <c r="F66" s="5" t="str">
        <f t="shared" si="22"/>
        <v>1,218.95</v>
      </c>
      <c r="G66" s="5" t="str">
        <f t="shared" si="22"/>
        <v>1,233.10</v>
      </c>
      <c r="H66" s="6" t="str">
        <f t="shared" ref="H66" si="23">IF(AND(E66=0, F66=0, D66=0),"  ",IF(E66= D66,"SHORT ",IF(F66= D66,"LONG ",IF(E66&lt;&gt; F66&lt;&gt; D66,"   "))))</f>
        <v xml:space="preserve">   </v>
      </c>
      <c r="I66" s="7" t="str">
        <f t="shared" ref="I66" si="24">IF(AND(E66=0,F66=0,D66=0),"  ",IF(D66=F66,ROUND(((SQRT(F66) +0.0833) ^2),0),IF(E66=D66,ROUND(((SQRT(E66) -0.0833) ^2),0),IF(E66&lt;&gt;F66&lt;&gt;D66,"   "))))</f>
        <v xml:space="preserve">   </v>
      </c>
      <c r="J66" s="8" t="str">
        <f t="shared" ref="J66" si="25">IF(AND(E66=0, F66=0, D66=0),"  ",IF(E66= D66,D66+0.005*D66,IF(F66= D66,D66-0.005*D66,IF(E66&lt;&gt; F66&lt;&gt; D66,"   "))))</f>
        <v xml:space="preserve">   </v>
      </c>
      <c r="K66" s="9" t="str">
        <f t="shared" ref="K66" si="26">IF(AND(E66=0, F66=0, D66=0),"  ",IF(E66= D66,(I66-G66)/I66,IF(F66= D66,(G66-I66)/I66,IF(E66&lt;&gt; F66&lt;&gt; D66,"   "))))</f>
        <v xml:space="preserve">   </v>
      </c>
      <c r="L66" s="5"/>
    </row>
    <row r="67" spans="2:12" x14ac:dyDescent="0.25">
      <c r="B67" t="str">
        <f t="shared" ref="B67:B115" si="27">MID($O$500,FIND(C67,$O$500)-1,FIND("}",$O$500,FIND(C67,$O$500))-FIND(C67,$O$500)+1)</f>
        <v>"APOLLOHOSP","open":"1,376.00","high":"1,418.00","low":"1,369.10","ltP":"1,416.00","ptsC":"46.90","per":"3.43","trdVol":"2.81","trdVolM":"0.28","ntP":"39.39","mVal":"0.39","wkhi":"1,544.90","wklo":"1,150.00","wkhicm_adj":"1,246.50","wklocm_adj":"815.35","xDt":"22-MAR-2016","cAct":"INTERIM DIVIDEND - RS 6\/- PER SHARE (PURPOSE REVISED)","yPC":"15.56","mPC":"8.38"</v>
      </c>
      <c r="C67" s="12" t="s">
        <v>68</v>
      </c>
      <c r="D67" s="5" t="str">
        <f t="shared" si="22"/>
        <v>1,376.00</v>
      </c>
      <c r="E67" s="5" t="str">
        <f t="shared" si="22"/>
        <v>1,418.00</v>
      </c>
      <c r="F67" s="5" t="str">
        <f t="shared" si="22"/>
        <v>1,369.10</v>
      </c>
      <c r="G67" s="5" t="str">
        <f t="shared" si="22"/>
        <v>1,416.00</v>
      </c>
      <c r="H67" s="6" t="str">
        <f t="shared" ref="H67:H115" si="28">IF(AND(E67=0, F67=0, D67=0),"  ",IF(E67= D67,"SHORT ",IF(F67= D67,"LONG ",IF(E67&lt;&gt; F67&lt;&gt; D67,"   "))))</f>
        <v xml:space="preserve">   </v>
      </c>
      <c r="I67" s="7" t="str">
        <f t="shared" ref="I67:I115" si="29">IF(AND(E67=0,F67=0,D67=0),"  ",IF(D67=F67,ROUND(((SQRT(F67) +0.0833) ^2),0),IF(E67=D67,ROUND(((SQRT(E67) -0.0833) ^2),0),IF(E67&lt;&gt;F67&lt;&gt;D67,"   "))))</f>
        <v xml:space="preserve">   </v>
      </c>
      <c r="J67" s="8" t="str">
        <f t="shared" ref="J67:J115" si="30">IF(AND(E67=0, F67=0, D67=0),"  ",IF(E67= D67,D67+0.005*D67,IF(F67= D67,D67-0.005*D67,IF(E67&lt;&gt; F67&lt;&gt; D67,"   "))))</f>
        <v xml:space="preserve">   </v>
      </c>
      <c r="K67" s="9" t="str">
        <f t="shared" ref="K67:K115" si="31">IF(AND(E67=0, F67=0, D67=0),"  ",IF(E67= D67,(I67-G67)/I67,IF(F67= D67,(G67-I67)/I67,IF(E67&lt;&gt; F67&lt;&gt; D67,"   "))))</f>
        <v xml:space="preserve">   </v>
      </c>
      <c r="L67" s="14"/>
    </row>
    <row r="68" spans="2:12" x14ac:dyDescent="0.25">
      <c r="B68" t="str">
        <f t="shared" si="27"/>
        <v>"ASHOKLEY","open":"110.00","high":"111.70","low":"103.85","ltP":"104.20","ptsC":"-4.75","per":"-4.36","trdVol":"292.31","trdVolM":"29.23","ntP":"315.40","mVal":"3.15","wkhi":"112.90","wklo":"64.00","wkhicm_adj":"56.20","wklocm_adj":"14.85","xDt":"31-DEC-2999","cAct":"-","yPC":"44.82","mPC":"-1.65"</v>
      </c>
      <c r="C68" s="12" t="s">
        <v>69</v>
      </c>
      <c r="D68" s="5" t="str">
        <f t="shared" si="22"/>
        <v>110.00</v>
      </c>
      <c r="E68" s="5" t="str">
        <f t="shared" si="22"/>
        <v>111.70</v>
      </c>
      <c r="F68" s="5" t="str">
        <f t="shared" si="22"/>
        <v>103.85</v>
      </c>
      <c r="G68" s="5" t="str">
        <f t="shared" si="22"/>
        <v>104.20</v>
      </c>
      <c r="H68" s="6" t="str">
        <f t="shared" si="28"/>
        <v xml:space="preserve">   </v>
      </c>
      <c r="I68" s="7" t="str">
        <f t="shared" si="29"/>
        <v xml:space="preserve">   </v>
      </c>
      <c r="J68" s="8" t="str">
        <f t="shared" si="30"/>
        <v xml:space="preserve">   </v>
      </c>
      <c r="K68" s="9" t="str">
        <f t="shared" si="31"/>
        <v xml:space="preserve">   </v>
      </c>
      <c r="L68" s="5"/>
    </row>
    <row r="69" spans="2:12" x14ac:dyDescent="0.25">
      <c r="B69" t="str">
        <f t="shared" si="27"/>
        <v>"BAJAJFINSV","open":"1,835.95","high":"1,839.00","low":"1,774.05","ltP":"1,774.05","ptsC":"-46.60","per":"-2.56","trdVol":"1.72","trdVolM":"0.17","ntP":"31.00","mVal":"0.31","wkhi":"2,160.00","wklo":"1,435.15","wkhicm_adj":"1,173.95","wklocm_adj":"658.35","xDt":"16-MAR-2016","cAct":"INTERIM DIVIDEND - RS 1.75\/- PER SHARE (PURPOSE REVISED)","yPC":"17.89","mPC":"-8.60"</v>
      </c>
      <c r="C69" s="12" t="s">
        <v>70</v>
      </c>
      <c r="D69" s="5" t="str">
        <f t="shared" si="22"/>
        <v>1,835.95</v>
      </c>
      <c r="E69" s="5" t="str">
        <f t="shared" si="22"/>
        <v>1,839.00</v>
      </c>
      <c r="F69" s="5" t="str">
        <f t="shared" si="22"/>
        <v>1,774.05</v>
      </c>
      <c r="G69" s="5" t="str">
        <f t="shared" si="22"/>
        <v>1,774.05</v>
      </c>
      <c r="H69" s="6" t="str">
        <f t="shared" si="28"/>
        <v xml:space="preserve">   </v>
      </c>
      <c r="I69" s="7" t="str">
        <f t="shared" si="29"/>
        <v xml:space="preserve">   </v>
      </c>
      <c r="J69" s="8" t="str">
        <f t="shared" si="30"/>
        <v xml:space="preserve">   </v>
      </c>
      <c r="K69" s="9" t="str">
        <f t="shared" si="31"/>
        <v xml:space="preserve">   </v>
      </c>
      <c r="L69" s="5"/>
    </row>
    <row r="70" spans="2:12" x14ac:dyDescent="0.25">
      <c r="B70" t="str">
        <f t="shared" si="27"/>
        <v>"BAJFINANCE","open":"7,528.00","high":"7,719.00","low":"7,480.00","ltP":"7,643.00","ptsC":"54.20","per":"0.71","trdVol":"1.00","trdVolM":"0.10","ntP":"75.97","mVal":"0.76","wkhi":"7,858.05","wklo":"4,170.00","wkhicm_adj":"3,385.00","wklocm_adj":"1,375.00","xDt":"16-MAR-2016","cAct":"INTERIM DIVIDEND - RS 18\/- PER SHARE (PURPOSE REVISED)","yPC":"74.50","mPC":"8.35"</v>
      </c>
      <c r="C70" s="12" t="s">
        <v>71</v>
      </c>
      <c r="D70" s="5" t="str">
        <f t="shared" si="22"/>
        <v>7,528.00</v>
      </c>
      <c r="E70" s="5" t="str">
        <f t="shared" si="22"/>
        <v>7,719.00</v>
      </c>
      <c r="F70" s="5" t="str">
        <f t="shared" si="22"/>
        <v>7,480.00</v>
      </c>
      <c r="G70" s="5" t="str">
        <f t="shared" si="22"/>
        <v>7,643.00</v>
      </c>
      <c r="H70" s="6" t="str">
        <f t="shared" si="28"/>
        <v xml:space="preserve">   </v>
      </c>
      <c r="I70" s="7" t="str">
        <f t="shared" si="29"/>
        <v xml:space="preserve">   </v>
      </c>
      <c r="J70" s="8" t="str">
        <f t="shared" si="30"/>
        <v xml:space="preserve">   </v>
      </c>
      <c r="K70" s="9" t="str">
        <f t="shared" si="31"/>
        <v xml:space="preserve">   </v>
      </c>
      <c r="L70" s="5"/>
    </row>
    <row r="71" spans="2:12" x14ac:dyDescent="0.25">
      <c r="B71" t="str">
        <f t="shared" si="27"/>
        <v>"BEL","open":"1,184.00","high":"1,200.00","low":"1,154.25","ltP":"1,156.35","ptsC":"-21.90","per":"-1.86","trdVol":"2.05","trdVolM":"0.21","ntP":"24.10","mVal":"0.24","wkhi":"1,416.85","wklo":"984.00","wkhicm_adj":"2,375.00","wklocm_adj":"893.00","xDt":"31-DEC-2999","cAct":"-","yPC":"-3.86","mPC":"-2.60"</v>
      </c>
      <c r="C71" s="12" t="s">
        <v>72</v>
      </c>
      <c r="D71" s="5" t="str">
        <f t="shared" si="22"/>
        <v>1,184.00</v>
      </c>
      <c r="E71" s="5" t="str">
        <f t="shared" si="22"/>
        <v>1,200.00</v>
      </c>
      <c r="F71" s="5" t="str">
        <f t="shared" si="22"/>
        <v>1,154.25</v>
      </c>
      <c r="G71" s="5" t="str">
        <f t="shared" si="22"/>
        <v>1,156.35</v>
      </c>
      <c r="H71" s="6" t="str">
        <f t="shared" si="28"/>
        <v xml:space="preserve">   </v>
      </c>
      <c r="I71" s="7" t="str">
        <f t="shared" si="29"/>
        <v xml:space="preserve">   </v>
      </c>
      <c r="J71" s="8" t="str">
        <f t="shared" si="30"/>
        <v xml:space="preserve">   </v>
      </c>
      <c r="K71" s="9" t="str">
        <f t="shared" si="31"/>
        <v xml:space="preserve">   </v>
      </c>
      <c r="L71" s="5"/>
    </row>
    <row r="72" spans="2:12" x14ac:dyDescent="0.25">
      <c r="B72" t="str">
        <f t="shared" si="27"/>
        <v>"BHARATFORG","open":"758.60","high":"767.50","low":"756.60","ltP":"761.00","ptsC":"5.60","per":"0.74","trdVol":"5.01","trdVolM":"0.50","ntP":"38.18","mVal":"0.38","wkhi":"1,293.00","wklo":"704.90","wkhicm_adj":"979.00","wklocm_adj":"291.10","xDt":"18-MAR-2016","cAct":"INTERIM DIVIDEND - RS 4\/- PER SHARE (PURPOSE REVISED)","yPC":"-37.32","mPC":"-5.93"</v>
      </c>
      <c r="C72" s="12" t="s">
        <v>73</v>
      </c>
      <c r="D72" s="5" t="str">
        <f t="shared" si="22"/>
        <v>758.60</v>
      </c>
      <c r="E72" s="5" t="str">
        <f t="shared" si="22"/>
        <v>767.50</v>
      </c>
      <c r="F72" s="5" t="str">
        <f t="shared" si="22"/>
        <v>756.60</v>
      </c>
      <c r="G72" s="5" t="str">
        <f t="shared" si="22"/>
        <v>761.00</v>
      </c>
      <c r="H72" s="6" t="str">
        <f t="shared" si="28"/>
        <v xml:space="preserve">   </v>
      </c>
      <c r="I72" s="7" t="str">
        <f t="shared" si="29"/>
        <v xml:space="preserve">   </v>
      </c>
      <c r="J72" s="8" t="str">
        <f t="shared" si="30"/>
        <v xml:space="preserve">   </v>
      </c>
      <c r="K72" s="9" t="str">
        <f t="shared" si="31"/>
        <v xml:space="preserve">   </v>
      </c>
      <c r="L72" s="5"/>
    </row>
    <row r="73" spans="2:12" x14ac:dyDescent="0.25">
      <c r="B73" t="str">
        <f t="shared" si="27"/>
        <v>"BRITANNIA","open":"2,740.00","high":"2,792.40","low":"2,725.20","ltP":"2,760.00","ptsC":"53.80","per":"1.99","trdVol":"4.81","trdVolM":"0.48","ntP":"133.30","mVal":"1.33","wkhi":"3,434.20","wklo":"2,424.00","wkhicm_adj":"1,729.80","wklocm_adj":"809.10","xDt":"31-DEC-2999","cAct":"-","yPC":"7.48","mPC":"-3.44"</v>
      </c>
      <c r="C73" s="12" t="s">
        <v>74</v>
      </c>
      <c r="D73" s="5" t="str">
        <f t="shared" si="22"/>
        <v>2,740.00</v>
      </c>
      <c r="E73" s="5" t="str">
        <f t="shared" si="22"/>
        <v>2,792.40</v>
      </c>
      <c r="F73" s="5" t="str">
        <f t="shared" si="22"/>
        <v>2,725.20</v>
      </c>
      <c r="G73" s="5" t="str">
        <f t="shared" si="22"/>
        <v>2,760.00</v>
      </c>
      <c r="H73" s="6" t="str">
        <f t="shared" si="28"/>
        <v xml:space="preserve">   </v>
      </c>
      <c r="I73" s="7" t="str">
        <f t="shared" si="29"/>
        <v xml:space="preserve">   </v>
      </c>
      <c r="J73" s="8" t="str">
        <f t="shared" si="30"/>
        <v xml:space="preserve">   </v>
      </c>
      <c r="K73" s="9" t="str">
        <f t="shared" si="31"/>
        <v xml:space="preserve">   </v>
      </c>
      <c r="L73" s="5"/>
    </row>
    <row r="74" spans="2:12" x14ac:dyDescent="0.25">
      <c r="B74" t="str">
        <f t="shared" si="27"/>
        <v>"CADILAHC","open":"338.60","high":"344.40","low":"331.75","ltP":"334.85","ptsC":"-1.55","per":"-0.46","trdVol":"6.73","trdVolM":"0.67","ntP":"22.76","mVal":"0.23","wkhi":"453.30","wklo":"295.00","wkhicm_adj":"1,760.15","wklocm_adj":"723.20","xDt":"17-MAR-2016","cAct":"INTERIM DIVIDEND - RS 3.20\/- PER SHARE","yPC":"-10.40","mPC":"3.16"</v>
      </c>
      <c r="C74" s="12" t="s">
        <v>75</v>
      </c>
      <c r="D74" s="5" t="str">
        <f t="shared" si="22"/>
        <v>338.60</v>
      </c>
      <c r="E74" s="5" t="str">
        <f t="shared" si="22"/>
        <v>344.40</v>
      </c>
      <c r="F74" s="5" t="str">
        <f t="shared" si="22"/>
        <v>331.75</v>
      </c>
      <c r="G74" s="5" t="str">
        <f t="shared" si="22"/>
        <v>334.85</v>
      </c>
      <c r="H74" s="6" t="str">
        <f t="shared" si="28"/>
        <v xml:space="preserve">   </v>
      </c>
      <c r="I74" s="7" t="str">
        <f t="shared" si="29"/>
        <v xml:space="preserve">   </v>
      </c>
      <c r="J74" s="8" t="str">
        <f t="shared" si="30"/>
        <v xml:space="preserve">   </v>
      </c>
      <c r="K74" s="9" t="str">
        <f t="shared" si="31"/>
        <v xml:space="preserve">   </v>
      </c>
      <c r="L74" s="5"/>
    </row>
    <row r="75" spans="2:12" x14ac:dyDescent="0.25">
      <c r="B75" t="str">
        <f t="shared" si="27"/>
        <v>"CAIRN","open":"145.00","high":"146.20","low":"142.85","ltP":"143.60","ptsC":"-1.55","per":"-1.07","trdVol":"13.61","trdVolM":"1.36","ntP":"19.68","mVal":"0.20","wkhi":"197.90","wklo":"106.50","wkhicm_adj":"386.00","wklocm_adj":"255.00","xDt":"31-DEC-2999","cAct":"-","yPC":"-26.28","mPC":"-4.58"</v>
      </c>
      <c r="C75" s="12" t="s">
        <v>19</v>
      </c>
      <c r="D75" s="5" t="str">
        <f t="shared" si="22"/>
        <v>145.00</v>
      </c>
      <c r="E75" s="5" t="str">
        <f t="shared" si="22"/>
        <v>146.20</v>
      </c>
      <c r="F75" s="5" t="str">
        <f t="shared" si="22"/>
        <v>142.85</v>
      </c>
      <c r="G75" s="5" t="str">
        <f t="shared" si="22"/>
        <v>143.60</v>
      </c>
      <c r="H75" s="6" t="str">
        <f t="shared" si="28"/>
        <v xml:space="preserve">   </v>
      </c>
      <c r="I75" s="7" t="str">
        <f t="shared" si="29"/>
        <v xml:space="preserve">   </v>
      </c>
      <c r="J75" s="8" t="str">
        <f t="shared" si="30"/>
        <v xml:space="preserve">   </v>
      </c>
      <c r="K75" s="9" t="str">
        <f t="shared" si="31"/>
        <v xml:space="preserve">   </v>
      </c>
      <c r="L75" s="5"/>
    </row>
    <row r="76" spans="2:12" x14ac:dyDescent="0.25">
      <c r="B76" t="str">
        <f t="shared" si="27"/>
        <v>"CASTROLIND","open":"375.15","high":"377.10","low":"371.65","ltP":"374.20","ptsC":"-0.75","per":"-0.20","trdVol":"6.70","trdVolM":"0.67","ntP":"25.04","mVal":"0.25","wkhi":"513.80","wklo":"360.85","wkhicm_adj":"523.50","wklocm_adj":"283.10","xDt":"27-APR-2016","cAct":"ANNUAL GENERAL MEETING\/ DIVIDEND - RS 5\/- PER SHARE","yPC":"-20.75","mPC":"-5.24"</v>
      </c>
      <c r="C76" s="12" t="s">
        <v>76</v>
      </c>
      <c r="D76" s="5" t="str">
        <f t="shared" si="22"/>
        <v>375.15</v>
      </c>
      <c r="E76" s="5" t="str">
        <f t="shared" si="22"/>
        <v>377.10</v>
      </c>
      <c r="F76" s="5" t="str">
        <f t="shared" si="22"/>
        <v>371.65</v>
      </c>
      <c r="G76" s="5" t="str">
        <f t="shared" si="22"/>
        <v>374.20</v>
      </c>
      <c r="H76" s="6" t="str">
        <f t="shared" si="28"/>
        <v xml:space="preserve">   </v>
      </c>
      <c r="I76" s="7" t="str">
        <f t="shared" si="29"/>
        <v xml:space="preserve">   </v>
      </c>
      <c r="J76" s="8" t="str">
        <f t="shared" si="30"/>
        <v xml:space="preserve">   </v>
      </c>
      <c r="K76" s="9" t="str">
        <f t="shared" si="31"/>
        <v xml:space="preserve">   </v>
      </c>
      <c r="L76" s="5"/>
    </row>
    <row r="77" spans="2:12" x14ac:dyDescent="0.25">
      <c r="B77" t="str">
        <f t="shared" si="27"/>
        <v>"COLPAL","open":"863.00","high":"865.00","low":"847.50","ltP":"848.00","ptsC":"-13.35","per":"-1.55","trdVol":"2.25","trdVolM":"0.22","ntP":"19.25","mVal":"0.19","wkhi":"1,050.00","wklo":"787.20","wkhicm_adj":"2,049.00","wklocm_adj":"1,235.20","xDt":"06-APR-2016","cAct":"INTERIM DIVIDEND - RS 3\/- PER SHARE (PURPOSE REVISED)","yPC":"-14.74","mPC":"-0.21"</v>
      </c>
      <c r="C77" s="12" t="s">
        <v>77</v>
      </c>
      <c r="D77" s="5" t="str">
        <f t="shared" si="22"/>
        <v>863.00</v>
      </c>
      <c r="E77" s="5" t="str">
        <f t="shared" si="22"/>
        <v>865.00</v>
      </c>
      <c r="F77" s="5" t="str">
        <f t="shared" si="22"/>
        <v>847.50</v>
      </c>
      <c r="G77" s="5" t="str">
        <f t="shared" si="22"/>
        <v>848.00</v>
      </c>
      <c r="H77" s="6" t="str">
        <f t="shared" si="28"/>
        <v xml:space="preserve">   </v>
      </c>
      <c r="I77" s="7" t="str">
        <f t="shared" si="29"/>
        <v xml:space="preserve">   </v>
      </c>
      <c r="J77" s="8" t="str">
        <f t="shared" si="30"/>
        <v xml:space="preserve">   </v>
      </c>
      <c r="K77" s="9" t="str">
        <f t="shared" si="31"/>
        <v xml:space="preserve">   </v>
      </c>
      <c r="L77" s="5"/>
    </row>
    <row r="78" spans="2:12" x14ac:dyDescent="0.25">
      <c r="B78" t="str">
        <f t="shared" si="27"/>
        <v>"CONCOR","open":"1,439.00","high":"1,443.00","low":"1,402.00","ltP":"1,409.45","ptsC":"-29.60","per":"-2.06","trdVol":"0.71","trdVolM":"0.07","ntP":"10.09","mVal":"0.10","wkhi":"1,947.70","wklo":"1,051.00","wkhicm_adj":"1,504.70","wklocm_adj":"697.55","xDt":"31-DEC-2999","cAct":"-","yPC":"-20.59","mPC":"2.90"</v>
      </c>
      <c r="C78" s="12" t="s">
        <v>78</v>
      </c>
      <c r="D78" s="5" t="str">
        <f t="shared" si="22"/>
        <v>1,439.00</v>
      </c>
      <c r="E78" s="5" t="str">
        <f t="shared" si="22"/>
        <v>1,443.00</v>
      </c>
      <c r="F78" s="5" t="str">
        <f t="shared" si="22"/>
        <v>1,402.00</v>
      </c>
      <c r="G78" s="5" t="str">
        <f t="shared" si="22"/>
        <v>1,409.45</v>
      </c>
      <c r="H78" s="6" t="str">
        <f t="shared" si="28"/>
        <v xml:space="preserve">   </v>
      </c>
      <c r="I78" s="7" t="str">
        <f t="shared" si="29"/>
        <v xml:space="preserve">   </v>
      </c>
      <c r="J78" s="8" t="str">
        <f t="shared" si="30"/>
        <v xml:space="preserve">   </v>
      </c>
      <c r="K78" s="9" t="str">
        <f t="shared" si="31"/>
        <v xml:space="preserve">   </v>
      </c>
      <c r="L78" s="5"/>
    </row>
    <row r="79" spans="2:12" x14ac:dyDescent="0.25">
      <c r="B79" t="str">
        <f t="shared" si="27"/>
        <v>"CUMMINSIND","open":"803.45","high":"807.00","low":"771.00","ltP":"777.00","ptsC":"-23.00","per":"-2.88","trdVol":"5.41","trdVolM":"0.54","ntP":"42.35","mVal":"0.42","wkhi":"1,247.65","wklo":"746.15","wkhicm_adj":"955.60","wklocm_adj":"417.70","xDt":"31-DEC-2999","cAct":"-","yPC":"-15.32","mPC":"-12.60"</v>
      </c>
      <c r="C79" s="12" t="s">
        <v>79</v>
      </c>
      <c r="D79" s="5" t="str">
        <f t="shared" si="22"/>
        <v>803.45</v>
      </c>
      <c r="E79" s="5" t="str">
        <f t="shared" si="22"/>
        <v>807.00</v>
      </c>
      <c r="F79" s="5" t="str">
        <f t="shared" si="22"/>
        <v>771.00</v>
      </c>
      <c r="G79" s="5" t="str">
        <f t="shared" si="22"/>
        <v>777.00</v>
      </c>
      <c r="H79" s="6" t="str">
        <f t="shared" si="28"/>
        <v xml:space="preserve">   </v>
      </c>
      <c r="I79" s="7" t="str">
        <f t="shared" si="29"/>
        <v xml:space="preserve">   </v>
      </c>
      <c r="J79" s="8" t="str">
        <f t="shared" si="30"/>
        <v xml:space="preserve">   </v>
      </c>
      <c r="K79" s="9" t="str">
        <f t="shared" si="31"/>
        <v xml:space="preserve">   </v>
      </c>
      <c r="L79" s="5"/>
    </row>
    <row r="80" spans="2:12" x14ac:dyDescent="0.25">
      <c r="B80" t="str">
        <f t="shared" si="27"/>
        <v>"DABUR","open":"289.90","high":"293.00","low":"288.55","ltP":"289.65","ptsC":"-0.05","per":"-0.02","trdVol":"8.88","trdVolM":"0.89","ntP":"25.80","mVal":"0.26","wkhi":"316.40","wklo":"231.50","wkhicm_adj":"249.15","wklocm_adj":"159.50","xDt":"31-DEC-2999","cAct":"-","yPC":"6.22","mPC":"-2.19"</v>
      </c>
      <c r="C80" s="12" t="s">
        <v>80</v>
      </c>
      <c r="D80" s="5" t="str">
        <f t="shared" si="22"/>
        <v>289.90</v>
      </c>
      <c r="E80" s="5" t="str">
        <f t="shared" si="22"/>
        <v>293.00</v>
      </c>
      <c r="F80" s="5" t="str">
        <f t="shared" si="22"/>
        <v>288.55</v>
      </c>
      <c r="G80" s="5" t="str">
        <f t="shared" si="22"/>
        <v>289.65</v>
      </c>
      <c r="H80" s="6" t="str">
        <f t="shared" si="28"/>
        <v xml:space="preserve">   </v>
      </c>
      <c r="I80" s="7" t="str">
        <f t="shared" si="29"/>
        <v xml:space="preserve">   </v>
      </c>
      <c r="J80" s="8" t="str">
        <f t="shared" si="30"/>
        <v xml:space="preserve">   </v>
      </c>
      <c r="K80" s="9" t="str">
        <f t="shared" si="31"/>
        <v xml:space="preserve">   </v>
      </c>
      <c r="L80" s="5"/>
    </row>
    <row r="81" spans="2:12" x14ac:dyDescent="0.25">
      <c r="B81" t="str">
        <f t="shared" si="27"/>
        <v>"DIVISLAB","open":"1,092.00","high":"1,135.90","low":"1,092.00","ltP":"1,115.50","ptsC":"16.05","per":"1.46","trdVol":"5.06","trdVolM":"0.51","ntP":"56.83","mVal":"0.57","wkhi":"1,242.35","wklo":"863.90","wkhicm_adj":"1,888.05","wklocm_adj":"1,097.00","xDt":"17-MAR-2016","cAct":"INTERIM DIVIDEND - RS 10\/- PER SHARE (PURPOSE REVISED)","yPC":"-38.94","mPC":"5.65"</v>
      </c>
      <c r="C81" s="12" t="s">
        <v>81</v>
      </c>
      <c r="D81" s="5" t="str">
        <f t="shared" si="22"/>
        <v>1,092.00</v>
      </c>
      <c r="E81" s="5" t="str">
        <f t="shared" si="22"/>
        <v>1,135.90</v>
      </c>
      <c r="F81" s="5" t="str">
        <f t="shared" si="22"/>
        <v>1,092.00</v>
      </c>
      <c r="G81" s="5" t="str">
        <f t="shared" si="22"/>
        <v>1,115.50</v>
      </c>
      <c r="H81" s="6" t="str">
        <f t="shared" si="28"/>
        <v xml:space="preserve">LONG </v>
      </c>
      <c r="I81" s="7">
        <f t="shared" si="29"/>
        <v>1098</v>
      </c>
      <c r="J81" s="8">
        <f t="shared" si="30"/>
        <v>1086.54</v>
      </c>
      <c r="K81" s="9">
        <f t="shared" si="31"/>
        <v>1.5938069216757743E-2</v>
      </c>
      <c r="L81" s="5"/>
    </row>
    <row r="82" spans="2:12" x14ac:dyDescent="0.25">
      <c r="B82" t="str">
        <f t="shared" si="27"/>
        <v>"DLF","open":"129.50","high":"133.80","low":"128.10","ltP":"133.00","ptsC":"3.10","per":"2.39","trdVol":"146.92","trdVolM":"14.69","ntP":"192.80","mVal":"1.93","wkhi":"142.90","wklo":"72.35","wkhicm_adj":"242.95","wklocm_adj":"100.10","xDt":"28-MAR-2016","cAct":"INTERIM DIVIDEND - RS 2\/- PER SHARE (PURPOSE REVISED)","yPC":"12.57","mPC":"3.38"</v>
      </c>
      <c r="C82" s="12" t="s">
        <v>82</v>
      </c>
      <c r="D82" s="5" t="str">
        <f t="shared" si="22"/>
        <v>129.50</v>
      </c>
      <c r="E82" s="5" t="str">
        <f t="shared" si="22"/>
        <v>133.80</v>
      </c>
      <c r="F82" s="5" t="str">
        <f t="shared" si="22"/>
        <v>128.10</v>
      </c>
      <c r="G82" s="5" t="str">
        <f t="shared" si="22"/>
        <v>133.00</v>
      </c>
      <c r="H82" s="6" t="str">
        <f t="shared" si="28"/>
        <v xml:space="preserve">   </v>
      </c>
      <c r="I82" s="7" t="str">
        <f t="shared" si="29"/>
        <v xml:space="preserve">   </v>
      </c>
      <c r="J82" s="8" t="str">
        <f t="shared" si="30"/>
        <v xml:space="preserve">   </v>
      </c>
      <c r="K82" s="9" t="str">
        <f t="shared" si="31"/>
        <v xml:space="preserve">   </v>
      </c>
      <c r="L82" s="5"/>
    </row>
    <row r="83" spans="2:12" x14ac:dyDescent="0.25">
      <c r="B83" t="str">
        <f t="shared" si="27"/>
        <v>"EMAMILTD","open":"1,035.00","high":"1,042.80","low":"1,022.10","ltP":"1,033.50","ptsC":"9.50","per":"0.93","trdVol":"1.71","trdVolM":"0.17","ntP":"17.74","mVal":"0.18","wkhi":"1,365.00","wklo":"901.00","wkhicm_adj":"824.70","wklocm_adj":"420.00","xDt":"31-DEC-2999","cAct":"-","yPC":"-8.90","mPC":"5.47"</v>
      </c>
      <c r="C83" s="12" t="s">
        <v>83</v>
      </c>
      <c r="D83" s="5" t="str">
        <f t="shared" si="22"/>
        <v>1,035.00</v>
      </c>
      <c r="E83" s="5" t="str">
        <f t="shared" si="22"/>
        <v>1,042.80</v>
      </c>
      <c r="F83" s="5" t="str">
        <f t="shared" si="22"/>
        <v>1,022.10</v>
      </c>
      <c r="G83" s="5" t="str">
        <f t="shared" si="22"/>
        <v>1,033.50</v>
      </c>
      <c r="H83" s="6" t="str">
        <f t="shared" si="28"/>
        <v xml:space="preserve">   </v>
      </c>
      <c r="I83" s="7" t="str">
        <f t="shared" si="29"/>
        <v xml:space="preserve">   </v>
      </c>
      <c r="J83" s="8" t="str">
        <f t="shared" si="30"/>
        <v xml:space="preserve">   </v>
      </c>
      <c r="K83" s="9" t="str">
        <f t="shared" si="31"/>
        <v xml:space="preserve">   </v>
      </c>
      <c r="L83" s="5"/>
    </row>
    <row r="84" spans="2:12" x14ac:dyDescent="0.25">
      <c r="B84" t="str">
        <f t="shared" si="27"/>
        <v>"GLAXO","open":"3,554.00","high":"3,574.35","low":"3,525.00","ltP":"3,534.00","ptsC":"-20.45","per":"-0.58","trdVol":"0.03","trdVolM":"0.00","ntP":"1.10","mVal":"0.01","wkhi":"3,872.00","wklo":"3,032.05","wkhicm_adj":"3,054.50","wklocm_adj":"2,365.00","xDt":"31-DEC-2999","cAct":"-","yPC":"8.83","mPC":"-3.77"</v>
      </c>
      <c r="C84" s="12" t="s">
        <v>84</v>
      </c>
      <c r="D84" s="5" t="str">
        <f t="shared" si="22"/>
        <v>3,554.00</v>
      </c>
      <c r="E84" s="5" t="str">
        <f t="shared" si="22"/>
        <v>3,574.35</v>
      </c>
      <c r="F84" s="5" t="str">
        <f t="shared" si="22"/>
        <v>3,525.00</v>
      </c>
      <c r="G84" s="5" t="str">
        <f t="shared" si="22"/>
        <v>3,534.00</v>
      </c>
      <c r="H84" s="6" t="str">
        <f t="shared" si="28"/>
        <v xml:space="preserve">   </v>
      </c>
      <c r="I84" s="7" t="str">
        <f t="shared" si="29"/>
        <v xml:space="preserve">   </v>
      </c>
      <c r="J84" s="8" t="str">
        <f t="shared" si="30"/>
        <v xml:space="preserve">   </v>
      </c>
      <c r="K84" s="9" t="str">
        <f t="shared" si="31"/>
        <v xml:space="preserve">   </v>
      </c>
      <c r="L84" s="5"/>
    </row>
    <row r="85" spans="2:12" x14ac:dyDescent="0.25">
      <c r="B85" t="str">
        <f t="shared" si="27"/>
        <v>"GLENMARK","open":"854.00","high":"865.80","low":"842.00","ltP":"842.95","ptsC":"-8.20","per":"-0.96","trdVol":"5.31","trdVolM":"0.53","ntP":"45.49","mVal":"0.45","wkhi":"1,262.90","wklo":"671.10","wkhicm_adj":"841.00","wklocm_adj":"493.00","xDt":"31-DEC-2999","cAct":"-","yPC":"-2.67","mPC":"1.65"</v>
      </c>
      <c r="C85" s="12" t="s">
        <v>85</v>
      </c>
      <c r="D85" s="5" t="str">
        <f t="shared" si="22"/>
        <v>854.00</v>
      </c>
      <c r="E85" s="5" t="str">
        <f t="shared" si="22"/>
        <v>865.80</v>
      </c>
      <c r="F85" s="5" t="str">
        <f t="shared" si="22"/>
        <v>842.00</v>
      </c>
      <c r="G85" s="5" t="str">
        <f t="shared" si="22"/>
        <v>842.95</v>
      </c>
      <c r="H85" s="6" t="str">
        <f t="shared" si="28"/>
        <v xml:space="preserve">   </v>
      </c>
      <c r="I85" s="7" t="str">
        <f t="shared" si="29"/>
        <v xml:space="preserve">   </v>
      </c>
      <c r="J85" s="8" t="str">
        <f t="shared" si="30"/>
        <v xml:space="preserve">   </v>
      </c>
      <c r="K85" s="9" t="str">
        <f t="shared" si="31"/>
        <v xml:space="preserve">   </v>
      </c>
      <c r="L85" s="5"/>
    </row>
    <row r="86" spans="2:12" x14ac:dyDescent="0.25">
      <c r="B86" t="str">
        <f t="shared" si="27"/>
        <v>"GODREJCP","open":"1,475.00","high":"1,498.25","low":"1,462.90","ltP":"1,490.00","ptsC":"7.35","per":"0.50","trdVol":"1.64","trdVolM":"0.16","ntP":"24.33","mVal":"0.24","wkhi":"1,536.85","wklo":"1,050.05","wkhicm_adj":"1,119.00","wklocm_adj":"667.00","xDt":"10-MAY-2016","cAct":"INTERIM DIVIDEND - RS 2.75\/- PER SHARE (PURPOSE REVISED)","yPC":"36.28","mPC":"8.66"</v>
      </c>
      <c r="C86" s="12" t="s">
        <v>86</v>
      </c>
      <c r="D86" s="5" t="str">
        <f t="shared" ref="D86:G105" si="32">MID($B86,FIND(D$9,$B86)+LEN(D$9)+3,FIND(CHAR(34),$B86,FIND(D$9,$B86)+LEN(D$9)+3)-(FIND(D$9,$B86)+LEN(D$9)+3))</f>
        <v>1,475.00</v>
      </c>
      <c r="E86" s="5" t="str">
        <f t="shared" si="32"/>
        <v>1,498.25</v>
      </c>
      <c r="F86" s="5" t="str">
        <f t="shared" si="32"/>
        <v>1,462.90</v>
      </c>
      <c r="G86" s="5" t="str">
        <f t="shared" si="32"/>
        <v>1,490.00</v>
      </c>
      <c r="H86" s="6" t="str">
        <f t="shared" si="28"/>
        <v xml:space="preserve">   </v>
      </c>
      <c r="I86" s="7" t="str">
        <f t="shared" si="29"/>
        <v xml:space="preserve">   </v>
      </c>
      <c r="J86" s="8" t="str">
        <f t="shared" si="30"/>
        <v xml:space="preserve">   </v>
      </c>
      <c r="K86" s="9" t="str">
        <f t="shared" si="31"/>
        <v xml:space="preserve">   </v>
      </c>
      <c r="L86" s="5"/>
    </row>
    <row r="87" spans="2:12" x14ac:dyDescent="0.25">
      <c r="B87" t="str">
        <f t="shared" si="27"/>
        <v>"GSKCONS","open":"5,785.00","high":"5,837.00","low":"5,725.00","ltP":"5,740.00","ptsC":"-6.30","per":"-0.11","trdVol":"0.29","trdVolM":"0.03","ntP":"16.60","mVal":"0.17","wkhi":"6,800.00","wklo":"5,405.00","wkhicm_adj":"5,999.00","wklocm_adj":"4,011.00","xDt":"31-DEC-2999","cAct":"-","yPC":"-9.04","mPC":"-0.93"</v>
      </c>
      <c r="C87" s="12" t="s">
        <v>87</v>
      </c>
      <c r="D87" s="5" t="str">
        <f t="shared" si="32"/>
        <v>5,785.00</v>
      </c>
      <c r="E87" s="5" t="str">
        <f t="shared" si="32"/>
        <v>5,837.00</v>
      </c>
      <c r="F87" s="5" t="str">
        <f t="shared" si="32"/>
        <v>5,725.00</v>
      </c>
      <c r="G87" s="5" t="str">
        <f t="shared" si="32"/>
        <v>5,740.00</v>
      </c>
      <c r="H87" s="6" t="str">
        <f t="shared" si="28"/>
        <v xml:space="preserve">   </v>
      </c>
      <c r="I87" s="7" t="str">
        <f t="shared" si="29"/>
        <v xml:space="preserve">   </v>
      </c>
      <c r="J87" s="8" t="str">
        <f t="shared" si="30"/>
        <v xml:space="preserve">   </v>
      </c>
      <c r="K87" s="9" t="str">
        <f t="shared" si="31"/>
        <v xml:space="preserve">   </v>
      </c>
      <c r="L87" s="5"/>
    </row>
    <row r="88" spans="2:12" x14ac:dyDescent="0.25">
      <c r="B88" t="str">
        <f t="shared" si="27"/>
        <v>"HINDPETRO","open":"920.00","high":"922.00","low":"901.10","ltP":"905.00","ptsC":"-1.45","per":"-0.16","trdVol":"9.79","trdVolM":"0.98","ntP":"88.98","mVal":"0.89","wkhi":"990.95","wklo":"635.15","wkhicm_adj":"627.80","wklocm_adj":"205.05","xDt":"17-MAR-2016","cAct":"INTERIM DIVIDEND - RS 7\/- PER SHARE (PURPOSE REVISED)","yPC":"30.30","mPC":"7.58"</v>
      </c>
      <c r="C88" s="12" t="s">
        <v>66</v>
      </c>
      <c r="D88" s="5" t="str">
        <f t="shared" si="32"/>
        <v>920.00</v>
      </c>
      <c r="E88" s="5" t="str">
        <f t="shared" si="32"/>
        <v>922.00</v>
      </c>
      <c r="F88" s="5" t="str">
        <f t="shared" si="32"/>
        <v>901.10</v>
      </c>
      <c r="G88" s="5" t="str">
        <f t="shared" si="32"/>
        <v>905.00</v>
      </c>
      <c r="H88" s="6" t="str">
        <f t="shared" si="28"/>
        <v xml:space="preserve">   </v>
      </c>
      <c r="I88" s="7" t="str">
        <f t="shared" si="29"/>
        <v xml:space="preserve">   </v>
      </c>
      <c r="J88" s="8" t="str">
        <f t="shared" si="30"/>
        <v xml:space="preserve">   </v>
      </c>
      <c r="K88" s="9" t="str">
        <f t="shared" si="31"/>
        <v xml:space="preserve">   </v>
      </c>
      <c r="L88" s="5"/>
    </row>
    <row r="89" spans="2:12" x14ac:dyDescent="0.25">
      <c r="B89" t="str">
        <f t="shared" si="27"/>
        <v>"HINDZINC","open":"170.75","high":"172.75","low":"168.05","ltP":"168.40","ptsC":"-2.35","per":"-1.38","trdVol":"4.71","trdVolM":"0.47","ntP":"8.02","mVal":"0.08","wkhi":"196.80","wklo":"117.05","wkhicm_adj":"184.00","wklocm_adj":"114.80","xDt":"31-DEC-2999","cAct":"-","yPC":"0.42","mPC":"-3.47"</v>
      </c>
      <c r="C89" s="12" t="s">
        <v>88</v>
      </c>
      <c r="D89" s="5" t="str">
        <f t="shared" si="32"/>
        <v>170.75</v>
      </c>
      <c r="E89" s="5" t="str">
        <f t="shared" si="32"/>
        <v>172.75</v>
      </c>
      <c r="F89" s="5" t="str">
        <f t="shared" si="32"/>
        <v>168.05</v>
      </c>
      <c r="G89" s="5" t="str">
        <f t="shared" si="32"/>
        <v>168.40</v>
      </c>
      <c r="H89" s="6" t="str">
        <f t="shared" si="28"/>
        <v xml:space="preserve">   </v>
      </c>
      <c r="I89" s="7" t="str">
        <f t="shared" si="29"/>
        <v xml:space="preserve">   </v>
      </c>
      <c r="J89" s="8" t="str">
        <f t="shared" si="30"/>
        <v xml:space="preserve">   </v>
      </c>
      <c r="K89" s="9" t="str">
        <f t="shared" si="31"/>
        <v xml:space="preserve">   </v>
      </c>
      <c r="L89" s="5"/>
    </row>
    <row r="90" spans="2:12" x14ac:dyDescent="0.25">
      <c r="B90" t="str">
        <f t="shared" si="27"/>
        <v>"IBULHSGFIN","open":"718.50","high":"734.50","low":"718.45","ltP":"726.00","ptsC":"7.55","per":"1.05","trdVol":"5.94","trdVolM":"0.59","ntP":"43.17","mVal":"0.43","wkhi":"820.85","wklo":"541.50","wkhicm_adj":"484.95","wklocm_adj":"187.05","xDt":"18-MAR-2016","cAct":"INTERIM DIVIDEND - RS 9\/- PER SHARE","yPC":"19.19","mPC":"4.68"</v>
      </c>
      <c r="C90" s="12" t="s">
        <v>89</v>
      </c>
      <c r="D90" s="5" t="str">
        <f t="shared" si="32"/>
        <v>718.50</v>
      </c>
      <c r="E90" s="5" t="str">
        <f t="shared" si="32"/>
        <v>734.50</v>
      </c>
      <c r="F90" s="5" t="str">
        <f t="shared" si="32"/>
        <v>718.45</v>
      </c>
      <c r="G90" s="5" t="str">
        <f t="shared" si="32"/>
        <v>726.00</v>
      </c>
      <c r="H90" s="6" t="str">
        <f t="shared" si="28"/>
        <v xml:space="preserve">   </v>
      </c>
      <c r="I90" s="7" t="str">
        <f t="shared" si="29"/>
        <v xml:space="preserve">   </v>
      </c>
      <c r="J90" s="8" t="str">
        <f t="shared" si="30"/>
        <v xml:space="preserve">   </v>
      </c>
      <c r="K90" s="9" t="str">
        <f t="shared" si="31"/>
        <v xml:space="preserve">   </v>
      </c>
      <c r="L90" s="5"/>
    </row>
    <row r="91" spans="2:12" x14ac:dyDescent="0.25">
      <c r="B91" t="str">
        <f t="shared" si="27"/>
        <v>"IOC","open":"418.00","high":"424.80","low":"417.20","ltP":"420.55","ptsC":"4.45","per":"1.07","trdVol":"30.54","trdVolM":"3.05","ntP":"128.75","mVal":"1.29","wkhi":"465.90","wklo":"336.20","wkhicm_adj":"411.20","wklocm_adj":"193.75","xDt":"31-DEC-2999","cAct":"-","yPC":"18.55","mPC":"-1.34"</v>
      </c>
      <c r="C91" s="12" t="s">
        <v>90</v>
      </c>
      <c r="D91" s="5" t="str">
        <f t="shared" si="32"/>
        <v>418.00</v>
      </c>
      <c r="E91" s="5" t="str">
        <f t="shared" si="32"/>
        <v>424.80</v>
      </c>
      <c r="F91" s="5" t="str">
        <f t="shared" si="32"/>
        <v>417.20</v>
      </c>
      <c r="G91" s="5" t="str">
        <f t="shared" si="32"/>
        <v>420.55</v>
      </c>
      <c r="H91" s="6" t="str">
        <f t="shared" si="28"/>
        <v xml:space="preserve">   </v>
      </c>
      <c r="I91" s="7" t="str">
        <f t="shared" si="29"/>
        <v xml:space="preserve">   </v>
      </c>
      <c r="J91" s="8" t="str">
        <f t="shared" si="30"/>
        <v xml:space="preserve">   </v>
      </c>
      <c r="K91" s="9" t="str">
        <f t="shared" si="31"/>
        <v xml:space="preserve">   </v>
      </c>
      <c r="L91" s="5"/>
    </row>
    <row r="92" spans="2:12" x14ac:dyDescent="0.25">
      <c r="B92" t="str">
        <f t="shared" si="27"/>
        <v>"JSWSTEEL","open":"1,396.00","high":"1,405.00","low":"1,370.40","ltP":"1,370.40","ptsC":"-18.75","per":"-1.35","trdVol":"6.47","trdVolM":"0.65","ntP":"89.88","mVal":"0.90","wkhi":"1,405.00","wklo":"800.00","wkhicm_adj":"1,366.50","wklocm_adj":"804.00","xDt":"31-DEC-2999","cAct":"-","yPC":"50.72","mPC":"0.41"</v>
      </c>
      <c r="C92" s="12" t="s">
        <v>91</v>
      </c>
      <c r="D92" s="5" t="str">
        <f t="shared" si="32"/>
        <v>1,396.00</v>
      </c>
      <c r="E92" s="5" t="str">
        <f t="shared" si="32"/>
        <v>1,405.00</v>
      </c>
      <c r="F92" s="5" t="str">
        <f t="shared" si="32"/>
        <v>1,370.40</v>
      </c>
      <c r="G92" s="5" t="str">
        <f t="shared" si="32"/>
        <v>1,370.40</v>
      </c>
      <c r="H92" s="6" t="str">
        <f t="shared" si="28"/>
        <v xml:space="preserve">   </v>
      </c>
      <c r="I92" s="7" t="str">
        <f t="shared" si="29"/>
        <v xml:space="preserve">   </v>
      </c>
      <c r="J92" s="8" t="str">
        <f t="shared" si="30"/>
        <v xml:space="preserve">   </v>
      </c>
      <c r="K92" s="9" t="str">
        <f t="shared" si="31"/>
        <v xml:space="preserve">   </v>
      </c>
      <c r="L92" s="5"/>
    </row>
    <row r="93" spans="2:12" x14ac:dyDescent="0.25">
      <c r="B93" t="str">
        <f t="shared" si="27"/>
        <v>"LICHSGFIN","open":"470.30","high":"470.50","low":"463.25","ltP":"468.75","ptsC":"-2.00","per":"-0.42","trdVol":"12.12","trdVolM":"1.21","ntP":"56.60","mVal":"0.57","wkhi":"523.95","wklo":"388.65","wkhicm_adj":"429.50","wklocm_adj":"187.05","xDt":"31-DEC-2999","cAct":"-","yPC":"11.13","mPC":"1.82"</v>
      </c>
      <c r="C93" s="12" t="s">
        <v>92</v>
      </c>
      <c r="D93" s="5" t="str">
        <f t="shared" si="32"/>
        <v>470.30</v>
      </c>
      <c r="E93" s="5" t="str">
        <f t="shared" si="32"/>
        <v>470.50</v>
      </c>
      <c r="F93" s="5" t="str">
        <f t="shared" si="32"/>
        <v>463.25</v>
      </c>
      <c r="G93" s="5" t="str">
        <f t="shared" si="32"/>
        <v>468.75</v>
      </c>
      <c r="H93" s="6" t="str">
        <f t="shared" si="28"/>
        <v xml:space="preserve">   </v>
      </c>
      <c r="I93" s="7" t="str">
        <f t="shared" si="29"/>
        <v xml:space="preserve">   </v>
      </c>
      <c r="J93" s="8" t="str">
        <f t="shared" si="30"/>
        <v xml:space="preserve">   </v>
      </c>
      <c r="K93" s="9" t="str">
        <f t="shared" si="31"/>
        <v xml:space="preserve">   </v>
      </c>
      <c r="L93" s="5"/>
    </row>
    <row r="94" spans="2:12" x14ac:dyDescent="0.25">
      <c r="B94" t="str">
        <f t="shared" si="27"/>
        <v>"MARICO","open":"250.10","high":"253.00","low":"249.40","ltP":"252.90","ptsC":"3.70","per":"1.48","trdVol":"5.10","trdVolM":"0.51","ntP":"12.82","mVal":"0.13","wkhi":"269.25","wklo":"189.30","wkhicm_adj":"350.20","wklocm_adj":"200.05","xDt":"17-MAR-2016","cAct":"INTERIM DIVIDEND - RE 1\/- PER SHARE (PURPOSE REVISED)","yPC":"-43.20","mPC":"-5.42"</v>
      </c>
      <c r="C94" s="12" t="s">
        <v>93</v>
      </c>
      <c r="D94" s="5" t="str">
        <f t="shared" si="32"/>
        <v>250.10</v>
      </c>
      <c r="E94" s="5" t="str">
        <f t="shared" si="32"/>
        <v>253.00</v>
      </c>
      <c r="F94" s="5" t="str">
        <f t="shared" si="32"/>
        <v>249.40</v>
      </c>
      <c r="G94" s="5" t="str">
        <f t="shared" si="32"/>
        <v>252.90</v>
      </c>
      <c r="H94" s="6" t="str">
        <f t="shared" si="28"/>
        <v xml:space="preserve">   </v>
      </c>
      <c r="I94" s="7" t="str">
        <f t="shared" si="29"/>
        <v xml:space="preserve">   </v>
      </c>
      <c r="J94" s="8" t="str">
        <f t="shared" si="30"/>
        <v xml:space="preserve">   </v>
      </c>
      <c r="K94" s="9" t="str">
        <f t="shared" si="31"/>
        <v xml:space="preserve">   </v>
      </c>
      <c r="L94" s="5"/>
    </row>
    <row r="95" spans="2:12" x14ac:dyDescent="0.25">
      <c r="B95" t="str">
        <f t="shared" si="27"/>
        <v>"MCDOWELL-N","open":"2,470.00","high":"2,490.00","low":"2,455.00","ltP":"2,457.10","ptsC":"-13.00","per":"-0.53","trdVol":"1.23","trdVolM":"0.12","ntP":"30.40","mVal":"0.30","wkhi":"3,837.90","wklo":"2,225.45","wkhicm_adj":"2,940.80","wklocm_adj":"2,225.00","xDt":"31-DEC-2999","cAct":"-","yPC":"-31.35","mPC":"4.13"</v>
      </c>
      <c r="C95" s="12" t="s">
        <v>94</v>
      </c>
      <c r="D95" s="5" t="str">
        <f t="shared" si="32"/>
        <v>2,470.00</v>
      </c>
      <c r="E95" s="5" t="str">
        <f t="shared" si="32"/>
        <v>2,490.00</v>
      </c>
      <c r="F95" s="5" t="str">
        <f t="shared" si="32"/>
        <v>2,455.00</v>
      </c>
      <c r="G95" s="5" t="str">
        <f t="shared" si="32"/>
        <v>2,457.10</v>
      </c>
      <c r="H95" s="6" t="str">
        <f t="shared" si="28"/>
        <v xml:space="preserve">   </v>
      </c>
      <c r="I95" s="7" t="str">
        <f t="shared" si="29"/>
        <v xml:space="preserve">   </v>
      </c>
      <c r="J95" s="8" t="str">
        <f t="shared" si="30"/>
        <v xml:space="preserve">   </v>
      </c>
      <c r="K95" s="9" t="str">
        <f t="shared" si="31"/>
        <v xml:space="preserve">   </v>
      </c>
      <c r="L95" s="5"/>
    </row>
    <row r="96" spans="2:12" x14ac:dyDescent="0.25">
      <c r="B96" t="str">
        <f t="shared" si="27"/>
        <v>"MOTHERSUMI","open":"285.00","high":"299.80","low":"282.85","ltP":"290.75","ptsC":"6.00","per":"2.11","trdVol":"61.63","trdVolM":"6.16","ntP":"181.92","mVal":"1.82","wkhi":"396.00","wklo":"205.90","wkhicm_adj":"450.70","wklocm_adj":"178.25","xDt":"22-MAR-2016","cAct":"INTERIM DIVIDEND - RS 2.50\/- PER SHARE (PURPOSE REVISED)","yPC":"-38.71","mPC":"11.68"</v>
      </c>
      <c r="C96" s="12" t="s">
        <v>95</v>
      </c>
      <c r="D96" s="5" t="str">
        <f t="shared" si="32"/>
        <v>285.00</v>
      </c>
      <c r="E96" s="5" t="str">
        <f t="shared" si="32"/>
        <v>299.80</v>
      </c>
      <c r="F96" s="5" t="str">
        <f t="shared" si="32"/>
        <v>282.85</v>
      </c>
      <c r="G96" s="5" t="str">
        <f t="shared" si="32"/>
        <v>290.75</v>
      </c>
      <c r="H96" s="6" t="str">
        <f t="shared" si="28"/>
        <v xml:space="preserve">   </v>
      </c>
      <c r="I96" s="7" t="str">
        <f t="shared" si="29"/>
        <v xml:space="preserve">   </v>
      </c>
      <c r="J96" s="8" t="str">
        <f t="shared" si="30"/>
        <v xml:space="preserve">   </v>
      </c>
      <c r="K96" s="9" t="str">
        <f t="shared" si="31"/>
        <v xml:space="preserve">   </v>
      </c>
      <c r="L96" s="5"/>
    </row>
    <row r="97" spans="2:12" x14ac:dyDescent="0.25">
      <c r="B97" t="str">
        <f t="shared" si="27"/>
        <v>"NHPC","open":"23.10","high":"24.15","low":"22.95","ltP":"24.00","ptsC":"0.70","per":"3.00","trdVol":"132.77","trdVolM":"13.28","ntP":"31.47","mVal":"0.31","wkhi":"24.45","wklo":"15.55","wkhicm_adj":"29.60","wklocm_adj":"17.35","xDt":"31-DEC-2999","cAct":"-","yPC":"20.00","mPC":"14.01"</v>
      </c>
      <c r="C97" s="12" t="s">
        <v>96</v>
      </c>
      <c r="D97" s="5" t="str">
        <f t="shared" si="32"/>
        <v>23.10</v>
      </c>
      <c r="E97" s="5" t="str">
        <f t="shared" si="32"/>
        <v>24.15</v>
      </c>
      <c r="F97" s="5" t="str">
        <f t="shared" si="32"/>
        <v>22.95</v>
      </c>
      <c r="G97" s="5" t="str">
        <f t="shared" si="32"/>
        <v>24.00</v>
      </c>
      <c r="H97" s="6" t="str">
        <f t="shared" si="28"/>
        <v xml:space="preserve">   </v>
      </c>
      <c r="I97" s="7" t="str">
        <f t="shared" si="29"/>
        <v xml:space="preserve">   </v>
      </c>
      <c r="J97" s="8" t="str">
        <f t="shared" si="30"/>
        <v xml:space="preserve">   </v>
      </c>
      <c r="K97" s="9" t="str">
        <f t="shared" si="31"/>
        <v xml:space="preserve">   </v>
      </c>
      <c r="L97" s="5"/>
    </row>
    <row r="98" spans="2:12" x14ac:dyDescent="0.25">
      <c r="B98" t="str">
        <f t="shared" si="27"/>
        <v>"NMDC","open":"88.70","high":"88.80","low":"86.15","ltP":"86.40","ptsC":"-1.85","per":"-2.10","trdVol":"23.14","trdVolM":"2.31","ntP":"20.24","mVal":"0.20","wkhi":"129.70","wklo":"75.15","wkhicm_adj":"196.00","wklocm_adj":"123.10","xDt":"30-MAR-2016","cAct":"INTERIM DIVIDEND - RS 1.50\/- PER SHARE (PURPOSE REVISED)","yPC":"-32.87","mPC":"-11.43"</v>
      </c>
      <c r="C98" s="12" t="s">
        <v>59</v>
      </c>
      <c r="D98" s="5" t="str">
        <f t="shared" si="32"/>
        <v>88.70</v>
      </c>
      <c r="E98" s="5" t="str">
        <f t="shared" si="32"/>
        <v>88.80</v>
      </c>
      <c r="F98" s="5" t="str">
        <f t="shared" si="32"/>
        <v>86.15</v>
      </c>
      <c r="G98" s="5" t="str">
        <f t="shared" si="32"/>
        <v>86.40</v>
      </c>
      <c r="H98" s="6" t="str">
        <f t="shared" si="28"/>
        <v xml:space="preserve">   </v>
      </c>
      <c r="I98" s="7" t="str">
        <f t="shared" si="29"/>
        <v xml:space="preserve">   </v>
      </c>
      <c r="J98" s="8" t="str">
        <f t="shared" si="30"/>
        <v xml:space="preserve">   </v>
      </c>
      <c r="K98" s="9" t="str">
        <f t="shared" si="31"/>
        <v xml:space="preserve">   </v>
      </c>
      <c r="L98" s="5"/>
    </row>
    <row r="99" spans="2:12" x14ac:dyDescent="0.25">
      <c r="B99" t="str">
        <f t="shared" si="27"/>
        <v>"OFSS","open":"3,470.10","high":"3,503.00","low":"3,452.00","ltP":"3,498.80","ptsC":"32.75","per":"0.94","trdVol":"0.35","trdVolM":"0.04","ntP":"12.24","mVal":"0.12","wkhi":"4,444.00","wklo":"3,100.00","wkhicm_adj":"4,180.00","wklocm_adj":"2,770.00","xDt":"31-DEC-2999","cAct":"-","yPC":"-2.63","mPC":"-3.75"</v>
      </c>
      <c r="C99" s="12" t="s">
        <v>97</v>
      </c>
      <c r="D99" s="5" t="str">
        <f t="shared" si="32"/>
        <v>3,470.10</v>
      </c>
      <c r="E99" s="5" t="str">
        <f t="shared" si="32"/>
        <v>3,503.00</v>
      </c>
      <c r="F99" s="5" t="str">
        <f t="shared" si="32"/>
        <v>3,452.00</v>
      </c>
      <c r="G99" s="5" t="str">
        <f t="shared" si="32"/>
        <v>3,498.80</v>
      </c>
      <c r="H99" s="6" t="str">
        <f t="shared" si="28"/>
        <v xml:space="preserve">   </v>
      </c>
      <c r="I99" s="7" t="str">
        <f t="shared" si="29"/>
        <v xml:space="preserve">   </v>
      </c>
      <c r="J99" s="8" t="str">
        <f t="shared" si="30"/>
        <v xml:space="preserve">   </v>
      </c>
      <c r="K99" s="9" t="str">
        <f t="shared" si="31"/>
        <v xml:space="preserve">   </v>
      </c>
      <c r="L99" s="5"/>
    </row>
    <row r="100" spans="2:12" x14ac:dyDescent="0.25">
      <c r="B100" t="str">
        <f t="shared" si="27"/>
        <v>"OIL","open":"350.00","high":"354.70","low":"346.55","ltP":"350.65","ptsC":"0.65","per":"0.19","trdVol":"3.00","trdVolM":"0.30","ntP":"10.50","mVal":"0.11","wkhi":"487.55","wklo":"300.35","wkhicm_adj":"669.95","wklocm_adj":"438.00","xDt":"31-DEC-2999","cAct":"-","yPC":"-27.41","mPC":"4.58"</v>
      </c>
      <c r="C100" s="12" t="s">
        <v>98</v>
      </c>
      <c r="D100" s="5" t="str">
        <f t="shared" si="32"/>
        <v>350.00</v>
      </c>
      <c r="E100" s="5" t="str">
        <f t="shared" si="32"/>
        <v>354.70</v>
      </c>
      <c r="F100" s="5" t="str">
        <f t="shared" si="32"/>
        <v>346.55</v>
      </c>
      <c r="G100" s="5" t="str">
        <f t="shared" si="32"/>
        <v>350.65</v>
      </c>
      <c r="H100" s="6" t="str">
        <f t="shared" si="28"/>
        <v xml:space="preserve">   </v>
      </c>
      <c r="I100" s="7" t="str">
        <f t="shared" si="29"/>
        <v xml:space="preserve">   </v>
      </c>
      <c r="J100" s="8" t="str">
        <f t="shared" si="30"/>
        <v xml:space="preserve">   </v>
      </c>
      <c r="K100" s="9" t="str">
        <f t="shared" si="31"/>
        <v xml:space="preserve">   </v>
      </c>
      <c r="L100" s="5"/>
    </row>
    <row r="101" spans="2:12" x14ac:dyDescent="0.25">
      <c r="B101" t="str">
        <f t="shared" si="27"/>
        <v>"PFC","open":"164.40","high":"167.10","low":"163.80","ltP":"164.20","ptsC":"0.50","per":"0.31","trdVol":"24.09","trdVolM":"2.41","ntP":"39.81","mVal":"0.40","wkhi":"281.50","wklo":"140.25","wkhicm_adj":"344.75","wklocm_adj":"128.75","xDt":"31-DEC-2999","cAct":"-","yPC":"-39.20","mPC":"-7.75"</v>
      </c>
      <c r="C101" s="12" t="s">
        <v>99</v>
      </c>
      <c r="D101" s="5" t="str">
        <f t="shared" si="32"/>
        <v>164.40</v>
      </c>
      <c r="E101" s="5" t="str">
        <f t="shared" si="32"/>
        <v>167.10</v>
      </c>
      <c r="F101" s="5" t="str">
        <f t="shared" si="32"/>
        <v>163.80</v>
      </c>
      <c r="G101" s="5" t="str">
        <f t="shared" si="32"/>
        <v>164.20</v>
      </c>
      <c r="H101" s="6" t="str">
        <f t="shared" si="28"/>
        <v xml:space="preserve">   </v>
      </c>
      <c r="I101" s="7" t="str">
        <f t="shared" si="29"/>
        <v xml:space="preserve">   </v>
      </c>
      <c r="J101" s="8" t="str">
        <f t="shared" si="30"/>
        <v xml:space="preserve">   </v>
      </c>
      <c r="K101" s="9" t="str">
        <f t="shared" si="31"/>
        <v xml:space="preserve">   </v>
      </c>
      <c r="L101" s="5"/>
    </row>
    <row r="102" spans="2:12" x14ac:dyDescent="0.25">
      <c r="B102" t="str">
        <f t="shared" si="27"/>
        <v>"PGHH","open":"6,236.00","high":"6,240.00","low":"6,210.60","ltP":"6,215.00","ptsC":"20.25","per":"0.33","trdVol":"0.01","trdVolM":"0.00","ntP":"0.61","mVal":"0.01","wkhi":"6,995.00","wklo":"5,178.65","wkhicm_adj":"5,949.00","wklocm_adj":"2,752.00","xDt":"31-DEC-2999","cAct":"-","yPC":"-3.36","mPC":"-3.52"</v>
      </c>
      <c r="C102" s="12" t="s">
        <v>100</v>
      </c>
      <c r="D102" s="5" t="str">
        <f t="shared" si="32"/>
        <v>6,236.00</v>
      </c>
      <c r="E102" s="5" t="str">
        <f t="shared" si="32"/>
        <v>6,240.00</v>
      </c>
      <c r="F102" s="5" t="str">
        <f t="shared" si="32"/>
        <v>6,210.60</v>
      </c>
      <c r="G102" s="5" t="str">
        <f t="shared" si="32"/>
        <v>6,215.00</v>
      </c>
      <c r="H102" s="6" t="str">
        <f t="shared" si="28"/>
        <v xml:space="preserve">   </v>
      </c>
      <c r="I102" s="7" t="str">
        <f t="shared" si="29"/>
        <v xml:space="preserve">   </v>
      </c>
      <c r="J102" s="8" t="str">
        <f t="shared" si="30"/>
        <v xml:space="preserve">   </v>
      </c>
      <c r="K102" s="9" t="str">
        <f t="shared" si="31"/>
        <v xml:space="preserve">   </v>
      </c>
      <c r="L102" s="5"/>
    </row>
    <row r="103" spans="2:12" x14ac:dyDescent="0.25">
      <c r="B103" t="str">
        <f t="shared" si="27"/>
        <v>"PIDILITIND","open":"714.00","high":"722.90","low":"707.20","ltP":"719.00","ptsC":"12.75","per":"1.81","trdVol":"8.69","trdVolM":"0.87","ntP":"62.09","mVal":"0.62","wkhi":"722.90","wklo":"507.30","wkhicm_adj":"505.90","wklocm_adj":"269.60","xDt":"18-MAR-2016","cAct":"INTERIM DIVIDEND - RS 3.65\/- PER SHARE (PURPOSE REVISED)","yPC":"29.78","mPC":"19.06"</v>
      </c>
      <c r="C103" s="12" t="s">
        <v>101</v>
      </c>
      <c r="D103" s="5" t="str">
        <f t="shared" si="32"/>
        <v>714.00</v>
      </c>
      <c r="E103" s="5" t="str">
        <f t="shared" si="32"/>
        <v>722.90</v>
      </c>
      <c r="F103" s="5" t="str">
        <f t="shared" si="32"/>
        <v>707.20</v>
      </c>
      <c r="G103" s="5" t="str">
        <f t="shared" si="32"/>
        <v>719.00</v>
      </c>
      <c r="H103" s="6" t="str">
        <f t="shared" si="28"/>
        <v xml:space="preserve">   </v>
      </c>
      <c r="I103" s="7" t="str">
        <f t="shared" si="29"/>
        <v xml:space="preserve">   </v>
      </c>
      <c r="J103" s="8" t="str">
        <f t="shared" si="30"/>
        <v xml:space="preserve">   </v>
      </c>
      <c r="K103" s="9" t="str">
        <f t="shared" si="31"/>
        <v xml:space="preserve">   </v>
      </c>
      <c r="L103" s="5"/>
    </row>
    <row r="104" spans="2:12" x14ac:dyDescent="0.25">
      <c r="B104" t="str">
        <f t="shared" si="27"/>
        <v>"PNB","open":"79.00","high":"79.75","low":"76.25","ltP":"76.80","ptsC":"-2.20","per":"-2.78","trdVol":"89.93","trdVolM":"8.99","ntP":"70.48","mVal":"0.70","wkhi":"180.55","wklo":"69.25","wkhicm_adj":"1,096.50","wklocm_adj":"509.15","xDt":"31-DEC-2999","cAct":"-","yPC":"-50.08","mPC":"-8.73"</v>
      </c>
      <c r="C104" s="12" t="s">
        <v>43</v>
      </c>
      <c r="D104" s="5" t="str">
        <f t="shared" si="32"/>
        <v>79.00</v>
      </c>
      <c r="E104" s="5" t="str">
        <f t="shared" si="32"/>
        <v>79.75</v>
      </c>
      <c r="F104" s="5" t="str">
        <f t="shared" si="32"/>
        <v>76.25</v>
      </c>
      <c r="G104" s="5" t="str">
        <f t="shared" si="32"/>
        <v>76.80</v>
      </c>
      <c r="H104" s="6" t="str">
        <f t="shared" si="28"/>
        <v xml:space="preserve">   </v>
      </c>
      <c r="I104" s="7" t="str">
        <f t="shared" si="29"/>
        <v xml:space="preserve">   </v>
      </c>
      <c r="J104" s="8" t="str">
        <f t="shared" si="30"/>
        <v xml:space="preserve">   </v>
      </c>
      <c r="K104" s="9" t="str">
        <f t="shared" si="31"/>
        <v xml:space="preserve">   </v>
      </c>
      <c r="L104" s="5"/>
    </row>
    <row r="105" spans="2:12" x14ac:dyDescent="0.25">
      <c r="B105" t="str">
        <f t="shared" si="27"/>
        <v>"RCOM","open":"47.70","high":"50.35","low":"47.30","ltP":"49.20","ptsC":"2.25","per":"4.79","trdVol":"451.10","trdVolM":"45.11","ntP":"222.17","mVal":"2.22","wkhi":"91.75","wklo":"45.50","wkhicm_adj":"157.25","wklocm_adj":"93.05","xDt":"31-DEC-2999","cAct":"-","yPC":"-25.28","mPC":"-13.00"</v>
      </c>
      <c r="C105" s="12" t="s">
        <v>102</v>
      </c>
      <c r="D105" s="5" t="str">
        <f t="shared" si="32"/>
        <v>47.70</v>
      </c>
      <c r="E105" s="5" t="str">
        <f t="shared" si="32"/>
        <v>50.35</v>
      </c>
      <c r="F105" s="5" t="str">
        <f t="shared" si="32"/>
        <v>47.30</v>
      </c>
      <c r="G105" s="5" t="str">
        <f t="shared" si="32"/>
        <v>49.20</v>
      </c>
      <c r="H105" s="6" t="str">
        <f t="shared" si="28"/>
        <v xml:space="preserve">   </v>
      </c>
      <c r="I105" s="7" t="str">
        <f t="shared" si="29"/>
        <v xml:space="preserve">   </v>
      </c>
      <c r="J105" s="8" t="str">
        <f t="shared" si="30"/>
        <v xml:space="preserve">   </v>
      </c>
      <c r="K105" s="9" t="str">
        <f t="shared" si="31"/>
        <v xml:space="preserve">   </v>
      </c>
      <c r="L105" s="5"/>
    </row>
    <row r="106" spans="2:12" x14ac:dyDescent="0.25">
      <c r="B106" t="str">
        <f t="shared" si="27"/>
        <v>"RECLTD","open":"162.10","high":"168.00","low":"162.10","ltP":"164.75","ptsC":"4.65","per":"2.90","trdVol":"83.79","trdVolM":"8.38","ntP":"138.68","mVal":"1.39","wkhi":"301.20","wklo":"152.25","wkhicm_adj":"383.40","wklocm_adj":"166.50","xDt":"31-DEC-2999","cAct":"-","yPC":"-44.60","mPC":"-7.65"</v>
      </c>
      <c r="C106" s="12" t="s">
        <v>103</v>
      </c>
      <c r="D106" s="5" t="str">
        <f t="shared" ref="D106:G115" si="33">MID($B106,FIND(D$9,$B106)+LEN(D$9)+3,FIND(CHAR(34),$B106,FIND(D$9,$B106)+LEN(D$9)+3)-(FIND(D$9,$B106)+LEN(D$9)+3))</f>
        <v>162.10</v>
      </c>
      <c r="E106" s="5" t="str">
        <f t="shared" si="33"/>
        <v>168.00</v>
      </c>
      <c r="F106" s="5" t="str">
        <f t="shared" si="33"/>
        <v>162.10</v>
      </c>
      <c r="G106" s="5" t="str">
        <f t="shared" si="33"/>
        <v>164.75</v>
      </c>
      <c r="H106" s="6" t="str">
        <f t="shared" si="28"/>
        <v xml:space="preserve">LONG </v>
      </c>
      <c r="I106" s="7">
        <f t="shared" si="29"/>
        <v>164</v>
      </c>
      <c r="J106" s="8">
        <f t="shared" si="30"/>
        <v>161.2895</v>
      </c>
      <c r="K106" s="9">
        <f t="shared" si="31"/>
        <v>4.5731707317073168E-3</v>
      </c>
      <c r="L106" s="5"/>
    </row>
    <row r="107" spans="2:12" x14ac:dyDescent="0.25">
      <c r="B107" t="str">
        <f t="shared" si="27"/>
        <v>"SAIL","open":"42.80","high":"43.10","low":"41.50","ltP":"41.55","ptsC":"-1.25","per":"-2.92","trdVol":"38.05","trdVolM":"3.80","ntP":"16.12","mVal":"0.16","wkhi":"67.30","wklo":"33.50","wkhicm_adj":"112.95","wklocm_adj":"54.05","xDt":"31-DEC-2999","cAct":"-","yPC":"-37.33","mPC":"-12.06"</v>
      </c>
      <c r="C107" s="12" t="s">
        <v>104</v>
      </c>
      <c r="D107" s="5" t="str">
        <f t="shared" si="33"/>
        <v>42.80</v>
      </c>
      <c r="E107" s="5" t="str">
        <f t="shared" si="33"/>
        <v>43.10</v>
      </c>
      <c r="F107" s="5" t="str">
        <f t="shared" si="33"/>
        <v>41.50</v>
      </c>
      <c r="G107" s="5" t="str">
        <f t="shared" si="33"/>
        <v>41.55</v>
      </c>
      <c r="H107" s="6" t="str">
        <f t="shared" si="28"/>
        <v xml:space="preserve">   </v>
      </c>
      <c r="I107" s="7" t="str">
        <f t="shared" si="29"/>
        <v xml:space="preserve">   </v>
      </c>
      <c r="J107" s="8" t="str">
        <f t="shared" si="30"/>
        <v xml:space="preserve">   </v>
      </c>
      <c r="K107" s="9" t="str">
        <f t="shared" si="31"/>
        <v xml:space="preserve">   </v>
      </c>
      <c r="L107" s="5"/>
    </row>
    <row r="108" spans="2:12" x14ac:dyDescent="0.25">
      <c r="B108" t="str">
        <f t="shared" si="27"/>
        <v>"SHREECEM","open":"13,299.00","high":"13,435.00","low":"13,200.05","ltP":"13,350.00","ptsC":"220.05","per":"1.68","trdVol":"0.06","trdVolM":"0.01","ntP":"8.26","mVal":"0.08","wkhi":"13,888.00","wklo":"9,399.95","wkhicm_adj":"9,297.70","wklocm_adj":"4,100.10","xDt":"17-MAR-2016","cAct":"INTERIM DIVIDEND - RS 12\/- PER SHARE (PUPOSE REVISED)","yPC":"16.89","mPC":"6.27"</v>
      </c>
      <c r="C108" s="12" t="s">
        <v>105</v>
      </c>
      <c r="D108" s="5" t="str">
        <f t="shared" si="33"/>
        <v>13,299.00</v>
      </c>
      <c r="E108" s="5" t="str">
        <f t="shared" si="33"/>
        <v>13,435.00</v>
      </c>
      <c r="F108" s="5" t="str">
        <f t="shared" si="33"/>
        <v>13,200.05</v>
      </c>
      <c r="G108" s="5" t="str">
        <f t="shared" si="33"/>
        <v>13,350.00</v>
      </c>
      <c r="H108" s="6" t="str">
        <f t="shared" si="28"/>
        <v xml:space="preserve">   </v>
      </c>
      <c r="I108" s="7" t="str">
        <f t="shared" si="29"/>
        <v xml:space="preserve">   </v>
      </c>
      <c r="J108" s="8" t="str">
        <f t="shared" si="30"/>
        <v xml:space="preserve">   </v>
      </c>
      <c r="K108" s="9" t="str">
        <f t="shared" si="31"/>
        <v xml:space="preserve">   </v>
      </c>
      <c r="L108" s="5"/>
    </row>
    <row r="109" spans="2:12" x14ac:dyDescent="0.25">
      <c r="B109" t="str">
        <f t="shared" si="27"/>
        <v>"SIEMENS","open":"1,205.00","high":"1,234.75","low":"1,198.55","ltP":"1,212.70","ptsC":"8.50","per":"0.71","trdVol":"3.85","trdVolM":"0.38","ntP":"46.85","mVal":"0.47","wkhi":"1,559.70","wklo":"968.60","wkhicm_adj":"1,010.00","wklocm_adj":"513.00","xDt":"31-DEC-2999","cAct":"-","yPC":"-11.23","mPC":"6.00"</v>
      </c>
      <c r="C109" s="12" t="s">
        <v>106</v>
      </c>
      <c r="D109" s="5" t="str">
        <f t="shared" si="33"/>
        <v>1,205.00</v>
      </c>
      <c r="E109" s="5" t="str">
        <f t="shared" si="33"/>
        <v>1,234.75</v>
      </c>
      <c r="F109" s="5" t="str">
        <f t="shared" si="33"/>
        <v>1,198.55</v>
      </c>
      <c r="G109" s="5" t="str">
        <f t="shared" si="33"/>
        <v>1,212.70</v>
      </c>
      <c r="H109" s="6" t="str">
        <f t="shared" si="28"/>
        <v xml:space="preserve">   </v>
      </c>
      <c r="I109" s="7" t="str">
        <f t="shared" si="29"/>
        <v xml:space="preserve">   </v>
      </c>
      <c r="J109" s="8" t="str">
        <f t="shared" si="30"/>
        <v xml:space="preserve">   </v>
      </c>
      <c r="K109" s="9" t="str">
        <f t="shared" si="31"/>
        <v xml:space="preserve">   </v>
      </c>
      <c r="L109" s="5"/>
    </row>
    <row r="110" spans="2:12" x14ac:dyDescent="0.25">
      <c r="B110" t="str">
        <f t="shared" si="27"/>
        <v>"SRTRANSFIN","open":"1,180.50","high":"1,193.40","low":"1,156.00","ltP":"1,165.00","ptsC":"-15.40","per":"-1.30","trdVol":"5.48","trdVolM":"0.55","ntP":"64.70","mVal":"0.65","wkhi":"1,219.80","wklo":"736.95","wkhicm_adj":"1,139.00","wklocm_adj":"548.70","xDt":"31-DEC-2999","cAct":"-","yPC":"41.52","mPC":"7.57"</v>
      </c>
      <c r="C110" s="12" t="s">
        <v>107</v>
      </c>
      <c r="D110" s="5" t="str">
        <f t="shared" si="33"/>
        <v>1,180.50</v>
      </c>
      <c r="E110" s="5" t="str">
        <f t="shared" si="33"/>
        <v>1,193.40</v>
      </c>
      <c r="F110" s="5" t="str">
        <f t="shared" si="33"/>
        <v>1,156.00</v>
      </c>
      <c r="G110" s="5" t="str">
        <f t="shared" si="33"/>
        <v>1,165.00</v>
      </c>
      <c r="H110" s="6" t="str">
        <f t="shared" si="28"/>
        <v xml:space="preserve">   </v>
      </c>
      <c r="I110" s="7" t="str">
        <f t="shared" si="29"/>
        <v xml:space="preserve">   </v>
      </c>
      <c r="J110" s="8" t="str">
        <f t="shared" si="30"/>
        <v xml:space="preserve">   </v>
      </c>
      <c r="K110" s="9" t="str">
        <f t="shared" si="31"/>
        <v xml:space="preserve">   </v>
      </c>
      <c r="L110" s="5"/>
    </row>
    <row r="111" spans="2:12" x14ac:dyDescent="0.25">
      <c r="B111" t="str">
        <f t="shared" si="27"/>
        <v>"TITAN","open":"359.00","high":"364.25","low":"356.40","ltP":"358.30","ptsC":"-2.20","per":"-0.61","trdVol":"15.20","trdVolM":"1.52","ntP":"54.81","mVal":"0.55","wkhi":"392.40","wklo":"301.70","wkhicm_adj":"425.00","wklocm_adj":"202.45","xDt":"22-MAR-2016","cAct":"INTERIM DIVIDEND - RS 2.20\/- PER SHARE (PURPOSE REVISED)","yPC":"-4.78","mPC":"-2.54"</v>
      </c>
      <c r="C111" s="12" t="s">
        <v>108</v>
      </c>
      <c r="D111" s="5" t="str">
        <f t="shared" si="33"/>
        <v>359.00</v>
      </c>
      <c r="E111" s="5" t="str">
        <f t="shared" si="33"/>
        <v>364.25</v>
      </c>
      <c r="F111" s="5" t="str">
        <f t="shared" si="33"/>
        <v>356.40</v>
      </c>
      <c r="G111" s="5" t="str">
        <f t="shared" si="33"/>
        <v>358.30</v>
      </c>
      <c r="H111" s="6" t="str">
        <f t="shared" si="28"/>
        <v xml:space="preserve">   </v>
      </c>
      <c r="I111" s="7" t="str">
        <f t="shared" si="29"/>
        <v xml:space="preserve">   </v>
      </c>
      <c r="J111" s="8" t="str">
        <f t="shared" si="30"/>
        <v xml:space="preserve">   </v>
      </c>
      <c r="K111" s="9" t="str">
        <f t="shared" si="31"/>
        <v xml:space="preserve">   </v>
      </c>
      <c r="L111" s="5"/>
    </row>
    <row r="112" spans="2:12" x14ac:dyDescent="0.25">
      <c r="B112" t="str">
        <f t="shared" si="27"/>
        <v>"TORNTPHARM","open":"1,355.45","high":"1,369.40","low":"1,331.00","ltP":"1,355.25","ptsC":"13.50","per":"1.01","trdVol":"1.04","trdVolM":"0.10","ntP":"14.13","mVal":"0.14","wkhi":"1,718.40","wklo":"1,169.05","wkhicm_adj":"1,135.00","wklocm_adj":"458.00","xDt":"16-MAR-2016","cAct":"INTERIM DIVIDEND - RS 15\/- PER SHARE (PURPOSE REVISED)","yPC":"10.85","mPC":"-5.04"</v>
      </c>
      <c r="C112" s="12" t="s">
        <v>109</v>
      </c>
      <c r="D112" s="5" t="str">
        <f t="shared" si="33"/>
        <v>1,355.45</v>
      </c>
      <c r="E112" s="5" t="str">
        <f t="shared" si="33"/>
        <v>1,369.40</v>
      </c>
      <c r="F112" s="5" t="str">
        <f t="shared" si="33"/>
        <v>1,331.00</v>
      </c>
      <c r="G112" s="5" t="str">
        <f t="shared" si="33"/>
        <v>1,355.25</v>
      </c>
      <c r="H112" s="6" t="str">
        <f t="shared" si="28"/>
        <v xml:space="preserve">   </v>
      </c>
      <c r="I112" s="7" t="str">
        <f t="shared" si="29"/>
        <v xml:space="preserve">   </v>
      </c>
      <c r="J112" s="8" t="str">
        <f t="shared" si="30"/>
        <v xml:space="preserve">   </v>
      </c>
      <c r="K112" s="9" t="str">
        <f t="shared" si="31"/>
        <v xml:space="preserve">   </v>
      </c>
      <c r="L112" s="5"/>
    </row>
    <row r="113" spans="2:12" x14ac:dyDescent="0.25">
      <c r="B113" t="str">
        <f t="shared" si="27"/>
        <v>"UBL","open":"736.35","high":"750.00","low":"732.65","ltP":"739.20","ptsC":"13.60","per":"1.87","trdVol":"4.93","trdVolM":"0.49","ntP":"36.59","mVal":"0.37","wkhi":"1,074.95","wklo":"690.00","wkhicm_adj":"859.00","wklocm_adj":"615.65","xDt":"31-DEC-2999","cAct":"-","yPC":"-22.52","mPC":"-4.09"</v>
      </c>
      <c r="C113" s="12" t="s">
        <v>110</v>
      </c>
      <c r="D113" s="5" t="str">
        <f t="shared" si="33"/>
        <v>736.35</v>
      </c>
      <c r="E113" s="5" t="str">
        <f t="shared" si="33"/>
        <v>750.00</v>
      </c>
      <c r="F113" s="5" t="str">
        <f t="shared" si="33"/>
        <v>732.65</v>
      </c>
      <c r="G113" s="5" t="str">
        <f t="shared" si="33"/>
        <v>739.20</v>
      </c>
      <c r="H113" s="6" t="str">
        <f t="shared" si="28"/>
        <v xml:space="preserve">   </v>
      </c>
      <c r="I113" s="7" t="str">
        <f t="shared" si="29"/>
        <v xml:space="preserve">   </v>
      </c>
      <c r="J113" s="8" t="str">
        <f t="shared" si="30"/>
        <v xml:space="preserve">   </v>
      </c>
      <c r="K113" s="9" t="str">
        <f t="shared" si="31"/>
        <v xml:space="preserve">   </v>
      </c>
      <c r="L113" s="5"/>
    </row>
    <row r="114" spans="2:12" x14ac:dyDescent="0.25">
      <c r="B114" t="str">
        <f t="shared" si="27"/>
        <v>"UPL","open":"598.25","high":"598.35","low":"585.40","ltP":"590.75","ptsC":"-4.75","per":"-0.80","trdVol":"15.86","trdVolM":"1.59","ntP":"93.78","mVal":"0.94","wkhi":"612.95","wklo":"367.25","wkhicm_adj":"388.70","wklocm_adj":"161.10","xDt":"31-DEC-2999","cAct":"-","yPC":"8.78","mPC":"-0.70"</v>
      </c>
      <c r="C114" s="12" t="s">
        <v>111</v>
      </c>
      <c r="D114" s="5" t="str">
        <f t="shared" si="33"/>
        <v>598.25</v>
      </c>
      <c r="E114" s="5" t="str">
        <f t="shared" si="33"/>
        <v>598.35</v>
      </c>
      <c r="F114" s="5" t="str">
        <f t="shared" si="33"/>
        <v>585.40</v>
      </c>
      <c r="G114" s="5" t="str">
        <f t="shared" si="33"/>
        <v>590.75</v>
      </c>
      <c r="H114" s="6" t="str">
        <f t="shared" si="28"/>
        <v xml:space="preserve">   </v>
      </c>
      <c r="I114" s="7" t="str">
        <f t="shared" si="29"/>
        <v xml:space="preserve">   </v>
      </c>
      <c r="J114" s="8" t="str">
        <f t="shared" si="30"/>
        <v xml:space="preserve">   </v>
      </c>
      <c r="K114" s="9" t="str">
        <f t="shared" si="31"/>
        <v xml:space="preserve">   </v>
      </c>
      <c r="L114" s="5"/>
    </row>
    <row r="115" spans="2:12" x14ac:dyDescent="0.25">
      <c r="B115" t="str">
        <f t="shared" si="27"/>
        <v>"VEDL","open":"109.00","high":"109.00","low":"104.55","ltP":"105.30","ptsC":"-3.25","per":"-2.99","trdVol":"105.83","trdVolM":"10.58","ntP":"113.00","mVal":"1.13","wkhi":"201.65","wklo":"58.15","wkhicm_adj":"318.30","wklocm_adj":"168.85","xDt":"31-DEC-2999","cAct":"-","yPC":"-46.74","mPC":"-4.88"</v>
      </c>
      <c r="C115" s="12" t="s">
        <v>54</v>
      </c>
      <c r="D115" s="5" t="str">
        <f t="shared" si="33"/>
        <v>109.00</v>
      </c>
      <c r="E115" s="5" t="str">
        <f t="shared" si="33"/>
        <v>109.00</v>
      </c>
      <c r="F115" s="5" t="str">
        <f t="shared" si="33"/>
        <v>104.55</v>
      </c>
      <c r="G115" s="5" t="str">
        <f t="shared" si="33"/>
        <v>105.30</v>
      </c>
      <c r="H115" s="6" t="str">
        <f t="shared" si="28"/>
        <v xml:space="preserve">SHORT </v>
      </c>
      <c r="I115" s="7">
        <f t="shared" si="29"/>
        <v>107</v>
      </c>
      <c r="J115" s="8">
        <f t="shared" si="30"/>
        <v>109.545</v>
      </c>
      <c r="K115" s="9">
        <f t="shared" si="31"/>
        <v>1.5887850467289747E-2</v>
      </c>
      <c r="L115" s="5"/>
    </row>
    <row r="116" spans="2:12" x14ac:dyDescent="0.25">
      <c r="L116" s="15"/>
    </row>
    <row r="119" spans="2:12" x14ac:dyDescent="0.25">
      <c r="C119" s="13" t="s">
        <v>112</v>
      </c>
    </row>
    <row r="120" spans="2:12" x14ac:dyDescent="0.25">
      <c r="B120" t="s">
        <v>0</v>
      </c>
      <c r="C120" s="4" t="s">
        <v>1</v>
      </c>
      <c r="D120" s="4" t="s">
        <v>2</v>
      </c>
      <c r="E120" s="4" t="s">
        <v>3</v>
      </c>
      <c r="F120" s="4" t="s">
        <v>4</v>
      </c>
      <c r="G120" s="4" t="s">
        <v>5</v>
      </c>
      <c r="H120" s="4" t="s">
        <v>6</v>
      </c>
      <c r="I120" s="4" t="s">
        <v>7</v>
      </c>
      <c r="J120" s="4" t="s">
        <v>8</v>
      </c>
      <c r="K120" s="4" t="s">
        <v>58</v>
      </c>
      <c r="L120" s="4" t="s">
        <v>165</v>
      </c>
    </row>
    <row r="121" spans="2:12" x14ac:dyDescent="0.25">
      <c r="B121" t="str">
        <f>MID($P$500,FIND(C121,$P$500)-1,FIND("}",$P$500,FIND(C121,$P$500))-FIND(C121,$P$500)+1)</f>
        <v>"ADANIENT","open":"73.00","high":"77.30","low":"72.60","ltP":"75.05","ptsC":"2.20","per":"3.02","trdVol":"49.16","trdVolM":"4.92","ntP":"37.11","mVal":"0.37","wkhi":"721.70","wklo":"58.20","wkhicm_adj":"585.00","wklocm_adj":"210.10","xDt":"22-MAR-2016","cAct":"INTERIM DIVIDEND - RE 0.40\/- PER SHARE (PURPOSE REVISED)","yPC":"-88.14","mPC":"-13.79"</v>
      </c>
      <c r="C121" s="12" t="s">
        <v>113</v>
      </c>
      <c r="D121" s="5" t="str">
        <f>MID($B121,FIND(D$9,$B121)+LEN(D$9)+3,FIND(CHAR(34),$B121,FIND(D$9,$B121)+LEN(D$9)+3)-(FIND(D$9,$B121)+LEN(D$9)+3))</f>
        <v>73.00</v>
      </c>
      <c r="E121" s="5" t="str">
        <f>MID($B121,FIND(E$9,$B121)+LEN(E$9)+3,FIND(CHAR(34),$B121,FIND(E$9,$B121)+LEN(E$9)+3)-(FIND(E$9,$B121)+LEN(E$9)+3))</f>
        <v>77.30</v>
      </c>
      <c r="F121" s="5" t="str">
        <f>MID($B121,FIND(F$9,$B121)+LEN(F$9)+3,FIND(CHAR(34),$B121,FIND(F$9,$B121)+LEN(F$9)+3)-(FIND(F$9,$B121)+LEN(F$9)+3))</f>
        <v>72.60</v>
      </c>
      <c r="G121" s="5" t="str">
        <f>MID($B121,FIND(G$9,$B121)+LEN(G$9)+3,FIND(CHAR(34),$B121,FIND(G$9,$B121)+LEN(G$9)+3)-(FIND(G$9,$B121)+LEN(G$9)+3))</f>
        <v>75.05</v>
      </c>
      <c r="H121" s="6" t="str">
        <f t="shared" ref="H121" si="34">IF(AND(E121=0, F121=0, D121=0),"  ",IF(E121= D121,"SHORT ",IF(F121= D121,"LONG ",IF(E121&lt;&gt; F121&lt;&gt; D121,"   "))))</f>
        <v xml:space="preserve">   </v>
      </c>
      <c r="I121" s="7" t="str">
        <f t="shared" ref="I121" si="35">IF(AND(E121=0,F121=0,D121=0),"  ",IF(D121=F121,ROUND(((SQRT(F121) +0.0833) ^2),0),IF(E121=D121,ROUND(((SQRT(E121) -0.0833) ^2),0),IF(E121&lt;&gt;F121&lt;&gt;D121,"   "))))</f>
        <v xml:space="preserve">   </v>
      </c>
      <c r="J121" s="8" t="str">
        <f t="shared" ref="J121" si="36">IF(AND(E121=0, F121=0, D121=0),"  ",IF(E121= D121,D121+0.005*D121,IF(F121= D121,D121-0.005*D121,IF(E121&lt;&gt; F121&lt;&gt; D121,"   "))))</f>
        <v xml:space="preserve">   </v>
      </c>
      <c r="K121" s="9" t="str">
        <f t="shared" ref="K121" si="37">IF(AND(E121=0, F121=0, D121=0),"  ",IF(E121= D121,(I121-G121)/I121,IF(F121= D121,(G121-I121)/I121,IF(E121&lt;&gt; F121&lt;&gt; D121,"   "))))</f>
        <v xml:space="preserve">   </v>
      </c>
      <c r="L121" s="5"/>
    </row>
    <row r="122" spans="2:12" x14ac:dyDescent="0.25">
      <c r="B122" t="str">
        <f t="shared" ref="B122:B170" si="38">MID($P$500,FIND(C122,$P$500)-1,FIND("}",$P$500,FIND(C122,$P$500))-FIND(C122,$P$500)+1)</f>
        <v>"ADANIPOWER","open":"30.00","high":"30.50","low":"29.50","ltP":"29.75","ptsC":"-0.05","per":"-0.17","trdVol":"57.37","trdVolM":"5.74","ntP":"17.26","mVal":"0.17","wkhi":"39.15","wklo":"19.60","wkhicm_adj":"68.35","wklocm_adj":"31.80","xDt":"31-DEC-2999","cAct":"-","yPC":"-20.35","mPC":"-7.75"</v>
      </c>
      <c r="C122" s="12" t="s">
        <v>114</v>
      </c>
      <c r="D122" s="5" t="str">
        <f t="shared" ref="D122:G158" si="39">MID($B122,FIND(D$9,$B122)+LEN(D$9)+3,FIND(CHAR(34),$B122,FIND(D$9,$B122)+LEN(D$9)+3)-(FIND(D$9,$B122)+LEN(D$9)+3))</f>
        <v>30.00</v>
      </c>
      <c r="E122" s="5" t="str">
        <f t="shared" si="39"/>
        <v>30.50</v>
      </c>
      <c r="F122" s="5" t="str">
        <f t="shared" si="39"/>
        <v>29.50</v>
      </c>
      <c r="G122" s="5" t="str">
        <f t="shared" si="39"/>
        <v>29.75</v>
      </c>
      <c r="H122" s="6" t="str">
        <f t="shared" ref="H122:H157" si="40">IF(AND(E122=0, F122=0, D122=0),"  ",IF(E122= D122,"SHORT ",IF(F122= D122,"LONG ",IF(E122&lt;&gt; F122&lt;&gt; D122,"   "))))</f>
        <v xml:space="preserve">   </v>
      </c>
      <c r="I122" s="7" t="str">
        <f t="shared" ref="I122:I157" si="41">IF(AND(E122=0,F122=0,D122=0),"  ",IF(D122=F122,ROUND(((SQRT(F122) +0.0833) ^2),0),IF(E122=D122,ROUND(((SQRT(E122) -0.0833) ^2),0),IF(E122&lt;&gt;F122&lt;&gt;D122,"   "))))</f>
        <v xml:space="preserve">   </v>
      </c>
      <c r="J122" s="8" t="str">
        <f t="shared" ref="J122:J157" si="42">IF(AND(E122=0, F122=0, D122=0),"  ",IF(E122= D122,D122+0.005*D122,IF(F122= D122,D122-0.005*D122,IF(E122&lt;&gt; F122&lt;&gt; D122,"   "))))</f>
        <v xml:space="preserve">   </v>
      </c>
      <c r="K122" s="9" t="str">
        <f t="shared" ref="K122:K157" si="43">IF(AND(E122=0, F122=0, D122=0),"  ",IF(E122= D122,(I122-G122)/I122,IF(F122= D122,(G122-I122)/I122,IF(E122&lt;&gt; F122&lt;&gt; D122,"   "))))</f>
        <v xml:space="preserve">   </v>
      </c>
      <c r="L122" s="14"/>
    </row>
    <row r="123" spans="2:12" x14ac:dyDescent="0.25">
      <c r="B123" t="str">
        <f t="shared" si="38"/>
        <v>"AJANTPHARM","open":"1,529.95","high":"1,552.80","low":"1,506.55","ltP":"1,547.00","ptsC":"28.25","per":"1.86","trdVol":"0.59","trdVolM":"0.06","ntP":"9.03","mVal":"0.09","wkhi":"1,720.00","wklo":"1,101.05","wkhicm_adj":"2,526.95","wklocm_adj":"776.65","xDt":"31-DEC-2999","cAct":"-","yPC":"-4.57","mPC":"2.78"</v>
      </c>
      <c r="C123" s="12" t="s">
        <v>115</v>
      </c>
      <c r="D123" s="5" t="str">
        <f t="shared" si="39"/>
        <v>1,529.95</v>
      </c>
      <c r="E123" s="5" t="str">
        <f t="shared" si="39"/>
        <v>1,552.80</v>
      </c>
      <c r="F123" s="5" t="str">
        <f t="shared" si="39"/>
        <v>1,506.55</v>
      </c>
      <c r="G123" s="5" t="str">
        <f t="shared" si="39"/>
        <v>1,547.00</v>
      </c>
      <c r="H123" s="6" t="str">
        <f t="shared" si="40"/>
        <v xml:space="preserve">   </v>
      </c>
      <c r="I123" s="7" t="str">
        <f t="shared" si="41"/>
        <v xml:space="preserve">   </v>
      </c>
      <c r="J123" s="8" t="str">
        <f t="shared" si="42"/>
        <v xml:space="preserve">   </v>
      </c>
      <c r="K123" s="9" t="str">
        <f t="shared" si="43"/>
        <v xml:space="preserve">   </v>
      </c>
      <c r="L123" s="5"/>
    </row>
    <row r="124" spans="2:12" x14ac:dyDescent="0.25">
      <c r="B124" t="str">
        <f t="shared" si="38"/>
        <v>"ALBK","open":"53.30","high":"53.95","low":"51.25","ltP":"51.30","ptsC":"-1.85","per":"-3.48","trdVol":"27.19","trdVolM":"2.72","ntP":"14.28","mVal":"0.14","wkhi":"108.25","wklo":"39.40","wkhicm_adj":"150.00","wklocm_adj":"72.20","xDt":"31-DEC-2999","cAct":"-","yPC":"-51.90","mPC":"-9.76"</v>
      </c>
      <c r="C124" s="12" t="s">
        <v>116</v>
      </c>
      <c r="D124" s="5" t="str">
        <f t="shared" si="39"/>
        <v>53.30</v>
      </c>
      <c r="E124" s="5" t="str">
        <f t="shared" si="39"/>
        <v>53.95</v>
      </c>
      <c r="F124" s="5" t="str">
        <f t="shared" si="39"/>
        <v>51.25</v>
      </c>
      <c r="G124" s="5" t="str">
        <f t="shared" si="39"/>
        <v>51.30</v>
      </c>
      <c r="H124" s="6" t="str">
        <f t="shared" si="40"/>
        <v xml:space="preserve">   </v>
      </c>
      <c r="I124" s="7" t="str">
        <f t="shared" si="41"/>
        <v xml:space="preserve">   </v>
      </c>
      <c r="J124" s="8" t="str">
        <f t="shared" si="42"/>
        <v xml:space="preserve">   </v>
      </c>
      <c r="K124" s="9" t="str">
        <f t="shared" si="43"/>
        <v xml:space="preserve">   </v>
      </c>
      <c r="L124" s="5"/>
    </row>
    <row r="125" spans="2:12" x14ac:dyDescent="0.25">
      <c r="B125" t="str">
        <f t="shared" si="38"/>
        <v>"AMARAJABAT","open":"840.00","high":"852.00","low":"828.20","ltP":"843.00","ptsC":"3.40","per":"0.40","trdVol":"2.80","trdVolM":"0.28","ntP":"23.52","mVal":"0.24","wkhi":"1,128.00","wklo":"774.15","wkhicm_adj":"794.00","wklocm_adj":"315.05","xDt":"22-MAR-2016","cAct":"INTERIM DIVIDEND - RS 4.25\/- PER SHARE (PURPOSE REVISED)","yPC":"-3.74","mPC":"-12.07"</v>
      </c>
      <c r="C125" s="12" t="s">
        <v>117</v>
      </c>
      <c r="D125" s="5" t="str">
        <f t="shared" si="39"/>
        <v>840.00</v>
      </c>
      <c r="E125" s="5" t="str">
        <f t="shared" si="39"/>
        <v>852.00</v>
      </c>
      <c r="F125" s="5" t="str">
        <f t="shared" si="39"/>
        <v>828.20</v>
      </c>
      <c r="G125" s="5" t="str">
        <f t="shared" si="39"/>
        <v>843.00</v>
      </c>
      <c r="H125" s="6" t="str">
        <f t="shared" si="40"/>
        <v xml:space="preserve">   </v>
      </c>
      <c r="I125" s="7" t="str">
        <f t="shared" si="41"/>
        <v xml:space="preserve">   </v>
      </c>
      <c r="J125" s="8" t="str">
        <f t="shared" si="42"/>
        <v xml:space="preserve">   </v>
      </c>
      <c r="K125" s="9" t="str">
        <f t="shared" si="43"/>
        <v xml:space="preserve">   </v>
      </c>
      <c r="L125" s="5"/>
    </row>
    <row r="126" spans="2:12" x14ac:dyDescent="0.25">
      <c r="B126" t="str">
        <f t="shared" si="38"/>
        <v>"APOLLOTYRE","open":"156.55","high":"157.70","low":"153.05","ltP":"153.50","ptsC":"-2.95","per":"-1.89","trdVol":"9.90","trdVolM":"0.99","ntP":"15.35","mVal":"0.15","wkhi":"223.40","wklo":"127.05","wkhicm_adj":"242.95","wklocm_adj":"77.50","xDt":"31-DEC-2999","cAct":"-","yPC":"-16.94","mPC":"-5.31"</v>
      </c>
      <c r="C126" s="12" t="s">
        <v>118</v>
      </c>
      <c r="D126" s="5" t="str">
        <f t="shared" si="39"/>
        <v>156.55</v>
      </c>
      <c r="E126" s="5" t="str">
        <f t="shared" si="39"/>
        <v>157.70</v>
      </c>
      <c r="F126" s="5" t="str">
        <f t="shared" si="39"/>
        <v>153.05</v>
      </c>
      <c r="G126" s="5" t="str">
        <f t="shared" si="39"/>
        <v>153.50</v>
      </c>
      <c r="H126" s="6" t="str">
        <f t="shared" si="40"/>
        <v xml:space="preserve">   </v>
      </c>
      <c r="I126" s="7" t="str">
        <f t="shared" si="41"/>
        <v xml:space="preserve">   </v>
      </c>
      <c r="J126" s="8" t="str">
        <f t="shared" si="42"/>
        <v xml:space="preserve">   </v>
      </c>
      <c r="K126" s="9" t="str">
        <f t="shared" si="43"/>
        <v xml:space="preserve">   </v>
      </c>
      <c r="L126" s="5"/>
    </row>
    <row r="127" spans="2:12" x14ac:dyDescent="0.25">
      <c r="B127" t="str">
        <f t="shared" si="38"/>
        <v>"ARVIND","open":"319.60","high":"322.00","low":"312.65","ltP":"315.40","ptsC":"-4.05","per":"-1.27","trdVol":"10.18","trdVolM":"1.02","ntP":"32.38","mVal":"0.32","wkhi":"365.70","wklo":"216.30","wkhicm_adj":"341.50","wklocm_adj":"119.00","xDt":"31-DEC-2999","cAct":"-","yPC":"28.11","mPC":"9.95"</v>
      </c>
      <c r="C127" s="12" t="s">
        <v>119</v>
      </c>
      <c r="D127" s="5" t="str">
        <f t="shared" si="39"/>
        <v>319.60</v>
      </c>
      <c r="E127" s="5" t="str">
        <f t="shared" si="39"/>
        <v>322.00</v>
      </c>
      <c r="F127" s="5" t="str">
        <f t="shared" si="39"/>
        <v>312.65</v>
      </c>
      <c r="G127" s="5" t="str">
        <f t="shared" si="39"/>
        <v>315.40</v>
      </c>
      <c r="H127" s="6" t="str">
        <f t="shared" si="40"/>
        <v xml:space="preserve">   </v>
      </c>
      <c r="I127" s="7" t="str">
        <f t="shared" si="41"/>
        <v xml:space="preserve">   </v>
      </c>
      <c r="J127" s="8" t="str">
        <f t="shared" si="42"/>
        <v xml:space="preserve">   </v>
      </c>
      <c r="K127" s="9" t="str">
        <f t="shared" si="43"/>
        <v xml:space="preserve">   </v>
      </c>
      <c r="L127" s="5"/>
    </row>
    <row r="128" spans="2:12" x14ac:dyDescent="0.25">
      <c r="B128" t="str">
        <f t="shared" si="38"/>
        <v>"BANKINDIA","open":"87.35","high":"88.20","low":"85.35","ltP":"86.20","ptsC":"-0.45","per":"-0.52","trdVol":"32.96","trdVolM":"3.30","ntP":"28.62","mVal":"0.29","wkhi":"199.00","wklo":"78.40","wkhicm_adj":"357.00","wklocm_adj":"165.55","xDt":"31-DEC-2999","cAct":"-","yPC":"-56.13","mPC":"-4.33"</v>
      </c>
      <c r="C128" s="12" t="s">
        <v>120</v>
      </c>
      <c r="D128" s="5" t="str">
        <f t="shared" si="39"/>
        <v>87.35</v>
      </c>
      <c r="E128" s="5" t="str">
        <f t="shared" si="39"/>
        <v>88.20</v>
      </c>
      <c r="F128" s="5" t="str">
        <f t="shared" si="39"/>
        <v>85.35</v>
      </c>
      <c r="G128" s="5" t="str">
        <f t="shared" si="39"/>
        <v>86.20</v>
      </c>
      <c r="H128" s="6" t="str">
        <f t="shared" si="40"/>
        <v xml:space="preserve">   </v>
      </c>
      <c r="I128" s="7" t="str">
        <f t="shared" si="41"/>
        <v xml:space="preserve">   </v>
      </c>
      <c r="J128" s="8" t="str">
        <f t="shared" si="42"/>
        <v xml:space="preserve">   </v>
      </c>
      <c r="K128" s="9" t="str">
        <f t="shared" si="43"/>
        <v xml:space="preserve">   </v>
      </c>
      <c r="L128" s="5"/>
    </row>
    <row r="129" spans="2:12" x14ac:dyDescent="0.25">
      <c r="B129" t="str">
        <f t="shared" si="38"/>
        <v>"BATAINDIA","open":"574.00","high":"580.50","low":"566.00","ltP":"566.05","ptsC":"-6.35","per":"-1.11","trdVol":"2.93","trdVolM":"0.29","ntP":"16.86","mVal":"0.17","wkhi":"622.00","wklo":"438.00","wkhicm_adj":"1,413.40","wklocm_adj":"894.55","xDt":"31-DEC-2999","cAct":"-","yPC":"-46.46","mPC":"-2.23"</v>
      </c>
      <c r="C129" s="12" t="s">
        <v>121</v>
      </c>
      <c r="D129" s="5" t="str">
        <f t="shared" si="39"/>
        <v>574.00</v>
      </c>
      <c r="E129" s="5" t="str">
        <f t="shared" si="39"/>
        <v>580.50</v>
      </c>
      <c r="F129" s="5" t="str">
        <f t="shared" si="39"/>
        <v>566.00</v>
      </c>
      <c r="G129" s="5" t="str">
        <f t="shared" si="39"/>
        <v>566.05</v>
      </c>
      <c r="H129" s="6" t="str">
        <f t="shared" si="40"/>
        <v xml:space="preserve">   </v>
      </c>
      <c r="I129" s="7" t="str">
        <f t="shared" si="41"/>
        <v xml:space="preserve">   </v>
      </c>
      <c r="J129" s="8" t="str">
        <f t="shared" si="42"/>
        <v xml:space="preserve">   </v>
      </c>
      <c r="K129" s="9" t="str">
        <f t="shared" si="43"/>
        <v xml:space="preserve">   </v>
      </c>
      <c r="L129" s="5"/>
    </row>
    <row r="130" spans="2:12" x14ac:dyDescent="0.25">
      <c r="B130" t="str">
        <f t="shared" si="38"/>
        <v>"BIOCON","open":"717.00","high":"726.95","low":"711.20","ltP":"714.45","ptsC":"-3.10","per":"-0.43","trdVol":"9.06","trdVolM":"0.91","ntP":"65.33","mVal":"0.65","wkhi":"726.95","wklo":"395.30","wkhicm_adj":"553.60","wklocm_adj":"378.65","xDt":"17-MAR-2016","cAct":"INTERIM DIVIDEND - RS 5\/- PER SHARE (PURPOSE REVISED)","yPC":"56.90","mPC":"17.60"</v>
      </c>
      <c r="C130" s="12" t="s">
        <v>122</v>
      </c>
      <c r="D130" s="5" t="str">
        <f t="shared" si="39"/>
        <v>717.00</v>
      </c>
      <c r="E130" s="5" t="str">
        <f t="shared" si="39"/>
        <v>726.95</v>
      </c>
      <c r="F130" s="5" t="str">
        <f t="shared" si="39"/>
        <v>711.20</v>
      </c>
      <c r="G130" s="5" t="str">
        <f t="shared" si="39"/>
        <v>714.45</v>
      </c>
      <c r="H130" s="6" t="str">
        <f t="shared" si="40"/>
        <v xml:space="preserve">   </v>
      </c>
      <c r="I130" s="7" t="str">
        <f t="shared" si="41"/>
        <v xml:space="preserve">   </v>
      </c>
      <c r="J130" s="8" t="str">
        <f t="shared" si="42"/>
        <v xml:space="preserve">   </v>
      </c>
      <c r="K130" s="9" t="str">
        <f t="shared" si="43"/>
        <v xml:space="preserve">   </v>
      </c>
      <c r="L130" s="5"/>
    </row>
    <row r="131" spans="2:12" x14ac:dyDescent="0.25">
      <c r="B131" t="str">
        <f t="shared" si="38"/>
        <v>"CANBK","open":"207.00","high":"207.95","low":"196.40","ltP":"197.00","ptsC":"-9.40","per":"-4.55","trdVol":"76.10","trdVolM":"7.61","ntP":"153.87","mVal":"1.54","wkhi":"360.45","wklo":"156.00","wkhicm_adj":"498.00","wklocm_adj":"209.00","xDt":"31-DEC-2999","cAct":"-","yPC":"-42.52","mPC":"-2.01"</v>
      </c>
      <c r="C131" s="12" t="s">
        <v>123</v>
      </c>
      <c r="D131" s="5" t="str">
        <f t="shared" si="39"/>
        <v>207.00</v>
      </c>
      <c r="E131" s="5" t="str">
        <f t="shared" si="39"/>
        <v>207.95</v>
      </c>
      <c r="F131" s="5" t="str">
        <f t="shared" si="39"/>
        <v>196.40</v>
      </c>
      <c r="G131" s="5" t="str">
        <f t="shared" si="39"/>
        <v>197.00</v>
      </c>
      <c r="H131" s="6" t="str">
        <f t="shared" si="40"/>
        <v xml:space="preserve">   </v>
      </c>
      <c r="I131" s="7" t="str">
        <f t="shared" si="41"/>
        <v xml:space="preserve">   </v>
      </c>
      <c r="J131" s="8" t="str">
        <f t="shared" si="42"/>
        <v xml:space="preserve">   </v>
      </c>
      <c r="K131" s="9" t="str">
        <f t="shared" si="43"/>
        <v xml:space="preserve">   </v>
      </c>
      <c r="L131" s="5"/>
    </row>
    <row r="132" spans="2:12" x14ac:dyDescent="0.25">
      <c r="B132" t="str">
        <f t="shared" si="38"/>
        <v>"CENTURYTEX","open":"623.10","high":"640.90","low":"620.00","ltP":"627.30","ptsC":"4.85","per":"0.78","trdVol":"9.86","trdVolM":"0.99","ntP":"62.38","mVal":"0.62","wkhi":"748.60","wklo":"403.00","wkhicm_adj":"664.40","wklocm_adj":"248.25","xDt":"31-DEC-2999","cAct":"-","yPC":"-4.45","mPC":"-1.66"</v>
      </c>
      <c r="C132" s="12" t="s">
        <v>124</v>
      </c>
      <c r="D132" s="5" t="str">
        <f t="shared" si="39"/>
        <v>623.10</v>
      </c>
      <c r="E132" s="5" t="str">
        <f t="shared" si="39"/>
        <v>640.90</v>
      </c>
      <c r="F132" s="5" t="str">
        <f t="shared" si="39"/>
        <v>620.00</v>
      </c>
      <c r="G132" s="5" t="str">
        <f t="shared" si="39"/>
        <v>627.30</v>
      </c>
      <c r="H132" s="6" t="str">
        <f t="shared" si="40"/>
        <v xml:space="preserve">   </v>
      </c>
      <c r="I132" s="7" t="str">
        <f t="shared" si="41"/>
        <v xml:space="preserve">   </v>
      </c>
      <c r="J132" s="8" t="str">
        <f t="shared" si="42"/>
        <v xml:space="preserve">   </v>
      </c>
      <c r="K132" s="9" t="str">
        <f t="shared" si="43"/>
        <v xml:space="preserve">   </v>
      </c>
      <c r="L132" s="5"/>
    </row>
    <row r="133" spans="2:12" x14ac:dyDescent="0.25">
      <c r="B133" t="str">
        <f t="shared" si="38"/>
        <v>"CESC","open":"545.00","high":"548.85","low":"539.20","ltP":"543.15","ptsC":"-1.35","per":"-0.25","trdVol":"2.40","trdVolM":"0.24","ntP":"13.08","mVal":"0.13","wkhi":"624.30","wklo":"404.55","wkhicm_adj":"827.45","wklocm_adj":"374.40","xDt":"17-MAR-2016","cAct":"INTERIM DIVIDEND - RS 10\/- PER SHARE (PURPOSE REVISED)","yPC":"-0.64","mPC":"0.19"</v>
      </c>
      <c r="C133" s="12" t="s">
        <v>125</v>
      </c>
      <c r="D133" s="5" t="str">
        <f t="shared" si="39"/>
        <v>545.00</v>
      </c>
      <c r="E133" s="5" t="str">
        <f t="shared" si="39"/>
        <v>548.85</v>
      </c>
      <c r="F133" s="5" t="str">
        <f t="shared" si="39"/>
        <v>539.20</v>
      </c>
      <c r="G133" s="5" t="str">
        <f t="shared" si="39"/>
        <v>543.15</v>
      </c>
      <c r="H133" s="6" t="str">
        <f t="shared" si="40"/>
        <v xml:space="preserve">   </v>
      </c>
      <c r="I133" s="7" t="str">
        <f t="shared" si="41"/>
        <v xml:space="preserve">   </v>
      </c>
      <c r="J133" s="8" t="str">
        <f t="shared" si="42"/>
        <v xml:space="preserve">   </v>
      </c>
      <c r="K133" s="9" t="str">
        <f t="shared" si="43"/>
        <v xml:space="preserve">   </v>
      </c>
      <c r="L133" s="5"/>
    </row>
    <row r="134" spans="2:12" x14ac:dyDescent="0.25">
      <c r="B134" t="str">
        <f t="shared" si="38"/>
        <v>"DISHTV","open":"88.40","high":"91.15","low":"87.55","ltP":"88.50","ptsC":"0.20","per":"0.23","trdVol":"41.11","trdVolM":"4.11","ntP":"36.72","mVal":"0.37","wkhi":"121.65","wklo":"65.20","wkhicm_adj":"65.90","wklocm_adj":"43.15","xDt":"31-DEC-2999","cAct":"-","yPC":"-12.85","mPC":"-2.16"</v>
      </c>
      <c r="C134" s="12" t="s">
        <v>126</v>
      </c>
      <c r="D134" s="5" t="str">
        <f t="shared" si="39"/>
        <v>88.40</v>
      </c>
      <c r="E134" s="5" t="str">
        <f t="shared" si="39"/>
        <v>91.15</v>
      </c>
      <c r="F134" s="5" t="str">
        <f t="shared" si="39"/>
        <v>87.55</v>
      </c>
      <c r="G134" s="5" t="str">
        <f t="shared" si="39"/>
        <v>88.50</v>
      </c>
      <c r="H134" s="6" t="str">
        <f t="shared" si="40"/>
        <v xml:space="preserve">   </v>
      </c>
      <c r="I134" s="7" t="str">
        <f t="shared" si="41"/>
        <v xml:space="preserve">   </v>
      </c>
      <c r="J134" s="8" t="str">
        <f t="shared" si="42"/>
        <v xml:space="preserve">   </v>
      </c>
      <c r="K134" s="9" t="str">
        <f t="shared" si="43"/>
        <v xml:space="preserve">   </v>
      </c>
      <c r="L134" s="5"/>
    </row>
    <row r="135" spans="2:12" x14ac:dyDescent="0.25">
      <c r="B135" t="str">
        <f t="shared" si="38"/>
        <v>"ENGINERSIN","open":"182.00","high":"184.90","low":"180.40","ltP":"183.95","ptsC":"4.60","per":"2.56","trdVol":"4.86","trdVolM":"0.49","ntP":"8.88","mVal":"0.09","wkhi":"252.20","wklo":"143.10","wkhicm_adj":"331.70","wklocm_adj":"142.50","xDt":"08-MAR-2016","cAct":"INTERIM DIVIDEND - RS 2\/- PER SHARE (PURPOSE REVISED)","yPC":"-12.59","mPC":"2.54"</v>
      </c>
      <c r="C135" s="12" t="s">
        <v>127</v>
      </c>
      <c r="D135" s="5" t="str">
        <f t="shared" si="39"/>
        <v>182.00</v>
      </c>
      <c r="E135" s="5" t="str">
        <f t="shared" si="39"/>
        <v>184.90</v>
      </c>
      <c r="F135" s="5" t="str">
        <f t="shared" si="39"/>
        <v>180.40</v>
      </c>
      <c r="G135" s="5" t="str">
        <f t="shared" si="39"/>
        <v>183.95</v>
      </c>
      <c r="H135" s="6" t="str">
        <f t="shared" si="40"/>
        <v xml:space="preserve">   </v>
      </c>
      <c r="I135" s="7" t="str">
        <f t="shared" si="41"/>
        <v xml:space="preserve">   </v>
      </c>
      <c r="J135" s="8" t="str">
        <f t="shared" si="42"/>
        <v xml:space="preserve">   </v>
      </c>
      <c r="K135" s="9" t="str">
        <f t="shared" si="43"/>
        <v xml:space="preserve">   </v>
      </c>
      <c r="L135" s="5"/>
    </row>
    <row r="136" spans="2:12" x14ac:dyDescent="0.25">
      <c r="B136" t="str">
        <f t="shared" si="38"/>
        <v>"EXIDEIND","open":"164.00","high":"164.25","low":"157.45","ltP":"158.60","ptsC":"-5.65","per":"-3.44","trdVol":"5.58","trdVolM":"0.56","ntP":"8.97","mVal":"0.09","wkhi":"168.60","wklo":"116.00","wkhicm_adj":"183.40","wklocm_adj":"99.00","xDt":"31-DEC-2999","cAct":"-","yPC":"2.85","mPC":"10.41"</v>
      </c>
      <c r="C136" s="12" t="s">
        <v>128</v>
      </c>
      <c r="D136" s="5" t="str">
        <f t="shared" si="39"/>
        <v>164.00</v>
      </c>
      <c r="E136" s="5" t="str">
        <f t="shared" si="39"/>
        <v>164.25</v>
      </c>
      <c r="F136" s="5" t="str">
        <f t="shared" si="39"/>
        <v>157.45</v>
      </c>
      <c r="G136" s="5" t="str">
        <f t="shared" si="39"/>
        <v>158.60</v>
      </c>
      <c r="H136" s="6" t="str">
        <f t="shared" si="40"/>
        <v xml:space="preserve">   </v>
      </c>
      <c r="I136" s="7" t="str">
        <f t="shared" si="41"/>
        <v xml:space="preserve">   </v>
      </c>
      <c r="J136" s="8" t="str">
        <f t="shared" si="42"/>
        <v xml:space="preserve">   </v>
      </c>
      <c r="K136" s="9" t="str">
        <f t="shared" si="43"/>
        <v xml:space="preserve">   </v>
      </c>
      <c r="L136" s="5"/>
    </row>
    <row r="137" spans="2:12" x14ac:dyDescent="0.25">
      <c r="B137" t="str">
        <f t="shared" si="38"/>
        <v>"FEDERALBNK","open":"52.35","high":"52.50","low":"50.75","ltP":"50.95","ptsC":"-1.40","per":"-2.67","trdVol":"40.18","trdVolM":"4.02","ntP":"20.77","mVal":"0.21","wkhi":"79.80","wklo":"41.35","wkhicm_adj":"152.95","wklocm_adj":"72.35","xDt":"31-DEC-2999","cAct":"-","yPC":"-28.67","mPC":"9.69"</v>
      </c>
      <c r="C137" s="12" t="s">
        <v>129</v>
      </c>
      <c r="D137" s="5" t="str">
        <f t="shared" si="39"/>
        <v>52.35</v>
      </c>
      <c r="E137" s="5" t="str">
        <f t="shared" si="39"/>
        <v>52.50</v>
      </c>
      <c r="F137" s="5" t="str">
        <f t="shared" si="39"/>
        <v>50.75</v>
      </c>
      <c r="G137" s="5" t="str">
        <f t="shared" si="39"/>
        <v>50.95</v>
      </c>
      <c r="H137" s="6" t="str">
        <f t="shared" si="40"/>
        <v xml:space="preserve">   </v>
      </c>
      <c r="I137" s="7" t="str">
        <f t="shared" si="41"/>
        <v xml:space="preserve">   </v>
      </c>
      <c r="J137" s="8" t="str">
        <f t="shared" si="42"/>
        <v xml:space="preserve">   </v>
      </c>
      <c r="K137" s="9" t="str">
        <f t="shared" si="43"/>
        <v xml:space="preserve">   </v>
      </c>
      <c r="L137" s="5"/>
    </row>
    <row r="138" spans="2:12" x14ac:dyDescent="0.25">
      <c r="B138" t="str">
        <f t="shared" si="38"/>
        <v>"GMRINFRA","open":"11.30","high":"11.55","low":"11.20","ltP":"11.25","ptsC":"0.00","per":"0.00","trdVol":"118.17","trdVolM":"11.82","ntP":"13.39","mVal":"0.13","wkhi":"18.55","wklo":"9.75","wkhicm_adj":"38.25","wklocm_adj":"17.15","xDt":"31-DEC-2999","cAct":"-","yPC":"-21.05","mPC":"-11.42"</v>
      </c>
      <c r="C138" s="12" t="s">
        <v>130</v>
      </c>
      <c r="D138" s="5" t="str">
        <f t="shared" si="39"/>
        <v>11.30</v>
      </c>
      <c r="E138" s="5" t="str">
        <f t="shared" si="39"/>
        <v>11.55</v>
      </c>
      <c r="F138" s="5" t="str">
        <f t="shared" si="39"/>
        <v>11.20</v>
      </c>
      <c r="G138" s="5" t="str">
        <f t="shared" si="39"/>
        <v>11.25</v>
      </c>
      <c r="H138" s="6" t="str">
        <f t="shared" si="40"/>
        <v xml:space="preserve">   </v>
      </c>
      <c r="I138" s="7" t="str">
        <f t="shared" si="41"/>
        <v xml:space="preserve">   </v>
      </c>
      <c r="J138" s="8" t="str">
        <f t="shared" si="42"/>
        <v xml:space="preserve">   </v>
      </c>
      <c r="K138" s="9" t="str">
        <f t="shared" si="43"/>
        <v xml:space="preserve">   </v>
      </c>
      <c r="L138" s="5"/>
    </row>
    <row r="139" spans="2:12" x14ac:dyDescent="0.25">
      <c r="B139" t="str">
        <f t="shared" si="38"/>
        <v>"GODREJIND","open":"345.00","high":"348.00","low":"341.35","ltP":"343.90","ptsC":"-0.45","per":"-0.13","trdVol":"1.05","trdVolM":"0.10","ntP":"3.60","mVal":"0.04","wkhi":"412.00","wklo":"290.00","wkhicm_adj":"372.80","wklocm_adj":"248.50","xDt":"15-MAR-2016","cAct":"INTERIM DIVIDEND - RE 1.75 PER SHARE (PURPOSE REVISED)","yPC":"-8.15","mPC":"-3.04"</v>
      </c>
      <c r="C139" s="12" t="s">
        <v>131</v>
      </c>
      <c r="D139" s="5" t="str">
        <f t="shared" si="39"/>
        <v>345.00</v>
      </c>
      <c r="E139" s="5" t="str">
        <f t="shared" si="39"/>
        <v>348.00</v>
      </c>
      <c r="F139" s="5" t="str">
        <f t="shared" si="39"/>
        <v>341.35</v>
      </c>
      <c r="G139" s="5" t="str">
        <f t="shared" si="39"/>
        <v>343.90</v>
      </c>
      <c r="H139" s="6" t="str">
        <f t="shared" si="40"/>
        <v xml:space="preserve">   </v>
      </c>
      <c r="I139" s="7" t="str">
        <f t="shared" si="41"/>
        <v xml:space="preserve">   </v>
      </c>
      <c r="J139" s="8" t="str">
        <f t="shared" si="42"/>
        <v xml:space="preserve">   </v>
      </c>
      <c r="K139" s="9" t="str">
        <f t="shared" si="43"/>
        <v xml:space="preserve">   </v>
      </c>
      <c r="L139" s="5"/>
    </row>
    <row r="140" spans="2:12" x14ac:dyDescent="0.25">
      <c r="B140" t="str">
        <f t="shared" si="38"/>
        <v>"HAVELLS","open":"358.50","high":"363.40","low":"353.25","ltP":"356.20","ptsC":"-8.30","per":"-2.28","trdVol":"18.56","trdVolM":"1.86","ntP":"66.51","mVal":"0.67","wkhi":"378.40","wklo":"235.30","wkhicm_adj":"326.50","wklocm_adj":"143.57","xDt":"31-DEC-2999","cAct":"-","yPC":"28.68","mPC":"6.50"</v>
      </c>
      <c r="C140" s="12" t="s">
        <v>132</v>
      </c>
      <c r="D140" s="5" t="str">
        <f t="shared" si="39"/>
        <v>358.50</v>
      </c>
      <c r="E140" s="5" t="str">
        <f t="shared" si="39"/>
        <v>363.40</v>
      </c>
      <c r="F140" s="5" t="str">
        <f t="shared" si="39"/>
        <v>353.25</v>
      </c>
      <c r="G140" s="5" t="str">
        <f t="shared" si="39"/>
        <v>356.20</v>
      </c>
      <c r="H140" s="6" t="str">
        <f t="shared" si="40"/>
        <v xml:space="preserve">   </v>
      </c>
      <c r="I140" s="7" t="str">
        <f t="shared" si="41"/>
        <v xml:space="preserve">   </v>
      </c>
      <c r="J140" s="8" t="str">
        <f t="shared" si="42"/>
        <v xml:space="preserve">   </v>
      </c>
      <c r="K140" s="9" t="str">
        <f t="shared" si="43"/>
        <v xml:space="preserve">   </v>
      </c>
      <c r="L140" s="5"/>
    </row>
    <row r="141" spans="2:12" x14ac:dyDescent="0.25">
      <c r="B141" t="str">
        <f t="shared" si="38"/>
        <v>"HEXAWARE","open":"217.00","high":"220.20","low":"211.45","ltP":"212.50","ptsC":"-4.60","per":"-2.12","trdVol":"11.16","trdVolM":"1.12","ntP":"24.10","mVal":"0.24","wkhi":"298.50","wklo":"201.50","wkhicm_adj":"226.25","wklocm_adj":"111.90","xDt":"13-MAY-2016","cAct":"INTERIM DIVIDEND - RS 2.50\/- PER SHARE","yPC":"-24.31","mPC":"-10.86"</v>
      </c>
      <c r="C141" s="12" t="s">
        <v>133</v>
      </c>
      <c r="D141" s="5" t="str">
        <f t="shared" si="39"/>
        <v>217.00</v>
      </c>
      <c r="E141" s="5" t="str">
        <f t="shared" si="39"/>
        <v>220.20</v>
      </c>
      <c r="F141" s="5" t="str">
        <f t="shared" si="39"/>
        <v>211.45</v>
      </c>
      <c r="G141" s="5" t="str">
        <f t="shared" si="39"/>
        <v>212.50</v>
      </c>
      <c r="H141" s="6" t="str">
        <f t="shared" si="40"/>
        <v xml:space="preserve">   </v>
      </c>
      <c r="I141" s="7" t="str">
        <f t="shared" si="41"/>
        <v xml:space="preserve">   </v>
      </c>
      <c r="J141" s="8" t="str">
        <f t="shared" si="42"/>
        <v xml:space="preserve">   </v>
      </c>
      <c r="K141" s="9" t="str">
        <f t="shared" si="43"/>
        <v xml:space="preserve">   </v>
      </c>
      <c r="L141" s="5"/>
    </row>
    <row r="142" spans="2:12" x14ac:dyDescent="0.25">
      <c r="B142" t="str">
        <f t="shared" si="38"/>
        <v>"IDBI","open":"68.05","high":"68.45","low":"65.70","ltP":"65.90","ptsC":"-2.00","per":"-2.95","trdVol":"36.83","trdVolM":"3.68","ntP":"24.77","mVal":"0.25","wkhi":"95.70","wklo":"47.25","wkhicm_adj":"116.40","wklocm_adj":"52.90","xDt":"31-DEC-2999","cAct":"-","yPC":"-7.05","mPC":"-3.94"</v>
      </c>
      <c r="C142" s="12" t="s">
        <v>134</v>
      </c>
      <c r="D142" s="5" t="str">
        <f t="shared" si="39"/>
        <v>68.05</v>
      </c>
      <c r="E142" s="5" t="str">
        <f t="shared" si="39"/>
        <v>68.45</v>
      </c>
      <c r="F142" s="5" t="str">
        <f t="shared" si="39"/>
        <v>65.70</v>
      </c>
      <c r="G142" s="5" t="str">
        <f t="shared" si="39"/>
        <v>65.90</v>
      </c>
      <c r="H142" s="6" t="str">
        <f t="shared" si="40"/>
        <v xml:space="preserve">   </v>
      </c>
      <c r="I142" s="7" t="str">
        <f t="shared" si="41"/>
        <v xml:space="preserve">   </v>
      </c>
      <c r="J142" s="8" t="str">
        <f t="shared" si="42"/>
        <v xml:space="preserve">   </v>
      </c>
      <c r="K142" s="9" t="str">
        <f t="shared" si="43"/>
        <v xml:space="preserve">   </v>
      </c>
      <c r="L142" s="5"/>
    </row>
    <row r="143" spans="2:12" x14ac:dyDescent="0.25">
      <c r="B143" t="str">
        <f t="shared" si="38"/>
        <v>"IDFC","open":"52.30","high":"52.35","low":"50.35","ltP":"50.50","ptsC":"-1.05","per":"-2.04","trdVol":"25.03","trdVolM":"2.50","ntP":"12.83","mVal":"0.13","wkhi":"163.60","wklo":"34.80","wkhicm_adj":"166.65","wklocm_adj":"88.05","xDt":"31-DEC-2999","cAct":"-","yPC":"-67.20","mPC":"16.09"</v>
      </c>
      <c r="C143" s="12" t="s">
        <v>135</v>
      </c>
      <c r="D143" s="5" t="str">
        <f t="shared" si="39"/>
        <v>52.30</v>
      </c>
      <c r="E143" s="5" t="str">
        <f t="shared" si="39"/>
        <v>52.35</v>
      </c>
      <c r="F143" s="5" t="str">
        <f t="shared" si="39"/>
        <v>50.35</v>
      </c>
      <c r="G143" s="5" t="str">
        <f t="shared" si="39"/>
        <v>50.50</v>
      </c>
      <c r="H143" s="6" t="str">
        <f t="shared" si="40"/>
        <v xml:space="preserve">   </v>
      </c>
      <c r="I143" s="7" t="str">
        <f t="shared" si="41"/>
        <v xml:space="preserve">   </v>
      </c>
      <c r="J143" s="8" t="str">
        <f t="shared" si="42"/>
        <v xml:space="preserve">   </v>
      </c>
      <c r="K143" s="9" t="str">
        <f t="shared" si="43"/>
        <v xml:space="preserve">   </v>
      </c>
      <c r="L143" s="5"/>
    </row>
    <row r="144" spans="2:12" x14ac:dyDescent="0.25">
      <c r="B144" t="str">
        <f t="shared" si="38"/>
        <v>"IGL","open":"559.00","high":"565.70","low":"557.05","ltP":"558.45","ptsC":"-0.10","per":"-0.02","trdVol":"1.88","trdVolM":"0.19","ntP":"10.56","mVal":"0.11","wkhi":"608.00","wklo":"375.35","wkhicm_adj":"458.80","wklocm_adj":"238.05","xDt":"31-DEC-2999","cAct":"-","yPC":"36.82","mPC":"-4.26"</v>
      </c>
      <c r="C144" s="12" t="s">
        <v>136</v>
      </c>
      <c r="D144" s="5" t="str">
        <f t="shared" si="39"/>
        <v>559.00</v>
      </c>
      <c r="E144" s="5" t="str">
        <f t="shared" si="39"/>
        <v>565.70</v>
      </c>
      <c r="F144" s="5" t="str">
        <f t="shared" si="39"/>
        <v>557.05</v>
      </c>
      <c r="G144" s="5" t="str">
        <f t="shared" si="39"/>
        <v>558.45</v>
      </c>
      <c r="H144" s="6" t="str">
        <f t="shared" si="40"/>
        <v xml:space="preserve">   </v>
      </c>
      <c r="I144" s="7" t="str">
        <f t="shared" si="41"/>
        <v xml:space="preserve">   </v>
      </c>
      <c r="J144" s="8" t="str">
        <f t="shared" si="42"/>
        <v xml:space="preserve">   </v>
      </c>
      <c r="K144" s="9" t="str">
        <f t="shared" si="43"/>
        <v xml:space="preserve">   </v>
      </c>
      <c r="L144" s="5"/>
    </row>
    <row r="145" spans="2:12" x14ac:dyDescent="0.25">
      <c r="B145" t="str">
        <f t="shared" si="38"/>
        <v>"IRB","open":"221.20","high":"221.70","low":"214.10","ltP":"214.50","ptsC":"-6.00","per":"-2.72","trdVol":"8.05","trdVolM":"0.80","ntP":"17.48","mVal":"0.17","wkhi":"272.00","wklo":"197.10","wkhicm_adj":"289.65","wklocm_adj":"67.20","xDt":"16-MAR-2016","cAct":"INTERIM DIVIDEND - RS 2\/- PER SHARE (PURPOSE REVISED)","yPC":"-15.38","mPC":"0.14"</v>
      </c>
      <c r="C145" s="12" t="s">
        <v>137</v>
      </c>
      <c r="D145" s="5" t="str">
        <f t="shared" si="39"/>
        <v>221.20</v>
      </c>
      <c r="E145" s="5" t="str">
        <f t="shared" si="39"/>
        <v>221.70</v>
      </c>
      <c r="F145" s="5" t="str">
        <f t="shared" si="39"/>
        <v>214.10</v>
      </c>
      <c r="G145" s="5" t="str">
        <f t="shared" si="39"/>
        <v>214.50</v>
      </c>
      <c r="H145" s="6" t="str">
        <f t="shared" si="40"/>
        <v xml:space="preserve">   </v>
      </c>
      <c r="I145" s="7" t="str">
        <f t="shared" si="41"/>
        <v xml:space="preserve">   </v>
      </c>
      <c r="J145" s="8" t="str">
        <f t="shared" si="42"/>
        <v xml:space="preserve">   </v>
      </c>
      <c r="K145" s="9" t="str">
        <f t="shared" si="43"/>
        <v xml:space="preserve">   </v>
      </c>
      <c r="L145" s="5"/>
    </row>
    <row r="146" spans="2:12" x14ac:dyDescent="0.25">
      <c r="B146" t="str">
        <f t="shared" si="38"/>
        <v>"JINDALSTEL","open":"63.40","high":"63.70","low":"61.50","ltP":"62.10","ptsC":"-1.15","per":"-1.82","trdVol":"49.71","trdVolM":"4.97","ntP":"31.05","mVal":"0.31","wkhi":"122.15","wklo":"48.10","wkhicm_adj":"351.00","wklocm_adj":"127.70","xDt":"31-DEC-2999","cAct":"-","yPC":"-46.79","mPC":"-12.16"</v>
      </c>
      <c r="C146" s="12" t="s">
        <v>138</v>
      </c>
      <c r="D146" s="5" t="str">
        <f t="shared" si="39"/>
        <v>63.40</v>
      </c>
      <c r="E146" s="5" t="str">
        <f t="shared" si="39"/>
        <v>63.70</v>
      </c>
      <c r="F146" s="5" t="str">
        <f t="shared" si="39"/>
        <v>61.50</v>
      </c>
      <c r="G146" s="5" t="str">
        <f t="shared" si="39"/>
        <v>62.10</v>
      </c>
      <c r="H146" s="6" t="str">
        <f t="shared" si="40"/>
        <v xml:space="preserve">   </v>
      </c>
      <c r="I146" s="7" t="str">
        <f t="shared" si="41"/>
        <v xml:space="preserve">   </v>
      </c>
      <c r="J146" s="8" t="str">
        <f t="shared" si="42"/>
        <v xml:space="preserve">   </v>
      </c>
      <c r="K146" s="9" t="str">
        <f t="shared" si="43"/>
        <v xml:space="preserve">   </v>
      </c>
      <c r="L146" s="5"/>
    </row>
    <row r="147" spans="2:12" x14ac:dyDescent="0.25">
      <c r="B147" t="str">
        <f t="shared" si="38"/>
        <v>"JSWENERGY","open":"70.50","high":"72.50","low":"69.80","ltP":"70.10","ptsC":"-1.05","per":"-1.48","trdVol":"10.68","trdVolM":"1.07","ntP":"7.62","mVal":"0.08","wkhi":"114.30","wklo":"59.00","wkhicm_adj":"97.40","wklocm_adj":"39.85","xDt":"31-DEC-2999","cAct":"-","yPC":"-38.13","mPC":"4.47"</v>
      </c>
      <c r="C147" s="12" t="s">
        <v>139</v>
      </c>
      <c r="D147" s="5" t="str">
        <f t="shared" si="39"/>
        <v>70.50</v>
      </c>
      <c r="E147" s="5" t="str">
        <f t="shared" si="39"/>
        <v>72.50</v>
      </c>
      <c r="F147" s="5" t="str">
        <f t="shared" si="39"/>
        <v>69.80</v>
      </c>
      <c r="G147" s="5" t="str">
        <f t="shared" si="39"/>
        <v>70.10</v>
      </c>
      <c r="H147" s="6" t="str">
        <f t="shared" si="40"/>
        <v xml:space="preserve">   </v>
      </c>
      <c r="I147" s="7" t="str">
        <f t="shared" si="41"/>
        <v xml:space="preserve">   </v>
      </c>
      <c r="J147" s="8" t="str">
        <f t="shared" si="42"/>
        <v xml:space="preserve">   </v>
      </c>
      <c r="K147" s="9" t="str">
        <f t="shared" si="43"/>
        <v xml:space="preserve">   </v>
      </c>
      <c r="L147" s="5"/>
    </row>
    <row r="148" spans="2:12" x14ac:dyDescent="0.25">
      <c r="B148" t="str">
        <f t="shared" si="38"/>
        <v>"JUBLFOOD","open":"1,040.00","high":"1,044.35","low":"1,005.00","ltP":"1,013.05","ptsC":"-20.60","per":"-1.99","trdVol":"7.97","trdVolM":"0.80","ntP":"81.42","mVal":"0.81","wkhi":"1,959.50","wklo":"887.35","wkhicm_adj":"1,497.40","wklocm_adj":"937.70","xDt":"31-DEC-2999","cAct":"-","yPC":"-44.15","mPC":"-13.95"</v>
      </c>
      <c r="C148" s="12" t="s">
        <v>140</v>
      </c>
      <c r="D148" s="5" t="str">
        <f t="shared" si="39"/>
        <v>1,040.00</v>
      </c>
      <c r="E148" s="5" t="str">
        <f t="shared" si="39"/>
        <v>1,044.35</v>
      </c>
      <c r="F148" s="5" t="str">
        <f t="shared" si="39"/>
        <v>1,005.00</v>
      </c>
      <c r="G148" s="5" t="str">
        <f t="shared" si="39"/>
        <v>1,013.05</v>
      </c>
      <c r="H148" s="6" t="str">
        <f t="shared" si="40"/>
        <v xml:space="preserve">   </v>
      </c>
      <c r="I148" s="7" t="str">
        <f t="shared" si="41"/>
        <v xml:space="preserve">   </v>
      </c>
      <c r="J148" s="8" t="str">
        <f t="shared" si="42"/>
        <v xml:space="preserve">   </v>
      </c>
      <c r="K148" s="9" t="str">
        <f t="shared" si="43"/>
        <v xml:space="preserve">   </v>
      </c>
      <c r="L148" s="5"/>
    </row>
    <row r="149" spans="2:12" x14ac:dyDescent="0.25">
      <c r="B149" t="str">
        <f t="shared" si="38"/>
        <v>"JUSTDIAL","open":"686.40","high":"705.50","low":"685.00","ltP":"692.00","ptsC":"12.00","per":"1.76","trdVol":"25.63","trdVolM":"2.56","ntP":"178.57","mVal":"1.79","wkhi":"1,290.00","wklo":"375.70","wkhicm_adj":"1,894.40","wklocm_adj":"982.60","xDt":"31-DEC-2999","cAct":"-","yPC":"-39.06","mPC":"-18.76"</v>
      </c>
      <c r="C149" s="12" t="s">
        <v>141</v>
      </c>
      <c r="D149" s="5" t="str">
        <f t="shared" si="39"/>
        <v>686.40</v>
      </c>
      <c r="E149" s="5" t="str">
        <f t="shared" si="39"/>
        <v>705.50</v>
      </c>
      <c r="F149" s="5" t="str">
        <f t="shared" si="39"/>
        <v>685.00</v>
      </c>
      <c r="G149" s="5" t="str">
        <f t="shared" si="39"/>
        <v>692.00</v>
      </c>
      <c r="H149" s="6" t="str">
        <f t="shared" si="40"/>
        <v xml:space="preserve">   </v>
      </c>
      <c r="I149" s="7" t="str">
        <f t="shared" si="41"/>
        <v xml:space="preserve">   </v>
      </c>
      <c r="J149" s="8" t="str">
        <f t="shared" si="42"/>
        <v xml:space="preserve">   </v>
      </c>
      <c r="K149" s="9" t="str">
        <f t="shared" si="43"/>
        <v xml:space="preserve">   </v>
      </c>
      <c r="L149" s="5"/>
    </row>
    <row r="150" spans="2:12" x14ac:dyDescent="0.25">
      <c r="B150" t="str">
        <f t="shared" si="38"/>
        <v>"L&amp;TFH","open":"79.35","high":"80.75","low":"77.15","ltP":"77.50","ptsC":"-1.30","per":"-1.65","trdVol":"63.24","trdVolM":"6.32","ntP":"50.19","mVal":"0.50","wkhi":"80.75","wklo":"48.25","wkhicm_adj":"88.25","wklocm_adj":"62.30","xDt":"31-DEC-2999","cAct":"-","yPC":"21.86","mPC":"2.85"</v>
      </c>
      <c r="C150" s="12" t="s">
        <v>142</v>
      </c>
      <c r="D150" s="5" t="str">
        <f t="shared" si="39"/>
        <v>79.35</v>
      </c>
      <c r="E150" s="5" t="str">
        <f t="shared" si="39"/>
        <v>80.75</v>
      </c>
      <c r="F150" s="5" t="str">
        <f t="shared" si="39"/>
        <v>77.15</v>
      </c>
      <c r="G150" s="5" t="str">
        <f t="shared" si="39"/>
        <v>77.50</v>
      </c>
      <c r="H150" s="6" t="str">
        <f t="shared" si="40"/>
        <v xml:space="preserve">   </v>
      </c>
      <c r="I150" s="7" t="str">
        <f t="shared" si="41"/>
        <v xml:space="preserve">   </v>
      </c>
      <c r="J150" s="8" t="str">
        <f t="shared" si="42"/>
        <v xml:space="preserve">   </v>
      </c>
      <c r="K150" s="9" t="str">
        <f t="shared" si="43"/>
        <v xml:space="preserve">   </v>
      </c>
      <c r="L150" s="5"/>
    </row>
    <row r="151" spans="2:12" x14ac:dyDescent="0.25">
      <c r="B151" t="str">
        <f t="shared" si="38"/>
        <v>"M&amp;MFIN","open":"322.90","high":"326.70","low":"320.40","ltP":"324.80","ptsC":"3.25","per":"1.01","trdVol":"6.98","trdVolM":"0.70","ntP":"22.66","mVal":"0.23","wkhi":"332.55","wklo":"173.10","wkhicm_adj":"356.50","wklocm_adj":"229.25","xDt":"31-DEC-2999","cAct":"-","yPC":"18.89","mPC":"4.15"</v>
      </c>
      <c r="C151" s="12" t="s">
        <v>143</v>
      </c>
      <c r="D151" s="5" t="str">
        <f t="shared" si="39"/>
        <v>322.90</v>
      </c>
      <c r="E151" s="5" t="str">
        <f t="shared" si="39"/>
        <v>326.70</v>
      </c>
      <c r="F151" s="5" t="str">
        <f t="shared" si="39"/>
        <v>320.40</v>
      </c>
      <c r="G151" s="5" t="str">
        <f t="shared" si="39"/>
        <v>324.80</v>
      </c>
      <c r="H151" s="6" t="str">
        <f t="shared" si="40"/>
        <v xml:space="preserve">   </v>
      </c>
      <c r="I151" s="7" t="str">
        <f t="shared" si="41"/>
        <v xml:space="preserve">   </v>
      </c>
      <c r="J151" s="8" t="str">
        <f t="shared" si="42"/>
        <v xml:space="preserve">   </v>
      </c>
      <c r="K151" s="9" t="str">
        <f t="shared" si="43"/>
        <v xml:space="preserve">   </v>
      </c>
      <c r="L151" s="5"/>
    </row>
    <row r="152" spans="2:12" x14ac:dyDescent="0.25">
      <c r="B152" t="str">
        <f t="shared" si="38"/>
        <v>"MINDTREE","open":"665.95","high":"665.95","low":"653.30","ltP":"655.40","ptsC":"-5.50","per":"-0.83","trdVol":"3.86","trdVolM":"0.39","ntP":"25.43","mVal":"0.25","wkhi":"804.50","wklo":"594.03","wkhicm_adj":"1,268.30","wklocm_adj":"648.75","xDt":"11-APR-2016","cAct":"INTERIM DIVIDEND - RS 2\/- PER SHARE (PURPOSE REVISED)","yPC":"-7.48","mPC":"-3.88"</v>
      </c>
      <c r="C152" s="12" t="s">
        <v>144</v>
      </c>
      <c r="D152" s="5" t="str">
        <f t="shared" si="39"/>
        <v>665.95</v>
      </c>
      <c r="E152" s="5" t="str">
        <f t="shared" si="39"/>
        <v>665.95</v>
      </c>
      <c r="F152" s="5" t="str">
        <f t="shared" si="39"/>
        <v>653.30</v>
      </c>
      <c r="G152" s="5" t="str">
        <f t="shared" si="39"/>
        <v>655.40</v>
      </c>
      <c r="H152" s="6" t="str">
        <f t="shared" si="40"/>
        <v xml:space="preserve">SHORT </v>
      </c>
      <c r="I152" s="7">
        <f t="shared" si="41"/>
        <v>662</v>
      </c>
      <c r="J152" s="8">
        <f t="shared" si="42"/>
        <v>669.27975000000004</v>
      </c>
      <c r="K152" s="9">
        <f t="shared" si="43"/>
        <v>9.9697885196374965E-3</v>
      </c>
      <c r="L152" s="5"/>
    </row>
    <row r="153" spans="2:12" x14ac:dyDescent="0.25">
      <c r="B153" t="str">
        <f t="shared" si="38"/>
        <v>"MRF","open":"33,700.00","high":"33,879.00","low":"33,200.00","ltP":"33,200.00","ptsC":"-574.45","per":"-1.70","trdVol":"0.03","trdVolM":"0.00","ntP":"9.60","mVal":"0.10","wkhi":"46,399.00","wklo":"31,002.00","wkhicm_adj":"33,980.00","wklocm_adj":"17,070.00","xDt":"31-DEC-2999","cAct":"-","yPC":"-7.85","mPC":"-2.89"</v>
      </c>
      <c r="C153" s="12" t="s">
        <v>145</v>
      </c>
      <c r="D153" s="5" t="str">
        <f t="shared" si="39"/>
        <v>33,700.00</v>
      </c>
      <c r="E153" s="5" t="str">
        <f t="shared" si="39"/>
        <v>33,879.00</v>
      </c>
      <c r="F153" s="5" t="str">
        <f t="shared" si="39"/>
        <v>33,200.00</v>
      </c>
      <c r="G153" s="5" t="str">
        <f t="shared" si="39"/>
        <v>33,200.00</v>
      </c>
      <c r="H153" s="6" t="str">
        <f t="shared" si="40"/>
        <v xml:space="preserve">   </v>
      </c>
      <c r="I153" s="7" t="str">
        <f t="shared" si="41"/>
        <v xml:space="preserve">   </v>
      </c>
      <c r="J153" s="8" t="str">
        <f t="shared" si="42"/>
        <v xml:space="preserve">   </v>
      </c>
      <c r="K153" s="9" t="str">
        <f t="shared" si="43"/>
        <v xml:space="preserve">   </v>
      </c>
      <c r="L153" s="5"/>
    </row>
    <row r="154" spans="2:12" x14ac:dyDescent="0.25">
      <c r="B154" t="str">
        <f t="shared" si="38"/>
        <v>"PAGEIND","open":"13,800.00","high":"14,435.00","low":"13,711.45","ltP":"14,435.00","ptsC":"640.10","per":"4.64","trdVol":"0.13","trdVolM":"0.01","ntP":"18.29","mVal":"0.18","wkhi":"17,000.00","wklo":"9,752.35","wkhicm_adj":"10,390.00","wklocm_adj":"5,010.00","xDt":"31-MAY-2016","cAct":"INTERIM DIVIDEND RS 22\/- PER SHARE (PURPOSE REVISED)","yPC":"-14.48","mPC":"12.24"</v>
      </c>
      <c r="C154" s="12" t="s">
        <v>146</v>
      </c>
      <c r="D154" s="5" t="str">
        <f t="shared" si="39"/>
        <v>13,800.00</v>
      </c>
      <c r="E154" s="5" t="str">
        <f t="shared" si="39"/>
        <v>14,435.00</v>
      </c>
      <c r="F154" s="5" t="str">
        <f t="shared" si="39"/>
        <v>13,711.45</v>
      </c>
      <c r="G154" s="5" t="str">
        <f t="shared" si="39"/>
        <v>14,435.00</v>
      </c>
      <c r="H154" s="6" t="str">
        <f t="shared" si="40"/>
        <v xml:space="preserve">   </v>
      </c>
      <c r="I154" s="7" t="str">
        <f t="shared" si="41"/>
        <v xml:space="preserve">   </v>
      </c>
      <c r="J154" s="8" t="str">
        <f t="shared" si="42"/>
        <v xml:space="preserve">   </v>
      </c>
      <c r="K154" s="9" t="str">
        <f t="shared" si="43"/>
        <v xml:space="preserve">   </v>
      </c>
      <c r="L154" s="5"/>
    </row>
    <row r="155" spans="2:12" x14ac:dyDescent="0.25">
      <c r="B155" t="str">
        <f t="shared" si="38"/>
        <v>"PCJEWELLER","open":"366.00","high":"366.40","low":"358.50","ltP":"360.00","ptsC":"-4.10","per":"-1.13","trdVol":"4.09","trdVolM":"0.41","ntP":"14.74","mVal":"0.15","wkhi":"493.40","wklo":"295.80","wkhicm_adj":"278.00","wklocm_adj":"72.00","xDt":"31-DEC-2999","cAct":"-","yPC":"-9.25","mPC":"1.38"</v>
      </c>
      <c r="C155" s="12" t="s">
        <v>147</v>
      </c>
      <c r="D155" s="5" t="str">
        <f t="shared" si="39"/>
        <v>366.00</v>
      </c>
      <c r="E155" s="5" t="str">
        <f t="shared" si="39"/>
        <v>366.40</v>
      </c>
      <c r="F155" s="5" t="str">
        <f t="shared" si="39"/>
        <v>358.50</v>
      </c>
      <c r="G155" s="5" t="str">
        <f t="shared" si="39"/>
        <v>360.00</v>
      </c>
      <c r="H155" s="6" t="str">
        <f t="shared" si="40"/>
        <v xml:space="preserve">   </v>
      </c>
      <c r="I155" s="7" t="str">
        <f t="shared" si="41"/>
        <v xml:space="preserve">   </v>
      </c>
      <c r="J155" s="8" t="str">
        <f t="shared" si="42"/>
        <v xml:space="preserve">   </v>
      </c>
      <c r="K155" s="9" t="str">
        <f t="shared" si="43"/>
        <v xml:space="preserve">   </v>
      </c>
      <c r="L155" s="5"/>
    </row>
    <row r="156" spans="2:12" x14ac:dyDescent="0.25">
      <c r="B156" t="str">
        <f t="shared" si="38"/>
        <v>"PETRONET","open":"274.00","high":"275.65","low":"271.30","ltP":"272.60","ptsC":"-0.95","per":"-0.35","trdVol":"3.21","trdVolM":"0.32","ntP":"8.75","mVal":"0.09","wkhi":"284.80","wklo":"163.55","wkhicm_adj":"208.80","wklocm_adj":"102.60","xDt":"31-DEC-2999","cAct":"-","yPC":"50.11","mPC":"2.14"</v>
      </c>
      <c r="C156" s="12" t="s">
        <v>148</v>
      </c>
      <c r="D156" s="5" t="str">
        <f t="shared" si="39"/>
        <v>274.00</v>
      </c>
      <c r="E156" s="5" t="str">
        <f t="shared" si="39"/>
        <v>275.65</v>
      </c>
      <c r="F156" s="5" t="str">
        <f t="shared" si="39"/>
        <v>271.30</v>
      </c>
      <c r="G156" s="5" t="str">
        <f t="shared" si="39"/>
        <v>272.60</v>
      </c>
      <c r="H156" s="6" t="str">
        <f t="shared" si="40"/>
        <v xml:space="preserve">   </v>
      </c>
      <c r="I156" s="7" t="str">
        <f t="shared" si="41"/>
        <v xml:space="preserve">   </v>
      </c>
      <c r="J156" s="8" t="str">
        <f t="shared" si="42"/>
        <v xml:space="preserve">   </v>
      </c>
      <c r="K156" s="9" t="str">
        <f t="shared" si="43"/>
        <v xml:space="preserve">   </v>
      </c>
      <c r="L156" s="5"/>
    </row>
    <row r="157" spans="2:12" x14ac:dyDescent="0.25">
      <c r="B157" t="str">
        <f t="shared" si="38"/>
        <v>"RELCAPITAL","open":"412.80","high":"420.50","low":"400.25","ltP":"402.95","ptsC":"-7.95","per":"-1.93","trdVol":"37.23","trdVolM":"3.72","ntP":"153.21","mVal":"1.53","wkhi":"471.00","wklo":"246.35","wkhicm_adj":"669.90","wklocm_adj":"304.50","xDt":"31-DEC-2999","cAct":"-","yPC":"1.03","mPC":"0.10"</v>
      </c>
      <c r="C157" s="12" t="s">
        <v>149</v>
      </c>
      <c r="D157" s="5" t="str">
        <f>MID($B157,FIND(D$9,$B157)+LEN(D$9)+3,FIND(CHAR(34),$B157,FIND(D$9,$B157)+LEN(D$9)+3)-(FIND(D$9,$B157)+LEN(D$9)+3))</f>
        <v>412.80</v>
      </c>
      <c r="E157" s="5" t="str">
        <f>MID($B157,FIND(E$9,$B157)+LEN(E$9)+3,FIND(CHAR(34),$B157,FIND(E$9,$B157)+LEN(E$9)+3)-(FIND(E$9,$B157)+LEN(E$9)+3))</f>
        <v>420.50</v>
      </c>
      <c r="F157" s="5" t="str">
        <f>MID($B157,FIND(F$9,$B157)+LEN(F$9)+3,FIND(CHAR(34),$B157,FIND(F$9,$B157)+LEN(F$9)+3)-(FIND(F$9,$B157)+LEN(F$9)+3))</f>
        <v>400.25</v>
      </c>
      <c r="G157" s="5" t="str">
        <f>MID($B157,FIND(G$9,$B157)+LEN(G$9)+3,FIND(CHAR(34),$B157,FIND(G$9,$B157)+LEN(G$9)+3)-(FIND(G$9,$B157)+LEN(G$9)+3))</f>
        <v>402.95</v>
      </c>
      <c r="H157" s="6" t="str">
        <f t="shared" si="40"/>
        <v xml:space="preserve">   </v>
      </c>
      <c r="I157" s="7" t="str">
        <f t="shared" si="41"/>
        <v xml:space="preserve">   </v>
      </c>
      <c r="J157" s="8" t="str">
        <f t="shared" si="42"/>
        <v xml:space="preserve">   </v>
      </c>
      <c r="K157" s="9" t="str">
        <f t="shared" si="43"/>
        <v xml:space="preserve">   </v>
      </c>
      <c r="L157" s="5"/>
    </row>
    <row r="158" spans="2:12" x14ac:dyDescent="0.25">
      <c r="B158" t="str">
        <f t="shared" si="38"/>
        <v>"RELINFRA","open":"538.00","high":"543.60","low":"520.55","ltP":"524.95","ptsC":"-13.15","per":"-2.44","trdVol":"25.83","trdVolM":"2.58","ntP":"138.07","mVal":"1.38","wkhi":"621.90","wklo":"281.55","wkhicm_adj":"819.90","wklocm_adj":"350.30","xDt":"31-DEC-2999","cAct":"-","yPC":"28.41","mPC":"-3.22"</v>
      </c>
      <c r="C158" s="12" t="s">
        <v>150</v>
      </c>
      <c r="D158" s="5" t="str">
        <f t="shared" si="39"/>
        <v>538.00</v>
      </c>
      <c r="E158" s="5" t="str">
        <f t="shared" si="39"/>
        <v>543.60</v>
      </c>
      <c r="F158" s="5" t="str">
        <f t="shared" si="39"/>
        <v>520.55</v>
      </c>
      <c r="G158" s="5" t="str">
        <f t="shared" si="39"/>
        <v>524.95</v>
      </c>
      <c r="H158" s="6" t="str">
        <f t="shared" ref="H158:H170" si="44">IF(AND(E158=0, F158=0, D158=0),"  ",IF(E158= D158,"SHORT ",IF(F158= D158,"LONG ",IF(E158&lt;&gt; F158&lt;&gt; D158,"   "))))</f>
        <v xml:space="preserve">   </v>
      </c>
      <c r="I158" s="7" t="str">
        <f t="shared" ref="I158:I170" si="45">IF(AND(E158=0,F158=0,D158=0),"  ",IF(D158=F158,ROUND(((SQRT(F158) +0.0833) ^2),0),IF(E158=D158,ROUND(((SQRT(E158) -0.0833) ^2),0),IF(E158&lt;&gt;F158&lt;&gt;D158,"   "))))</f>
        <v xml:space="preserve">   </v>
      </c>
      <c r="J158" s="8" t="str">
        <f t="shared" ref="J158:J170" si="46">IF(AND(E158=0, F158=0, D158=0),"  ",IF(E158= D158,D158+0.005*D158,IF(F158= D158,D158-0.005*D158,IF(E158&lt;&gt; F158&lt;&gt; D158,"   "))))</f>
        <v xml:space="preserve">   </v>
      </c>
      <c r="K158" s="9" t="str">
        <f t="shared" ref="K158:K170" si="47">IF(AND(E158=0, F158=0, D158=0),"  ",IF(E158= D158,(I158-G158)/I158,IF(F158= D158,(G158-I158)/I158,IF(E158&lt;&gt; F158&lt;&gt; D158,"   "))))</f>
        <v xml:space="preserve">   </v>
      </c>
      <c r="L158" s="5"/>
    </row>
    <row r="159" spans="2:12" x14ac:dyDescent="0.25">
      <c r="B159" t="str">
        <f t="shared" si="38"/>
        <v>"RPOWER","open":"52.10","high":"53.30","low":"51.50","ltP":"51.75","ptsC":"-0.25","per":"-0.48","trdVol":"44.42","trdVolM":"4.44","ntP":"23.22","mVal":"0.23","wkhi":"61.25","wklo":"33.10","wkhicm_adj":"113.30","wklocm_adj":"60.00","xDt":"31-DEC-2999","cAct":"-","yPC":"-2.08","mPC":"0.68"</v>
      </c>
      <c r="C159" s="12" t="s">
        <v>151</v>
      </c>
      <c r="D159" s="5" t="str">
        <f t="shared" ref="D159:G163" si="48">MID($B159,FIND(D$9,$B159)+LEN(D$9)+3,FIND(CHAR(34),$B159,FIND(D$9,$B159)+LEN(D$9)+3)-(FIND(D$9,$B159)+LEN(D$9)+3))</f>
        <v>52.10</v>
      </c>
      <c r="E159" s="5" t="str">
        <f t="shared" si="48"/>
        <v>53.30</v>
      </c>
      <c r="F159" s="5" t="str">
        <f t="shared" si="48"/>
        <v>51.50</v>
      </c>
      <c r="G159" s="5" t="str">
        <f t="shared" si="48"/>
        <v>51.75</v>
      </c>
      <c r="H159" s="6" t="str">
        <f t="shared" si="44"/>
        <v xml:space="preserve">   </v>
      </c>
      <c r="I159" s="7" t="str">
        <f t="shared" si="45"/>
        <v xml:space="preserve">   </v>
      </c>
      <c r="J159" s="8" t="str">
        <f t="shared" si="46"/>
        <v xml:space="preserve">   </v>
      </c>
      <c r="K159" s="9" t="str">
        <f t="shared" si="47"/>
        <v xml:space="preserve">   </v>
      </c>
      <c r="L159" s="5"/>
    </row>
    <row r="160" spans="2:12" x14ac:dyDescent="0.25">
      <c r="B160" t="str">
        <f t="shared" si="38"/>
        <v>"SRF","open":"1,300.00","high":"1,309.50","low":"1,267.15","ltP":"1,271.00","ptsC":"-26.10","per":"-2.01","trdVol":"1.41","trdVolM":"0.14","ntP":"18.24","mVal":"0.18","wkhi":"1,498.85","wklo":"1,002.00","wkhicm_adj":"958.80","wklocm_adj":"170.00","xDt":"31-DEC-2999","cAct":"-","yPC":"11.52","mPC":"-6.48"</v>
      </c>
      <c r="C160" s="12" t="s">
        <v>152</v>
      </c>
      <c r="D160" s="5" t="str">
        <f t="shared" si="48"/>
        <v>1,300.00</v>
      </c>
      <c r="E160" s="5" t="str">
        <f t="shared" si="48"/>
        <v>1,309.50</v>
      </c>
      <c r="F160" s="5" t="str">
        <f t="shared" si="48"/>
        <v>1,267.15</v>
      </c>
      <c r="G160" s="5" t="str">
        <f t="shared" si="48"/>
        <v>1,271.00</v>
      </c>
      <c r="H160" s="6" t="str">
        <f t="shared" si="44"/>
        <v xml:space="preserve">   </v>
      </c>
      <c r="I160" s="7" t="str">
        <f t="shared" si="45"/>
        <v xml:space="preserve">   </v>
      </c>
      <c r="J160" s="8" t="str">
        <f t="shared" si="46"/>
        <v xml:space="preserve">   </v>
      </c>
      <c r="K160" s="9" t="str">
        <f t="shared" si="47"/>
        <v xml:space="preserve">   </v>
      </c>
      <c r="L160" s="5"/>
    </row>
    <row r="161" spans="2:12" x14ac:dyDescent="0.25">
      <c r="B161" t="str">
        <f t="shared" si="38"/>
        <v>"STAR","open":"1,118.00","high":"1,135.00","low":"1,104.00","ltP":"1,111.25","ptsC":"-0.40","per":"-0.04","trdVol":"2.51","trdVolM":"0.25","ntP":"28.09","mVal":"0.28","wkhi":"1,414.00","wklo":"847.00","wkhicm_adj":"1,045.00","wklocm_adj":"310.15","xDt":"31-DEC-2999","cAct":"-","yPC":"-9.10","mPC":"0.34"</v>
      </c>
      <c r="C161" s="12" t="s">
        <v>153</v>
      </c>
      <c r="D161" s="5" t="str">
        <f t="shared" si="48"/>
        <v>1,118.00</v>
      </c>
      <c r="E161" s="5" t="str">
        <f t="shared" si="48"/>
        <v>1,135.00</v>
      </c>
      <c r="F161" s="5" t="str">
        <f t="shared" si="48"/>
        <v>1,104.00</v>
      </c>
      <c r="G161" s="5" t="str">
        <f t="shared" si="48"/>
        <v>1,111.25</v>
      </c>
      <c r="H161" s="6" t="str">
        <f t="shared" si="44"/>
        <v xml:space="preserve">   </v>
      </c>
      <c r="I161" s="7" t="str">
        <f t="shared" si="45"/>
        <v xml:space="preserve">   </v>
      </c>
      <c r="J161" s="8" t="str">
        <f t="shared" si="46"/>
        <v xml:space="preserve">   </v>
      </c>
      <c r="K161" s="9" t="str">
        <f t="shared" si="47"/>
        <v xml:space="preserve">   </v>
      </c>
      <c r="L161" s="5"/>
    </row>
    <row r="162" spans="2:12" x14ac:dyDescent="0.25">
      <c r="B162" t="str">
        <f t="shared" si="38"/>
        <v>"SUNTV","open":"380.00","high":"380.00","low":"362.40","ltP":"363.55","ptsC":"-11.40","per":"-3.04","trdVol":"12.19","trdVolM":"1.22","ntP":"44.72","mVal":"0.45","wkhi":"436.80","wklo":"255.80","wkhicm_adj":"477.00","wklocm_adj":"300.00","xDt":"21-MAR-2016","cAct":"INTERIM DIVIDEND - RS 7.50\/- PER SHARE (PURPOSE REVISED)","yPC":"0.18","mPC":"-1.65"</v>
      </c>
      <c r="C162" s="12" t="s">
        <v>154</v>
      </c>
      <c r="D162" s="5" t="str">
        <f t="shared" si="48"/>
        <v>380.00</v>
      </c>
      <c r="E162" s="5" t="str">
        <f t="shared" si="48"/>
        <v>380.00</v>
      </c>
      <c r="F162" s="5" t="str">
        <f t="shared" si="48"/>
        <v>362.40</v>
      </c>
      <c r="G162" s="5" t="str">
        <f t="shared" si="48"/>
        <v>363.55</v>
      </c>
      <c r="H162" s="6" t="str">
        <f t="shared" si="44"/>
        <v xml:space="preserve">SHORT </v>
      </c>
      <c r="I162" s="7">
        <f t="shared" si="45"/>
        <v>377</v>
      </c>
      <c r="J162" s="8">
        <f t="shared" si="46"/>
        <v>381.9</v>
      </c>
      <c r="K162" s="9">
        <f t="shared" si="47"/>
        <v>3.567639257294427E-2</v>
      </c>
      <c r="L162" s="5"/>
    </row>
    <row r="163" spans="2:12" x14ac:dyDescent="0.25">
      <c r="B163" t="str">
        <f t="shared" si="38"/>
        <v>"SYNDIBANK","open":"67.00","high":"68.10","low":"64.10","ltP":"64.45","ptsC":"-2.65","per":"-3.95","trdVol":"37.39","trdVolM":"3.74","ntP":"24.67","mVal":"0.25","wkhi":"117.90","wklo":"49.40","wkhicm_adj":"180.00","wklocm_adj":"77.60","xDt":"31-DEC-2999","cAct":"-","yPC":"-44.84","mPC":"-6.80"</v>
      </c>
      <c r="C163" s="12" t="s">
        <v>155</v>
      </c>
      <c r="D163" s="5" t="str">
        <f t="shared" si="48"/>
        <v>67.00</v>
      </c>
      <c r="E163" s="5" t="str">
        <f t="shared" si="48"/>
        <v>68.10</v>
      </c>
      <c r="F163" s="5" t="str">
        <f t="shared" si="48"/>
        <v>64.10</v>
      </c>
      <c r="G163" s="5" t="str">
        <f t="shared" si="48"/>
        <v>64.45</v>
      </c>
      <c r="H163" s="6" t="str">
        <f t="shared" si="44"/>
        <v xml:space="preserve">   </v>
      </c>
      <c r="I163" s="7" t="str">
        <f t="shared" si="45"/>
        <v xml:space="preserve">   </v>
      </c>
      <c r="J163" s="8" t="str">
        <f t="shared" si="46"/>
        <v xml:space="preserve">   </v>
      </c>
      <c r="K163" s="9" t="str">
        <f t="shared" si="47"/>
        <v xml:space="preserve">   </v>
      </c>
      <c r="L163" s="5"/>
    </row>
    <row r="164" spans="2:12" x14ac:dyDescent="0.25">
      <c r="B164" t="str">
        <f t="shared" si="38"/>
        <v>"TATACHEM","open":"435.40","high":"435.95","low":"426.40","ltP":"429.25","ptsC":"-2.45","per":"-0.57","trdVol":"4.63","trdVolM":"0.46","ntP":"19.92","mVal":"0.20","wkhi":"526.00","wklo":"309.60","wkhicm_adj":"442.75","wklocm_adj":"244.20","xDt":"31-DEC-2999","cAct":"-","yPC":"0.18","mPC":"5.58"</v>
      </c>
      <c r="C164" s="12" t="s">
        <v>156</v>
      </c>
      <c r="D164" s="5" t="str">
        <f t="shared" ref="D164:G170" si="49">MID($B164,FIND(D$9,$B164)+LEN(D$9)+3,FIND(CHAR(34),$B164,FIND(D$9,$B164)+LEN(D$9)+3)-(FIND(D$9,$B164)+LEN(D$9)+3))</f>
        <v>435.40</v>
      </c>
      <c r="E164" s="5" t="str">
        <f t="shared" si="49"/>
        <v>435.95</v>
      </c>
      <c r="F164" s="5" t="str">
        <f t="shared" si="49"/>
        <v>426.40</v>
      </c>
      <c r="G164" s="5" t="str">
        <f t="shared" si="49"/>
        <v>429.25</v>
      </c>
      <c r="H164" s="6" t="str">
        <f t="shared" si="44"/>
        <v xml:space="preserve">   </v>
      </c>
      <c r="I164" s="7" t="str">
        <f t="shared" si="45"/>
        <v xml:space="preserve">   </v>
      </c>
      <c r="J164" s="8" t="str">
        <f t="shared" si="46"/>
        <v xml:space="preserve">   </v>
      </c>
      <c r="K164" s="9" t="str">
        <f t="shared" si="47"/>
        <v xml:space="preserve">   </v>
      </c>
      <c r="L164" s="5"/>
    </row>
    <row r="165" spans="2:12" x14ac:dyDescent="0.25">
      <c r="B165" t="str">
        <f t="shared" si="38"/>
        <v>"TATACOMM","open":"453.25","high":"457.25","low":"441.05","ltP":"441.50","ptsC":"-15.75","per":"-3.44","trdVol":"4.65","trdVolM":"0.46","ntP":"20.80","mVal":"0.21","wkhi":"491.35","wklo":"325.00","wkhicm_adj":"462.40","wklocm_adj":"258.50","xDt":"31-DEC-2999","cAct":"-","yPC":"1.63","mPC":"5.17"</v>
      </c>
      <c r="C165" s="12" t="s">
        <v>157</v>
      </c>
      <c r="D165" s="5" t="str">
        <f t="shared" si="49"/>
        <v>453.25</v>
      </c>
      <c r="E165" s="5" t="str">
        <f t="shared" si="49"/>
        <v>457.25</v>
      </c>
      <c r="F165" s="5" t="str">
        <f t="shared" si="49"/>
        <v>441.05</v>
      </c>
      <c r="G165" s="5" t="str">
        <f t="shared" si="49"/>
        <v>441.50</v>
      </c>
      <c r="H165" s="6" t="str">
        <f t="shared" si="44"/>
        <v xml:space="preserve">   </v>
      </c>
      <c r="I165" s="7" t="str">
        <f t="shared" si="45"/>
        <v xml:space="preserve">   </v>
      </c>
      <c r="J165" s="8" t="str">
        <f t="shared" si="46"/>
        <v xml:space="preserve">   </v>
      </c>
      <c r="K165" s="9" t="str">
        <f t="shared" si="47"/>
        <v xml:space="preserve">   </v>
      </c>
      <c r="L165" s="5"/>
    </row>
    <row r="166" spans="2:12" x14ac:dyDescent="0.25">
      <c r="B166" t="str">
        <f t="shared" si="38"/>
        <v>"TATAGLOBAL","open":"118.20","high":"119.45","low":"117.85","ltP":"117.90","ptsC":"0.15","per":"0.13","trdVol":"5.81","trdVolM":"0.58","ntP":"6.89","mVal":"0.07","wkhi":"149.80","wklo":"100.00","wkhicm_adj":"177.15","wklocm_adj":"135.25","xDt":"31-DEC-2999","cAct":"-","yPC":"-18.77","mPC":"-2.64"</v>
      </c>
      <c r="C166" s="12" t="s">
        <v>158</v>
      </c>
      <c r="D166" s="5" t="str">
        <f t="shared" si="49"/>
        <v>118.20</v>
      </c>
      <c r="E166" s="5" t="str">
        <f t="shared" si="49"/>
        <v>119.45</v>
      </c>
      <c r="F166" s="5" t="str">
        <f t="shared" si="49"/>
        <v>117.85</v>
      </c>
      <c r="G166" s="5" t="str">
        <f t="shared" si="49"/>
        <v>117.90</v>
      </c>
      <c r="H166" s="6" t="str">
        <f t="shared" si="44"/>
        <v xml:space="preserve">   </v>
      </c>
      <c r="I166" s="7" t="str">
        <f t="shared" si="45"/>
        <v xml:space="preserve">   </v>
      </c>
      <c r="J166" s="8" t="str">
        <f t="shared" si="46"/>
        <v xml:space="preserve">   </v>
      </c>
      <c r="K166" s="9" t="str">
        <f t="shared" si="47"/>
        <v xml:space="preserve">   </v>
      </c>
      <c r="L166" s="5"/>
    </row>
    <row r="167" spans="2:12" x14ac:dyDescent="0.25">
      <c r="B167" t="str">
        <f t="shared" si="38"/>
        <v>"TVSMOTOR","open":"288.00","high":"292.00","low":"286.95","ltP":"288.65","ptsC":"4.00","per":"1.41","trdVol":"14.84","trdVolM":"1.48","ntP":"42.98","mVal":"0.43","wkhi":"340.85","wklo":"201.00","wkhicm_adj":"266.70","wklocm_adj":"52.50","xDt":"17-MAR-2016","cAct":"INTERIM DIVIDEND - RS 1.50 PER SHARE (PURPOSE REVISED)","yPC":"21.97","mPC":"-9.50"</v>
      </c>
      <c r="C167" s="12" t="s">
        <v>159</v>
      </c>
      <c r="D167" s="5" t="str">
        <f t="shared" si="49"/>
        <v>288.00</v>
      </c>
      <c r="E167" s="5" t="str">
        <f t="shared" si="49"/>
        <v>292.00</v>
      </c>
      <c r="F167" s="5" t="str">
        <f t="shared" si="49"/>
        <v>286.95</v>
      </c>
      <c r="G167" s="5" t="str">
        <f t="shared" si="49"/>
        <v>288.65</v>
      </c>
      <c r="H167" s="6" t="str">
        <f t="shared" si="44"/>
        <v xml:space="preserve">   </v>
      </c>
      <c r="I167" s="7" t="str">
        <f t="shared" si="45"/>
        <v xml:space="preserve">   </v>
      </c>
      <c r="J167" s="8" t="str">
        <f t="shared" si="46"/>
        <v xml:space="preserve">   </v>
      </c>
      <c r="K167" s="9" t="str">
        <f t="shared" si="47"/>
        <v xml:space="preserve">   </v>
      </c>
      <c r="L167" s="5"/>
    </row>
    <row r="168" spans="2:12" x14ac:dyDescent="0.25">
      <c r="B168" t="str">
        <f t="shared" si="38"/>
        <v>"UNIONBANK","open":"118.80","high":"119.20","low":"113.20","ltP":"113.65","ptsC":"-4.75","per":"-4.01","trdVol":"42.59","trdVolM":"4.26","ntP":"49.58","mVal":"0.50","wkhi":"222.70","wklo":"104.00","wkhicm_adj":"259.65","wklocm_adj":"100.50","xDt":"31-DEC-2999","cAct":"-","yPC":"-35.11","mPC":"-9.87"</v>
      </c>
      <c r="C168" s="12" t="s">
        <v>160</v>
      </c>
      <c r="D168" s="5" t="str">
        <f t="shared" si="49"/>
        <v>118.80</v>
      </c>
      <c r="E168" s="5" t="str">
        <f t="shared" si="49"/>
        <v>119.20</v>
      </c>
      <c r="F168" s="5" t="str">
        <f t="shared" si="49"/>
        <v>113.20</v>
      </c>
      <c r="G168" s="5" t="str">
        <f t="shared" si="49"/>
        <v>113.65</v>
      </c>
      <c r="H168" s="6" t="str">
        <f t="shared" si="44"/>
        <v xml:space="preserve">   </v>
      </c>
      <c r="I168" s="7" t="str">
        <f t="shared" si="45"/>
        <v xml:space="preserve">   </v>
      </c>
      <c r="J168" s="8" t="str">
        <f t="shared" si="46"/>
        <v xml:space="preserve">   </v>
      </c>
      <c r="K168" s="9" t="str">
        <f t="shared" si="47"/>
        <v xml:space="preserve">   </v>
      </c>
      <c r="L168" s="5"/>
    </row>
    <row r="169" spans="2:12" x14ac:dyDescent="0.25">
      <c r="B169" t="str">
        <f t="shared" si="38"/>
        <v>"VOLTAS","open":"336.05","high":"342.25","low":"329.70","ltP":"333.95","ptsC":"-1.95","per":"-0.58","trdVol":"12.14","trdVolM":"1.21","ntP":"40.98","mVal":"0.41","wkhi":"359.90","wklo":"211.00","wkhicm_adj":"286.45","wklocm_adj":"96.85","xDt":"31-DEC-2999","cAct":"-","yPC":"-1.18","mPC":"12.69"</v>
      </c>
      <c r="C169" s="12" t="s">
        <v>161</v>
      </c>
      <c r="D169" s="5" t="str">
        <f t="shared" si="49"/>
        <v>336.05</v>
      </c>
      <c r="E169" s="5" t="str">
        <f t="shared" si="49"/>
        <v>342.25</v>
      </c>
      <c r="F169" s="5" t="str">
        <f t="shared" si="49"/>
        <v>329.70</v>
      </c>
      <c r="G169" s="5" t="str">
        <f t="shared" si="49"/>
        <v>333.95</v>
      </c>
      <c r="H169" s="6" t="str">
        <f t="shared" si="44"/>
        <v xml:space="preserve">   </v>
      </c>
      <c r="I169" s="7" t="str">
        <f t="shared" si="45"/>
        <v xml:space="preserve">   </v>
      </c>
      <c r="J169" s="8" t="str">
        <f t="shared" si="46"/>
        <v xml:space="preserve">   </v>
      </c>
      <c r="K169" s="9" t="str">
        <f t="shared" si="47"/>
        <v xml:space="preserve">   </v>
      </c>
      <c r="L169" s="5"/>
    </row>
    <row r="170" spans="2:12" x14ac:dyDescent="0.25">
      <c r="B170" t="str">
        <f t="shared" si="38"/>
        <v>"WOCKPHARMA","open":"920.00","high":"942.35","low":"918.15","ltP":"929.55","ptsC":"12.60","per":"1.37","trdVol":"5.31","trdVolM":"0.53","ntP":"49.36","mVal":"0.49","wkhi":"1,745.00","wklo":"705.75","wkhicm_adj":"887.00","wklocm_adj":"336.55","xDt":"31-DEC-2999","cAct":"-","yPC":"-36.97","mPC":"-7.77"</v>
      </c>
      <c r="C170" s="12" t="s">
        <v>162</v>
      </c>
      <c r="D170" s="5" t="str">
        <f t="shared" si="49"/>
        <v>920.00</v>
      </c>
      <c r="E170" s="5" t="str">
        <f t="shared" si="49"/>
        <v>942.35</v>
      </c>
      <c r="F170" s="5" t="str">
        <f t="shared" si="49"/>
        <v>918.15</v>
      </c>
      <c r="G170" s="5" t="str">
        <f t="shared" si="49"/>
        <v>929.55</v>
      </c>
      <c r="H170" s="6" t="str">
        <f t="shared" si="44"/>
        <v xml:space="preserve">   </v>
      </c>
      <c r="I170" s="7" t="str">
        <f t="shared" si="45"/>
        <v xml:space="preserve">   </v>
      </c>
      <c r="J170" s="8" t="str">
        <f t="shared" si="46"/>
        <v xml:space="preserve">   </v>
      </c>
      <c r="K170" s="9" t="str">
        <f t="shared" si="47"/>
        <v xml:space="preserve">   </v>
      </c>
      <c r="L170" s="5"/>
    </row>
    <row r="499" spans="14:16" hidden="1" x14ac:dyDescent="0.25"/>
    <row r="500" spans="14:16" hidden="1" x14ac:dyDescent="0.25">
      <c r="N500" t="s">
        <v>170</v>
      </c>
      <c r="O500" t="s">
        <v>169</v>
      </c>
      <c r="P500" t="s">
        <v>171</v>
      </c>
    </row>
    <row r="501" spans="14:16" hidden="1" x14ac:dyDescent="0.25"/>
  </sheetData>
  <sortState ref="A2:A55">
    <sortCondition ref="A1:A55"/>
  </sortState>
  <conditionalFormatting sqref="H10:H60">
    <cfRule type="containsText" dxfId="7" priority="5" stopIfTrue="1" operator="containsText" text="short">
      <formula>NOT(ISERROR(SEARCH("short",H10)))</formula>
    </cfRule>
    <cfRule type="containsText" dxfId="6" priority="6" stopIfTrue="1" operator="containsText" text="long">
      <formula>NOT(ISERROR(SEARCH("long",H10)))</formula>
    </cfRule>
  </conditionalFormatting>
  <conditionalFormatting sqref="H66:H115">
    <cfRule type="containsText" dxfId="5" priority="3" stopIfTrue="1" operator="containsText" text="short">
      <formula>NOT(ISERROR(SEARCH("short",H66)))</formula>
    </cfRule>
    <cfRule type="containsText" dxfId="4" priority="4" stopIfTrue="1" operator="containsText" text="long">
      <formula>NOT(ISERROR(SEARCH("long",H66)))</formula>
    </cfRule>
  </conditionalFormatting>
  <conditionalFormatting sqref="H121:H170">
    <cfRule type="containsText" dxfId="3" priority="1" stopIfTrue="1" operator="containsText" text="short">
      <formula>NOT(ISERROR(SEARCH("short",H121)))</formula>
    </cfRule>
    <cfRule type="containsText" dxfId="2" priority="2" stopIfTrue="1" operator="containsText" text="long">
      <formula>NOT(ISERROR(SEARCH("long",H121)))</formula>
    </cfRule>
  </conditionalFormatting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I223"/>
  <sheetViews>
    <sheetView tabSelected="1" topLeftCell="A11" workbookViewId="0">
      <selection activeCell="I19" sqref="A3:I19"/>
    </sheetView>
  </sheetViews>
  <sheetFormatPr defaultRowHeight="15" x14ac:dyDescent="0.25"/>
  <cols>
    <col min="2" max="2" width="10.7109375" bestFit="1" customWidth="1"/>
    <col min="3" max="3" width="10.42578125" bestFit="1" customWidth="1"/>
    <col min="4" max="4" width="13.42578125" bestFit="1" customWidth="1"/>
    <col min="5" max="5" width="11.85546875" customWidth="1"/>
    <col min="9" max="9" width="16.140625" customWidth="1"/>
  </cols>
  <sheetData>
    <row r="2" spans="1:9" x14ac:dyDescent="0.25">
      <c r="A2" s="4" t="s">
        <v>168</v>
      </c>
      <c r="B2" s="4" t="s">
        <v>164</v>
      </c>
      <c r="C2" s="4" t="s">
        <v>166</v>
      </c>
      <c r="D2" s="4" t="s">
        <v>1</v>
      </c>
      <c r="E2" s="4" t="s">
        <v>6</v>
      </c>
      <c r="F2" s="4" t="s">
        <v>7</v>
      </c>
      <c r="G2" s="4" t="s">
        <v>8</v>
      </c>
      <c r="H2" s="4" t="s">
        <v>167</v>
      </c>
      <c r="I2" s="4" t="s">
        <v>58</v>
      </c>
    </row>
    <row r="3" spans="1:9" x14ac:dyDescent="0.25">
      <c r="A3">
        <v>1</v>
      </c>
      <c r="B3" s="27">
        <v>42522.936516203707</v>
      </c>
      <c r="C3" s="16"/>
      <c r="D3" t="s">
        <v>11</v>
      </c>
      <c r="E3" t="s">
        <v>172</v>
      </c>
      <c r="F3">
        <v>994</v>
      </c>
      <c r="G3">
        <v>984.10474999999997</v>
      </c>
      <c r="H3" s="24">
        <v>1024</v>
      </c>
      <c r="I3" s="25">
        <v>3.0181086519114688E-2</v>
      </c>
    </row>
    <row r="4" spans="1:9" x14ac:dyDescent="0.25">
      <c r="A4">
        <v>2</v>
      </c>
      <c r="B4" s="27">
        <v>42522.936516203707</v>
      </c>
      <c r="C4" s="16"/>
      <c r="D4" t="s">
        <v>13</v>
      </c>
      <c r="E4" t="s">
        <v>173</v>
      </c>
      <c r="F4">
        <v>2626</v>
      </c>
      <c r="G4">
        <v>2648.1750000000002</v>
      </c>
      <c r="H4" s="24">
        <v>2612</v>
      </c>
      <c r="I4" s="25">
        <v>5.3313023610053311E-3</v>
      </c>
    </row>
    <row r="5" spans="1:9" x14ac:dyDescent="0.25">
      <c r="A5">
        <v>3</v>
      </c>
      <c r="B5" s="27">
        <v>42522.936516203707</v>
      </c>
      <c r="C5" s="16"/>
      <c r="D5" t="s">
        <v>16</v>
      </c>
      <c r="E5" t="s">
        <v>173</v>
      </c>
      <c r="F5">
        <v>120</v>
      </c>
      <c r="G5">
        <v>122.61</v>
      </c>
      <c r="H5" s="24">
        <v>118.65</v>
      </c>
      <c r="I5" s="25">
        <v>1.1249999999999953E-2</v>
      </c>
    </row>
    <row r="6" spans="1:9" x14ac:dyDescent="0.25">
      <c r="A6">
        <v>4</v>
      </c>
      <c r="B6" s="27">
        <v>42522.936516203707</v>
      </c>
      <c r="C6" s="16"/>
      <c r="D6" t="s">
        <v>20</v>
      </c>
      <c r="E6" t="s">
        <v>173</v>
      </c>
      <c r="F6">
        <v>471</v>
      </c>
      <c r="G6">
        <v>477.07349999999997</v>
      </c>
      <c r="H6" s="24">
        <v>463</v>
      </c>
      <c r="I6" s="25">
        <v>1.6985138004246284E-2</v>
      </c>
    </row>
    <row r="7" spans="1:9" x14ac:dyDescent="0.25">
      <c r="A7">
        <v>5</v>
      </c>
      <c r="B7" s="27">
        <v>42522.936516203707</v>
      </c>
      <c r="C7" s="16"/>
      <c r="D7" t="s">
        <v>62</v>
      </c>
      <c r="E7" t="s">
        <v>172</v>
      </c>
      <c r="F7">
        <v>18523</v>
      </c>
      <c r="G7">
        <v>18407.5</v>
      </c>
      <c r="H7" s="24">
        <v>18680.099999999999</v>
      </c>
      <c r="I7" s="25">
        <v>8.4813475139015569E-3</v>
      </c>
    </row>
    <row r="8" spans="1:9" x14ac:dyDescent="0.25">
      <c r="A8">
        <v>6</v>
      </c>
      <c r="B8" s="27">
        <v>42522.936516203707</v>
      </c>
      <c r="C8" s="16"/>
      <c r="D8" t="s">
        <v>27</v>
      </c>
      <c r="E8" t="s">
        <v>173</v>
      </c>
      <c r="F8">
        <v>1177</v>
      </c>
      <c r="G8">
        <v>1188.86475</v>
      </c>
      <c r="H8" s="24">
        <v>1176</v>
      </c>
      <c r="I8" s="25">
        <v>8.4961767204757861E-4</v>
      </c>
    </row>
    <row r="9" spans="1:9" x14ac:dyDescent="0.25">
      <c r="A9">
        <v>7</v>
      </c>
      <c r="B9" s="27">
        <v>42522.936516203707</v>
      </c>
      <c r="C9" s="16"/>
      <c r="D9" t="s">
        <v>35</v>
      </c>
      <c r="E9" t="s">
        <v>172</v>
      </c>
      <c r="F9">
        <v>356</v>
      </c>
      <c r="G9">
        <v>351.23500000000001</v>
      </c>
      <c r="H9">
        <v>361.1</v>
      </c>
      <c r="I9" s="25">
        <v>1.4325842696629277E-2</v>
      </c>
    </row>
    <row r="10" spans="1:9" x14ac:dyDescent="0.25">
      <c r="A10">
        <v>8</v>
      </c>
      <c r="B10" s="27">
        <v>42522.936516203707</v>
      </c>
      <c r="C10" s="16"/>
      <c r="D10" t="s">
        <v>36</v>
      </c>
      <c r="E10" t="s">
        <v>173</v>
      </c>
      <c r="F10">
        <v>745</v>
      </c>
      <c r="G10">
        <v>753.49874999999997</v>
      </c>
      <c r="H10" s="24">
        <v>749</v>
      </c>
      <c r="I10" s="25">
        <v>-5.3691275167785232E-3</v>
      </c>
    </row>
    <row r="11" spans="1:9" x14ac:dyDescent="0.25">
      <c r="A11">
        <v>9</v>
      </c>
      <c r="B11" s="27">
        <v>42522.936516203707</v>
      </c>
      <c r="C11" s="16"/>
      <c r="D11" t="s">
        <v>44</v>
      </c>
      <c r="E11" t="s">
        <v>173</v>
      </c>
      <c r="F11">
        <v>149</v>
      </c>
      <c r="G11">
        <v>151.35299999999998</v>
      </c>
      <c r="H11" s="24">
        <v>149.19999999999999</v>
      </c>
      <c r="I11" s="25">
        <v>-1.3422818791945545E-3</v>
      </c>
    </row>
    <row r="12" spans="1:9" x14ac:dyDescent="0.25">
      <c r="A12">
        <v>10</v>
      </c>
      <c r="B12" s="27">
        <v>42522.936516203707</v>
      </c>
      <c r="C12" s="16"/>
      <c r="D12" t="s">
        <v>64</v>
      </c>
      <c r="E12" t="s">
        <v>173</v>
      </c>
      <c r="F12">
        <v>315</v>
      </c>
      <c r="G12">
        <v>319.58999999999997</v>
      </c>
      <c r="H12">
        <v>308.14999999999998</v>
      </c>
      <c r="I12" s="25">
        <v>2.1746031746031819E-2</v>
      </c>
    </row>
    <row r="13" spans="1:9" x14ac:dyDescent="0.25">
      <c r="A13">
        <v>11</v>
      </c>
      <c r="B13" s="27">
        <v>42522.936516203707</v>
      </c>
      <c r="C13" s="16"/>
      <c r="D13" t="s">
        <v>49</v>
      </c>
      <c r="E13" t="s">
        <v>173</v>
      </c>
      <c r="F13">
        <v>74</v>
      </c>
      <c r="G13">
        <v>75.324750000000009</v>
      </c>
      <c r="H13" s="24">
        <v>72.849999999999994</v>
      </c>
      <c r="I13" s="25">
        <v>1.5540540540540618E-2</v>
      </c>
    </row>
    <row r="14" spans="1:9" x14ac:dyDescent="0.25">
      <c r="A14">
        <v>12</v>
      </c>
      <c r="B14" s="27">
        <v>42522.936516203707</v>
      </c>
      <c r="C14" s="16"/>
      <c r="D14" t="s">
        <v>55</v>
      </c>
      <c r="E14" t="s">
        <v>172</v>
      </c>
      <c r="F14">
        <v>549</v>
      </c>
      <c r="G14">
        <v>542.87200000000007</v>
      </c>
      <c r="H14">
        <v>554.6</v>
      </c>
      <c r="I14" s="25">
        <v>1.0200364298724996E-2</v>
      </c>
    </row>
    <row r="15" spans="1:9" x14ac:dyDescent="0.25">
      <c r="A15">
        <v>13</v>
      </c>
      <c r="B15" s="27">
        <v>42522.936516203707</v>
      </c>
      <c r="C15" s="16"/>
      <c r="D15" t="s">
        <v>81</v>
      </c>
      <c r="E15" t="s">
        <v>172</v>
      </c>
      <c r="F15">
        <v>1098</v>
      </c>
      <c r="G15">
        <v>1086.54</v>
      </c>
      <c r="H15" s="24">
        <v>1115.5</v>
      </c>
      <c r="I15" s="25">
        <v>1.5938069216757743E-2</v>
      </c>
    </row>
    <row r="16" spans="1:9" x14ac:dyDescent="0.25">
      <c r="A16">
        <v>14</v>
      </c>
      <c r="B16" s="27">
        <v>42522.936516203707</v>
      </c>
      <c r="C16" s="16"/>
      <c r="D16" t="s">
        <v>103</v>
      </c>
      <c r="E16" t="s">
        <v>172</v>
      </c>
      <c r="F16">
        <v>164</v>
      </c>
      <c r="G16">
        <v>161.2895</v>
      </c>
      <c r="H16" s="24">
        <v>164.75</v>
      </c>
      <c r="I16" s="25">
        <v>4.5731707317073168E-3</v>
      </c>
    </row>
    <row r="17" spans="1:9" x14ac:dyDescent="0.25">
      <c r="A17">
        <v>15</v>
      </c>
      <c r="B17" s="27">
        <v>42522.936516203707</v>
      </c>
      <c r="C17" s="16"/>
      <c r="D17" t="s">
        <v>54</v>
      </c>
      <c r="E17" t="s">
        <v>173</v>
      </c>
      <c r="F17">
        <v>107</v>
      </c>
      <c r="G17">
        <v>109.545</v>
      </c>
      <c r="H17">
        <v>105.3</v>
      </c>
      <c r="I17" s="25">
        <v>1.5887850467289747E-2</v>
      </c>
    </row>
    <row r="18" spans="1:9" x14ac:dyDescent="0.25">
      <c r="A18">
        <v>16</v>
      </c>
      <c r="B18" s="27">
        <v>42522.936516203707</v>
      </c>
      <c r="C18" s="16"/>
      <c r="D18" t="s">
        <v>144</v>
      </c>
      <c r="E18" t="s">
        <v>173</v>
      </c>
      <c r="F18">
        <v>662</v>
      </c>
      <c r="G18">
        <v>669.27975000000004</v>
      </c>
      <c r="H18" s="24">
        <v>655.4</v>
      </c>
      <c r="I18" s="25">
        <v>9.9697885196374965E-3</v>
      </c>
    </row>
    <row r="19" spans="1:9" x14ac:dyDescent="0.25">
      <c r="A19">
        <v>17</v>
      </c>
      <c r="B19" s="27">
        <v>42522.936516203707</v>
      </c>
      <c r="C19" s="16"/>
      <c r="D19" t="s">
        <v>154</v>
      </c>
      <c r="E19" t="s">
        <v>173</v>
      </c>
      <c r="F19">
        <v>377</v>
      </c>
      <c r="G19">
        <v>381.9</v>
      </c>
      <c r="H19">
        <v>363.55</v>
      </c>
      <c r="I19" s="25">
        <v>3.567639257294427E-2</v>
      </c>
    </row>
    <row r="20" spans="1:9" x14ac:dyDescent="0.25">
      <c r="B20" s="26"/>
      <c r="C20" s="16"/>
      <c r="H20" s="24"/>
      <c r="I20" s="25"/>
    </row>
    <row r="21" spans="1:9" x14ac:dyDescent="0.25">
      <c r="B21" s="26"/>
      <c r="C21" s="16"/>
      <c r="H21" s="24"/>
      <c r="I21" s="25"/>
    </row>
    <row r="22" spans="1:9" x14ac:dyDescent="0.25">
      <c r="B22" s="26"/>
      <c r="C22" s="16"/>
      <c r="H22" s="24"/>
      <c r="I22" s="25"/>
    </row>
    <row r="23" spans="1:9" x14ac:dyDescent="0.25">
      <c r="B23" s="26"/>
      <c r="C23" s="16"/>
      <c r="I23" s="25"/>
    </row>
    <row r="24" spans="1:9" x14ac:dyDescent="0.25">
      <c r="B24" s="26"/>
      <c r="C24" s="16"/>
      <c r="H24" s="24"/>
      <c r="I24" s="25"/>
    </row>
    <row r="25" spans="1:9" x14ac:dyDescent="0.25">
      <c r="B25" s="26"/>
      <c r="C25" s="16"/>
      <c r="H25" s="24"/>
      <c r="I25" s="25"/>
    </row>
    <row r="26" spans="1:9" x14ac:dyDescent="0.25">
      <c r="B26" s="26"/>
      <c r="C26" s="16"/>
      <c r="I26" s="25"/>
    </row>
    <row r="27" spans="1:9" x14ac:dyDescent="0.25">
      <c r="B27" s="26"/>
      <c r="C27" s="16"/>
      <c r="I27" s="25"/>
    </row>
    <row r="28" spans="1:9" x14ac:dyDescent="0.25">
      <c r="B28" s="26"/>
      <c r="C28" s="16"/>
      <c r="I28" s="25"/>
    </row>
    <row r="29" spans="1:9" x14ac:dyDescent="0.25">
      <c r="B29" s="26"/>
      <c r="C29" s="16"/>
      <c r="I29" s="25"/>
    </row>
    <row r="30" spans="1:9" x14ac:dyDescent="0.25">
      <c r="B30" s="26"/>
      <c r="C30" s="16"/>
      <c r="I30" s="25"/>
    </row>
    <row r="31" spans="1:9" x14ac:dyDescent="0.25">
      <c r="B31" s="26"/>
      <c r="C31" s="16"/>
      <c r="I31" s="25"/>
    </row>
    <row r="32" spans="1:9" x14ac:dyDescent="0.25">
      <c r="B32" s="26"/>
      <c r="C32" s="16"/>
      <c r="H32" s="24"/>
      <c r="I32" s="25"/>
    </row>
    <row r="33" spans="2:9" x14ac:dyDescent="0.25">
      <c r="B33" s="26"/>
      <c r="C33" s="16"/>
      <c r="I33" s="25"/>
    </row>
    <row r="34" spans="2:9" x14ac:dyDescent="0.25">
      <c r="B34" s="26"/>
      <c r="C34" s="16"/>
      <c r="I34" s="25"/>
    </row>
    <row r="35" spans="2:9" x14ac:dyDescent="0.25">
      <c r="B35" s="26"/>
      <c r="C35" s="16"/>
      <c r="I35" s="25"/>
    </row>
    <row r="36" spans="2:9" x14ac:dyDescent="0.25">
      <c r="B36" s="26"/>
      <c r="C36" s="16"/>
      <c r="I36" s="25"/>
    </row>
    <row r="37" spans="2:9" x14ac:dyDescent="0.25">
      <c r="B37" s="26"/>
      <c r="C37" s="16"/>
      <c r="H37" s="24"/>
      <c r="I37" s="25"/>
    </row>
    <row r="38" spans="2:9" x14ac:dyDescent="0.25">
      <c r="B38" s="26"/>
      <c r="C38" s="16"/>
      <c r="H38" s="24"/>
      <c r="I38" s="25"/>
    </row>
    <row r="39" spans="2:9" x14ac:dyDescent="0.25">
      <c r="B39" s="26"/>
      <c r="C39" s="16"/>
      <c r="I39" s="25"/>
    </row>
    <row r="40" spans="2:9" x14ac:dyDescent="0.25">
      <c r="B40" s="26"/>
      <c r="C40" s="16"/>
      <c r="I40" s="25"/>
    </row>
    <row r="41" spans="2:9" x14ac:dyDescent="0.25">
      <c r="B41" s="26"/>
      <c r="C41" s="16"/>
      <c r="H41" s="24"/>
      <c r="I41" s="25"/>
    </row>
    <row r="42" spans="2:9" x14ac:dyDescent="0.25">
      <c r="B42" s="26"/>
      <c r="C42" s="16"/>
      <c r="H42" s="24"/>
      <c r="I42" s="25"/>
    </row>
    <row r="43" spans="2:9" x14ac:dyDescent="0.25">
      <c r="B43" s="26"/>
      <c r="C43" s="16"/>
      <c r="I43" s="25"/>
    </row>
    <row r="44" spans="2:9" x14ac:dyDescent="0.25">
      <c r="B44" s="26"/>
      <c r="C44" s="16"/>
      <c r="I44" s="25"/>
    </row>
    <row r="45" spans="2:9" x14ac:dyDescent="0.25">
      <c r="B45" s="26"/>
      <c r="C45" s="16"/>
      <c r="I45" s="25"/>
    </row>
    <row r="46" spans="2:9" x14ac:dyDescent="0.25">
      <c r="B46" s="26"/>
      <c r="C46" s="16"/>
      <c r="I46" s="25"/>
    </row>
    <row r="47" spans="2:9" x14ac:dyDescent="0.25">
      <c r="B47" s="26"/>
      <c r="C47" s="16"/>
      <c r="I47" s="25"/>
    </row>
    <row r="48" spans="2:9" x14ac:dyDescent="0.25">
      <c r="B48" s="26"/>
      <c r="C48" s="16"/>
      <c r="I48" s="25"/>
    </row>
    <row r="49" spans="2:9" x14ac:dyDescent="0.25">
      <c r="B49" s="26"/>
      <c r="C49" s="16"/>
      <c r="H49" s="24"/>
      <c r="I49" s="25"/>
    </row>
    <row r="50" spans="2:9" x14ac:dyDescent="0.25">
      <c r="B50" s="26"/>
      <c r="C50" s="16"/>
      <c r="I50" s="25"/>
    </row>
    <row r="51" spans="2:9" x14ac:dyDescent="0.25">
      <c r="B51" s="26"/>
      <c r="C51" s="16"/>
      <c r="I51" s="25"/>
    </row>
    <row r="52" spans="2:9" x14ac:dyDescent="0.25">
      <c r="B52" s="26"/>
      <c r="C52" s="16"/>
      <c r="I52" s="25"/>
    </row>
    <row r="53" spans="2:9" x14ac:dyDescent="0.25">
      <c r="B53" s="26"/>
      <c r="C53" s="16"/>
      <c r="I53" s="25"/>
    </row>
    <row r="54" spans="2:9" x14ac:dyDescent="0.25">
      <c r="B54" s="26"/>
      <c r="C54" s="16"/>
      <c r="H54" s="24"/>
      <c r="I54" s="25"/>
    </row>
    <row r="55" spans="2:9" x14ac:dyDescent="0.25">
      <c r="B55" s="26"/>
      <c r="C55" s="16"/>
      <c r="H55" s="24"/>
      <c r="I55" s="25"/>
    </row>
    <row r="56" spans="2:9" x14ac:dyDescent="0.25">
      <c r="B56" s="26"/>
      <c r="C56" s="16"/>
      <c r="I56" s="25"/>
    </row>
    <row r="57" spans="2:9" x14ac:dyDescent="0.25">
      <c r="B57" s="26"/>
      <c r="C57" s="16"/>
      <c r="I57" s="25"/>
    </row>
    <row r="58" spans="2:9" x14ac:dyDescent="0.25">
      <c r="B58" s="26"/>
      <c r="C58" s="16"/>
      <c r="H58" s="24"/>
      <c r="I58" s="25"/>
    </row>
    <row r="59" spans="2:9" x14ac:dyDescent="0.25">
      <c r="B59" s="26"/>
      <c r="C59" s="16"/>
      <c r="H59" s="24"/>
      <c r="I59" s="25"/>
    </row>
    <row r="60" spans="2:9" x14ac:dyDescent="0.25">
      <c r="B60" s="26"/>
      <c r="C60" s="16"/>
      <c r="I60" s="25"/>
    </row>
    <row r="61" spans="2:9" x14ac:dyDescent="0.25">
      <c r="B61" s="26"/>
      <c r="C61" s="16"/>
      <c r="I61" s="25"/>
    </row>
    <row r="62" spans="2:9" x14ac:dyDescent="0.25">
      <c r="B62" s="26"/>
      <c r="C62" s="16"/>
      <c r="I62" s="25"/>
    </row>
    <row r="63" spans="2:9" x14ac:dyDescent="0.25">
      <c r="B63" s="26"/>
      <c r="C63" s="16"/>
      <c r="I63" s="25"/>
    </row>
    <row r="64" spans="2:9" x14ac:dyDescent="0.25">
      <c r="B64" s="26"/>
      <c r="C64" s="16"/>
      <c r="I64" s="25"/>
    </row>
    <row r="65" spans="2:9" x14ac:dyDescent="0.25">
      <c r="B65" s="26"/>
      <c r="C65" s="16"/>
      <c r="I65" s="25"/>
    </row>
    <row r="66" spans="2:9" x14ac:dyDescent="0.25">
      <c r="B66" s="26"/>
      <c r="C66" s="16"/>
      <c r="H66" s="24"/>
      <c r="I66" s="25"/>
    </row>
    <row r="67" spans="2:9" x14ac:dyDescent="0.25">
      <c r="B67" s="26"/>
      <c r="C67" s="16"/>
      <c r="I67" s="25"/>
    </row>
    <row r="68" spans="2:9" x14ac:dyDescent="0.25">
      <c r="B68" s="26"/>
      <c r="C68" s="16"/>
      <c r="I68" s="25"/>
    </row>
    <row r="69" spans="2:9" x14ac:dyDescent="0.25">
      <c r="B69" s="26"/>
      <c r="C69" s="16"/>
      <c r="I69" s="25"/>
    </row>
    <row r="70" spans="2:9" x14ac:dyDescent="0.25">
      <c r="B70" s="26"/>
      <c r="C70" s="16"/>
      <c r="I70" s="25"/>
    </row>
    <row r="71" spans="2:9" x14ac:dyDescent="0.25">
      <c r="B71" s="26"/>
      <c r="C71" s="16"/>
      <c r="H71" s="24"/>
      <c r="I71" s="25"/>
    </row>
    <row r="72" spans="2:9" x14ac:dyDescent="0.25">
      <c r="B72" s="26"/>
      <c r="C72" s="16"/>
      <c r="H72" s="24"/>
      <c r="I72" s="25"/>
    </row>
    <row r="73" spans="2:9" x14ac:dyDescent="0.25">
      <c r="B73" s="26"/>
      <c r="C73" s="16"/>
      <c r="I73" s="25"/>
    </row>
    <row r="74" spans="2:9" x14ac:dyDescent="0.25">
      <c r="B74" s="26"/>
      <c r="C74" s="16"/>
      <c r="I74" s="25"/>
    </row>
    <row r="75" spans="2:9" x14ac:dyDescent="0.25">
      <c r="B75" s="26"/>
      <c r="C75" s="16"/>
      <c r="H75" s="24"/>
      <c r="I75" s="25"/>
    </row>
    <row r="76" spans="2:9" x14ac:dyDescent="0.25">
      <c r="B76" s="26"/>
      <c r="C76" s="16"/>
      <c r="H76" s="24"/>
      <c r="I76" s="25"/>
    </row>
    <row r="77" spans="2:9" x14ac:dyDescent="0.25">
      <c r="B77" s="26"/>
      <c r="C77" s="16"/>
      <c r="I77" s="25"/>
    </row>
    <row r="78" spans="2:9" x14ac:dyDescent="0.25">
      <c r="B78" s="26"/>
      <c r="C78" s="16"/>
      <c r="I78" s="25"/>
    </row>
    <row r="79" spans="2:9" x14ac:dyDescent="0.25">
      <c r="B79" s="26"/>
      <c r="C79" s="16"/>
      <c r="I79" s="25"/>
    </row>
    <row r="80" spans="2:9" x14ac:dyDescent="0.25">
      <c r="B80" s="26"/>
      <c r="C80" s="16"/>
      <c r="I80" s="25"/>
    </row>
    <row r="81" spans="2:9" x14ac:dyDescent="0.25">
      <c r="B81" s="26"/>
      <c r="C81" s="16"/>
      <c r="I81" s="25"/>
    </row>
    <row r="82" spans="2:9" x14ac:dyDescent="0.25">
      <c r="B82" s="26"/>
      <c r="C82" s="16"/>
      <c r="I82" s="25"/>
    </row>
    <row r="83" spans="2:9" x14ac:dyDescent="0.25">
      <c r="B83" s="26"/>
      <c r="C83" s="16"/>
      <c r="H83" s="24"/>
      <c r="I83" s="25"/>
    </row>
    <row r="84" spans="2:9" x14ac:dyDescent="0.25">
      <c r="B84" s="26"/>
      <c r="C84" s="16"/>
      <c r="I84" s="25"/>
    </row>
    <row r="85" spans="2:9" x14ac:dyDescent="0.25">
      <c r="B85" s="26"/>
      <c r="C85" s="16"/>
      <c r="I85" s="25"/>
    </row>
    <row r="86" spans="2:9" x14ac:dyDescent="0.25">
      <c r="B86" s="26"/>
      <c r="C86" s="16"/>
      <c r="I86" s="25"/>
    </row>
    <row r="87" spans="2:9" x14ac:dyDescent="0.25">
      <c r="B87" s="26"/>
      <c r="C87" s="16"/>
      <c r="I87" s="25"/>
    </row>
    <row r="88" spans="2:9" x14ac:dyDescent="0.25">
      <c r="B88" s="26"/>
      <c r="C88" s="16"/>
      <c r="H88" s="24"/>
      <c r="I88" s="25"/>
    </row>
    <row r="89" spans="2:9" x14ac:dyDescent="0.25">
      <c r="B89" s="26"/>
      <c r="C89" s="16"/>
      <c r="H89" s="24"/>
      <c r="I89" s="25"/>
    </row>
    <row r="90" spans="2:9" x14ac:dyDescent="0.25">
      <c r="B90" s="26"/>
      <c r="C90" s="16"/>
      <c r="I90" s="25"/>
    </row>
    <row r="91" spans="2:9" x14ac:dyDescent="0.25">
      <c r="B91" s="26"/>
      <c r="C91" s="16"/>
      <c r="I91" s="25"/>
    </row>
    <row r="92" spans="2:9" x14ac:dyDescent="0.25">
      <c r="B92" s="26"/>
      <c r="C92" s="16"/>
      <c r="H92" s="24"/>
      <c r="I92" s="25"/>
    </row>
    <row r="93" spans="2:9" x14ac:dyDescent="0.25">
      <c r="B93" s="26"/>
      <c r="C93" s="16"/>
      <c r="H93" s="24"/>
      <c r="I93" s="25"/>
    </row>
    <row r="94" spans="2:9" x14ac:dyDescent="0.25">
      <c r="B94" s="26"/>
      <c r="C94" s="16"/>
      <c r="I94" s="25"/>
    </row>
    <row r="95" spans="2:9" x14ac:dyDescent="0.25">
      <c r="B95" s="26"/>
      <c r="C95" s="16"/>
      <c r="I95" s="25"/>
    </row>
    <row r="96" spans="2:9" x14ac:dyDescent="0.25">
      <c r="B96" s="26"/>
      <c r="C96" s="16"/>
      <c r="I96" s="25"/>
    </row>
    <row r="97" spans="2:9" x14ac:dyDescent="0.25">
      <c r="B97" s="26"/>
      <c r="C97" s="16"/>
      <c r="I97" s="25"/>
    </row>
    <row r="98" spans="2:9" x14ac:dyDescent="0.25">
      <c r="B98" s="26"/>
      <c r="C98" s="16"/>
      <c r="I98" s="25"/>
    </row>
    <row r="99" spans="2:9" x14ac:dyDescent="0.25">
      <c r="B99" s="26"/>
      <c r="C99" s="16"/>
      <c r="I99" s="25"/>
    </row>
    <row r="100" spans="2:9" x14ac:dyDescent="0.25">
      <c r="B100" s="26"/>
      <c r="C100" s="16"/>
      <c r="H100" s="24"/>
      <c r="I100" s="25"/>
    </row>
    <row r="101" spans="2:9" x14ac:dyDescent="0.25">
      <c r="B101" s="26"/>
      <c r="C101" s="16"/>
      <c r="I101" s="25"/>
    </row>
    <row r="102" spans="2:9" x14ac:dyDescent="0.25">
      <c r="B102" s="26"/>
      <c r="C102" s="16"/>
      <c r="I102" s="25"/>
    </row>
    <row r="103" spans="2:9" x14ac:dyDescent="0.25">
      <c r="B103" s="26"/>
      <c r="C103" s="16"/>
      <c r="I103" s="25"/>
    </row>
    <row r="104" spans="2:9" x14ac:dyDescent="0.25">
      <c r="B104" s="26"/>
      <c r="C104" s="16"/>
      <c r="I104" s="25"/>
    </row>
    <row r="105" spans="2:9" x14ac:dyDescent="0.25">
      <c r="B105" s="26"/>
      <c r="C105" s="16"/>
      <c r="H105" s="24"/>
      <c r="I105" s="25"/>
    </row>
    <row r="106" spans="2:9" x14ac:dyDescent="0.25">
      <c r="B106" s="26"/>
      <c r="C106" s="16"/>
      <c r="H106" s="24"/>
      <c r="I106" s="25"/>
    </row>
    <row r="107" spans="2:9" x14ac:dyDescent="0.25">
      <c r="B107" s="26"/>
      <c r="C107" s="16"/>
      <c r="I107" s="25"/>
    </row>
    <row r="108" spans="2:9" x14ac:dyDescent="0.25">
      <c r="B108" s="26"/>
      <c r="C108" s="16"/>
      <c r="I108" s="25"/>
    </row>
    <row r="109" spans="2:9" x14ac:dyDescent="0.25">
      <c r="B109" s="26"/>
      <c r="C109" s="16"/>
      <c r="H109" s="24"/>
      <c r="I109" s="25"/>
    </row>
    <row r="110" spans="2:9" x14ac:dyDescent="0.25">
      <c r="B110" s="26"/>
      <c r="C110" s="16"/>
      <c r="H110" s="24"/>
      <c r="I110" s="25"/>
    </row>
    <row r="111" spans="2:9" x14ac:dyDescent="0.25">
      <c r="B111" s="26"/>
      <c r="C111" s="16"/>
      <c r="I111" s="25"/>
    </row>
    <row r="112" spans="2:9" x14ac:dyDescent="0.25">
      <c r="B112" s="26"/>
      <c r="C112" s="16"/>
      <c r="I112" s="25"/>
    </row>
    <row r="113" spans="2:9" x14ac:dyDescent="0.25">
      <c r="B113" s="26"/>
      <c r="C113" s="16"/>
      <c r="I113" s="25"/>
    </row>
    <row r="114" spans="2:9" x14ac:dyDescent="0.25">
      <c r="B114" s="26"/>
      <c r="C114" s="16"/>
      <c r="I114" s="25"/>
    </row>
    <row r="115" spans="2:9" x14ac:dyDescent="0.25">
      <c r="B115" s="26"/>
      <c r="C115" s="16"/>
      <c r="I115" s="25"/>
    </row>
    <row r="116" spans="2:9" x14ac:dyDescent="0.25">
      <c r="B116" s="26"/>
      <c r="C116" s="16"/>
      <c r="I116" s="25"/>
    </row>
    <row r="117" spans="2:9" x14ac:dyDescent="0.25">
      <c r="B117" s="26"/>
      <c r="C117" s="16"/>
      <c r="H117" s="24"/>
      <c r="I117" s="25"/>
    </row>
    <row r="118" spans="2:9" x14ac:dyDescent="0.25">
      <c r="B118" s="26"/>
      <c r="C118" s="16"/>
      <c r="I118" s="25"/>
    </row>
    <row r="119" spans="2:9" x14ac:dyDescent="0.25">
      <c r="B119" s="26"/>
      <c r="C119" s="16"/>
      <c r="I119" s="25"/>
    </row>
    <row r="120" spans="2:9" x14ac:dyDescent="0.25">
      <c r="B120" s="26"/>
      <c r="C120" s="16"/>
      <c r="I120" s="25"/>
    </row>
    <row r="121" spans="2:9" x14ac:dyDescent="0.25">
      <c r="B121" s="26"/>
      <c r="C121" s="16"/>
      <c r="I121" s="25"/>
    </row>
    <row r="122" spans="2:9" x14ac:dyDescent="0.25">
      <c r="B122" s="26"/>
      <c r="C122" s="16"/>
      <c r="H122" s="24"/>
      <c r="I122" s="25"/>
    </row>
    <row r="123" spans="2:9" x14ac:dyDescent="0.25">
      <c r="B123" s="26"/>
      <c r="C123" s="16"/>
      <c r="H123" s="24"/>
      <c r="I123" s="25"/>
    </row>
    <row r="124" spans="2:9" x14ac:dyDescent="0.25">
      <c r="B124" s="26"/>
      <c r="C124" s="16"/>
      <c r="I124" s="25"/>
    </row>
    <row r="125" spans="2:9" x14ac:dyDescent="0.25">
      <c r="B125" s="26"/>
      <c r="C125" s="16"/>
      <c r="I125" s="25"/>
    </row>
    <row r="126" spans="2:9" x14ac:dyDescent="0.25">
      <c r="B126" s="26"/>
      <c r="C126" s="16"/>
      <c r="H126" s="24"/>
      <c r="I126" s="25"/>
    </row>
    <row r="127" spans="2:9" x14ac:dyDescent="0.25">
      <c r="B127" s="26"/>
      <c r="C127" s="16"/>
      <c r="H127" s="24"/>
      <c r="I127" s="25"/>
    </row>
    <row r="128" spans="2:9" x14ac:dyDescent="0.25">
      <c r="B128" s="26"/>
      <c r="C128" s="16"/>
      <c r="I128" s="25"/>
    </row>
    <row r="129" spans="2:9" x14ac:dyDescent="0.25">
      <c r="B129" s="26"/>
      <c r="C129" s="16"/>
      <c r="I129" s="25"/>
    </row>
    <row r="130" spans="2:9" x14ac:dyDescent="0.25">
      <c r="B130" s="26"/>
      <c r="C130" s="16"/>
      <c r="I130" s="25"/>
    </row>
    <row r="131" spans="2:9" x14ac:dyDescent="0.25">
      <c r="B131" s="26"/>
      <c r="C131" s="16"/>
      <c r="I131" s="25"/>
    </row>
    <row r="132" spans="2:9" x14ac:dyDescent="0.25">
      <c r="B132" s="26"/>
      <c r="C132" s="16"/>
      <c r="I132" s="25"/>
    </row>
    <row r="133" spans="2:9" x14ac:dyDescent="0.25">
      <c r="B133" s="26"/>
      <c r="C133" s="16"/>
      <c r="I133" s="25"/>
    </row>
    <row r="134" spans="2:9" x14ac:dyDescent="0.25">
      <c r="B134" s="26"/>
      <c r="C134" s="16"/>
      <c r="H134" s="24"/>
      <c r="I134" s="25"/>
    </row>
    <row r="135" spans="2:9" x14ac:dyDescent="0.25">
      <c r="B135" s="26"/>
      <c r="C135" s="16"/>
      <c r="I135" s="25"/>
    </row>
    <row r="136" spans="2:9" x14ac:dyDescent="0.25">
      <c r="B136" s="26"/>
      <c r="C136" s="16"/>
      <c r="I136" s="25"/>
    </row>
    <row r="137" spans="2:9" x14ac:dyDescent="0.25">
      <c r="B137" s="26"/>
      <c r="C137" s="16"/>
      <c r="I137" s="25"/>
    </row>
    <row r="138" spans="2:9" x14ac:dyDescent="0.25">
      <c r="B138" s="26"/>
      <c r="C138" s="16"/>
      <c r="I138" s="25"/>
    </row>
    <row r="139" spans="2:9" x14ac:dyDescent="0.25">
      <c r="B139" s="26"/>
      <c r="C139" s="16"/>
      <c r="H139" s="24"/>
      <c r="I139" s="25"/>
    </row>
    <row r="140" spans="2:9" x14ac:dyDescent="0.25">
      <c r="B140" s="26"/>
      <c r="C140" s="16"/>
      <c r="H140" s="24"/>
      <c r="I140" s="25"/>
    </row>
    <row r="141" spans="2:9" x14ac:dyDescent="0.25">
      <c r="B141" s="26"/>
      <c r="C141" s="16"/>
      <c r="I141" s="25"/>
    </row>
    <row r="142" spans="2:9" x14ac:dyDescent="0.25">
      <c r="B142" s="26"/>
      <c r="C142" s="16"/>
      <c r="I142" s="25"/>
    </row>
    <row r="143" spans="2:9" x14ac:dyDescent="0.25">
      <c r="B143" s="26"/>
      <c r="C143" s="16"/>
      <c r="H143" s="24"/>
      <c r="I143" s="25"/>
    </row>
    <row r="144" spans="2:9" x14ac:dyDescent="0.25">
      <c r="B144" s="26"/>
      <c r="C144" s="16"/>
      <c r="H144" s="24"/>
      <c r="I144" s="25"/>
    </row>
    <row r="145" spans="2:9" x14ac:dyDescent="0.25">
      <c r="B145" s="26"/>
      <c r="C145" s="16"/>
      <c r="I145" s="25"/>
    </row>
    <row r="146" spans="2:9" x14ac:dyDescent="0.25">
      <c r="B146" s="26"/>
      <c r="C146" s="16"/>
      <c r="I146" s="25"/>
    </row>
    <row r="147" spans="2:9" x14ac:dyDescent="0.25">
      <c r="B147" s="26"/>
      <c r="C147" s="16"/>
      <c r="I147" s="25"/>
    </row>
    <row r="148" spans="2:9" x14ac:dyDescent="0.25">
      <c r="B148" s="26"/>
      <c r="C148" s="16"/>
      <c r="I148" s="25"/>
    </row>
    <row r="149" spans="2:9" x14ac:dyDescent="0.25">
      <c r="B149" s="26"/>
      <c r="C149" s="16"/>
      <c r="I149" s="25"/>
    </row>
    <row r="150" spans="2:9" x14ac:dyDescent="0.25">
      <c r="B150" s="26"/>
      <c r="C150" s="16"/>
      <c r="I150" s="25"/>
    </row>
    <row r="151" spans="2:9" x14ac:dyDescent="0.25">
      <c r="B151" s="26"/>
      <c r="C151" s="16"/>
      <c r="H151" s="24"/>
      <c r="I151" s="25"/>
    </row>
    <row r="152" spans="2:9" x14ac:dyDescent="0.25">
      <c r="B152" s="26"/>
      <c r="C152" s="16"/>
      <c r="I152" s="25"/>
    </row>
    <row r="153" spans="2:9" x14ac:dyDescent="0.25">
      <c r="B153" s="26"/>
      <c r="C153" s="16"/>
      <c r="I153" s="25"/>
    </row>
    <row r="154" spans="2:9" x14ac:dyDescent="0.25">
      <c r="B154" s="26"/>
      <c r="C154" s="16"/>
      <c r="I154" s="25"/>
    </row>
    <row r="155" spans="2:9" x14ac:dyDescent="0.25">
      <c r="B155" s="26"/>
      <c r="C155" s="16"/>
      <c r="I155" s="25"/>
    </row>
    <row r="156" spans="2:9" x14ac:dyDescent="0.25">
      <c r="B156" s="26"/>
      <c r="C156" s="16"/>
      <c r="H156" s="24"/>
      <c r="I156" s="25"/>
    </row>
    <row r="157" spans="2:9" x14ac:dyDescent="0.25">
      <c r="B157" s="26"/>
      <c r="C157" s="16"/>
      <c r="H157" s="24"/>
      <c r="I157" s="25"/>
    </row>
    <row r="158" spans="2:9" x14ac:dyDescent="0.25">
      <c r="B158" s="26"/>
      <c r="C158" s="16"/>
      <c r="I158" s="25"/>
    </row>
    <row r="159" spans="2:9" x14ac:dyDescent="0.25">
      <c r="B159" s="26"/>
      <c r="C159" s="16"/>
      <c r="I159" s="25"/>
    </row>
    <row r="160" spans="2:9" x14ac:dyDescent="0.25">
      <c r="B160" s="26"/>
      <c r="C160" s="16"/>
      <c r="H160" s="24"/>
      <c r="I160" s="25"/>
    </row>
    <row r="161" spans="2:9" x14ac:dyDescent="0.25">
      <c r="B161" s="26"/>
      <c r="C161" s="16"/>
      <c r="H161" s="24"/>
      <c r="I161" s="25"/>
    </row>
    <row r="162" spans="2:9" x14ac:dyDescent="0.25">
      <c r="B162" s="26"/>
      <c r="C162" s="16"/>
      <c r="I162" s="25"/>
    </row>
    <row r="163" spans="2:9" x14ac:dyDescent="0.25">
      <c r="B163" s="26"/>
      <c r="C163" s="16"/>
      <c r="I163" s="25"/>
    </row>
    <row r="164" spans="2:9" x14ac:dyDescent="0.25">
      <c r="B164" s="26"/>
      <c r="C164" s="16"/>
      <c r="I164" s="25"/>
    </row>
    <row r="165" spans="2:9" x14ac:dyDescent="0.25">
      <c r="B165" s="26"/>
      <c r="C165" s="16"/>
      <c r="I165" s="25"/>
    </row>
    <row r="166" spans="2:9" x14ac:dyDescent="0.25">
      <c r="B166" s="26"/>
      <c r="C166" s="16"/>
      <c r="I166" s="25"/>
    </row>
    <row r="167" spans="2:9" x14ac:dyDescent="0.25">
      <c r="B167" s="26"/>
      <c r="C167" s="16"/>
      <c r="I167" s="25"/>
    </row>
    <row r="168" spans="2:9" x14ac:dyDescent="0.25">
      <c r="B168" s="26"/>
      <c r="C168" s="16"/>
      <c r="H168" s="24"/>
      <c r="I168" s="25"/>
    </row>
    <row r="169" spans="2:9" x14ac:dyDescent="0.25">
      <c r="B169" s="26"/>
      <c r="C169" s="16"/>
      <c r="I169" s="25"/>
    </row>
    <row r="170" spans="2:9" x14ac:dyDescent="0.25">
      <c r="B170" s="26"/>
      <c r="C170" s="16"/>
      <c r="I170" s="25"/>
    </row>
    <row r="171" spans="2:9" x14ac:dyDescent="0.25">
      <c r="B171" s="26"/>
      <c r="C171" s="16"/>
      <c r="I171" s="25"/>
    </row>
    <row r="172" spans="2:9" x14ac:dyDescent="0.25">
      <c r="B172" s="26"/>
      <c r="C172" s="16"/>
      <c r="I172" s="25"/>
    </row>
    <row r="173" spans="2:9" x14ac:dyDescent="0.25">
      <c r="B173" s="26"/>
      <c r="C173" s="16"/>
      <c r="H173" s="24"/>
      <c r="I173" s="25"/>
    </row>
    <row r="174" spans="2:9" x14ac:dyDescent="0.25">
      <c r="B174" s="26"/>
      <c r="C174" s="16"/>
      <c r="H174" s="24"/>
      <c r="I174" s="25"/>
    </row>
    <row r="175" spans="2:9" x14ac:dyDescent="0.25">
      <c r="B175" s="26"/>
      <c r="C175" s="16"/>
      <c r="I175" s="25"/>
    </row>
    <row r="176" spans="2:9" x14ac:dyDescent="0.25">
      <c r="B176" s="26"/>
      <c r="C176" s="16"/>
      <c r="I176" s="25"/>
    </row>
    <row r="177" spans="2:9" x14ac:dyDescent="0.25">
      <c r="B177" s="26"/>
      <c r="C177" s="16"/>
      <c r="H177" s="24"/>
      <c r="I177" s="25"/>
    </row>
    <row r="178" spans="2:9" x14ac:dyDescent="0.25">
      <c r="B178" s="26"/>
      <c r="C178" s="16"/>
      <c r="H178" s="24"/>
      <c r="I178" s="25"/>
    </row>
    <row r="179" spans="2:9" x14ac:dyDescent="0.25">
      <c r="B179" s="26"/>
      <c r="C179" s="16"/>
      <c r="I179" s="25"/>
    </row>
    <row r="180" spans="2:9" x14ac:dyDescent="0.25">
      <c r="B180" s="26"/>
      <c r="C180" s="16"/>
      <c r="I180" s="25"/>
    </row>
    <row r="181" spans="2:9" x14ac:dyDescent="0.25">
      <c r="B181" s="26"/>
      <c r="C181" s="16"/>
      <c r="I181" s="25"/>
    </row>
    <row r="182" spans="2:9" x14ac:dyDescent="0.25">
      <c r="B182" s="26"/>
      <c r="C182" s="16"/>
      <c r="I182" s="25"/>
    </row>
    <row r="183" spans="2:9" x14ac:dyDescent="0.25">
      <c r="B183" s="26"/>
      <c r="C183" s="16"/>
      <c r="I183" s="25"/>
    </row>
    <row r="184" spans="2:9" x14ac:dyDescent="0.25">
      <c r="B184" s="26"/>
      <c r="C184" s="16"/>
      <c r="I184" s="25"/>
    </row>
    <row r="185" spans="2:9" x14ac:dyDescent="0.25">
      <c r="B185" s="26"/>
      <c r="C185" s="16"/>
      <c r="H185" s="24"/>
      <c r="I185" s="25"/>
    </row>
    <row r="186" spans="2:9" x14ac:dyDescent="0.25">
      <c r="B186" s="26"/>
      <c r="C186" s="16"/>
      <c r="I186" s="25"/>
    </row>
    <row r="187" spans="2:9" x14ac:dyDescent="0.25">
      <c r="B187" s="26"/>
      <c r="C187" s="16"/>
      <c r="I187" s="25"/>
    </row>
    <row r="188" spans="2:9" x14ac:dyDescent="0.25">
      <c r="B188" s="26"/>
      <c r="C188" s="16"/>
      <c r="I188" s="25"/>
    </row>
    <row r="189" spans="2:9" x14ac:dyDescent="0.25">
      <c r="B189" s="26"/>
      <c r="C189" s="16"/>
      <c r="I189" s="25"/>
    </row>
    <row r="190" spans="2:9" x14ac:dyDescent="0.25">
      <c r="B190" s="26"/>
      <c r="C190" s="16"/>
      <c r="H190" s="24"/>
      <c r="I190" s="25"/>
    </row>
    <row r="191" spans="2:9" x14ac:dyDescent="0.25">
      <c r="B191" s="26"/>
      <c r="C191" s="16"/>
      <c r="H191" s="24"/>
      <c r="I191" s="25"/>
    </row>
    <row r="192" spans="2:9" x14ac:dyDescent="0.25">
      <c r="B192" s="26"/>
      <c r="C192" s="16"/>
      <c r="I192" s="25"/>
    </row>
    <row r="193" spans="2:9" x14ac:dyDescent="0.25">
      <c r="B193" s="26"/>
      <c r="C193" s="16"/>
      <c r="I193" s="25"/>
    </row>
    <row r="194" spans="2:9" x14ac:dyDescent="0.25">
      <c r="B194" s="26"/>
      <c r="C194" s="16"/>
      <c r="H194" s="24"/>
      <c r="I194" s="25"/>
    </row>
    <row r="195" spans="2:9" x14ac:dyDescent="0.25">
      <c r="B195" s="26"/>
      <c r="C195" s="16"/>
      <c r="H195" s="24"/>
      <c r="I195" s="25"/>
    </row>
    <row r="196" spans="2:9" x14ac:dyDescent="0.25">
      <c r="B196" s="26"/>
      <c r="C196" s="16"/>
      <c r="I196" s="25"/>
    </row>
    <row r="197" spans="2:9" x14ac:dyDescent="0.25">
      <c r="B197" s="26"/>
      <c r="C197" s="16"/>
      <c r="I197" s="25"/>
    </row>
    <row r="198" spans="2:9" x14ac:dyDescent="0.25">
      <c r="B198" s="26"/>
      <c r="C198" s="16"/>
      <c r="I198" s="25"/>
    </row>
    <row r="199" spans="2:9" x14ac:dyDescent="0.25">
      <c r="B199" s="26"/>
      <c r="C199" s="16"/>
      <c r="I199" s="25"/>
    </row>
    <row r="200" spans="2:9" x14ac:dyDescent="0.25">
      <c r="B200" s="26"/>
      <c r="C200" s="16"/>
      <c r="I200" s="25"/>
    </row>
    <row r="201" spans="2:9" x14ac:dyDescent="0.25">
      <c r="B201" s="26"/>
      <c r="C201" s="16"/>
      <c r="I201" s="25"/>
    </row>
    <row r="202" spans="2:9" x14ac:dyDescent="0.25">
      <c r="B202" s="26"/>
      <c r="C202" s="16"/>
      <c r="H202" s="24"/>
      <c r="I202" s="25"/>
    </row>
    <row r="203" spans="2:9" x14ac:dyDescent="0.25">
      <c r="B203" s="26"/>
      <c r="C203" s="16"/>
      <c r="I203" s="25"/>
    </row>
    <row r="204" spans="2:9" x14ac:dyDescent="0.25">
      <c r="B204" s="26"/>
      <c r="C204" s="16"/>
      <c r="I204" s="25"/>
    </row>
    <row r="205" spans="2:9" x14ac:dyDescent="0.25">
      <c r="B205" s="26"/>
      <c r="C205" s="16"/>
      <c r="I205" s="25"/>
    </row>
    <row r="206" spans="2:9" x14ac:dyDescent="0.25">
      <c r="B206" s="26"/>
      <c r="C206" s="16"/>
      <c r="I206" s="25"/>
    </row>
    <row r="207" spans="2:9" x14ac:dyDescent="0.25">
      <c r="B207" s="26"/>
      <c r="C207" s="16"/>
      <c r="H207" s="24"/>
      <c r="I207" s="25"/>
    </row>
    <row r="208" spans="2:9" x14ac:dyDescent="0.25">
      <c r="B208" s="26"/>
      <c r="C208" s="16"/>
      <c r="H208" s="24"/>
      <c r="I208" s="25"/>
    </row>
    <row r="209" spans="2:9" x14ac:dyDescent="0.25">
      <c r="B209" s="26"/>
      <c r="C209" s="16"/>
      <c r="I209" s="25"/>
    </row>
    <row r="210" spans="2:9" x14ac:dyDescent="0.25">
      <c r="B210" s="26"/>
      <c r="C210" s="16"/>
      <c r="I210" s="25"/>
    </row>
    <row r="211" spans="2:9" x14ac:dyDescent="0.25">
      <c r="B211" s="26"/>
      <c r="C211" s="16"/>
      <c r="H211" s="24"/>
      <c r="I211" s="25"/>
    </row>
    <row r="212" spans="2:9" x14ac:dyDescent="0.25">
      <c r="B212" s="26"/>
      <c r="C212" s="16"/>
      <c r="H212" s="24"/>
      <c r="I212" s="25"/>
    </row>
    <row r="213" spans="2:9" x14ac:dyDescent="0.25">
      <c r="B213" s="26"/>
      <c r="C213" s="16"/>
      <c r="I213" s="25"/>
    </row>
    <row r="214" spans="2:9" x14ac:dyDescent="0.25">
      <c r="B214" s="26"/>
      <c r="C214" s="16"/>
      <c r="I214" s="25"/>
    </row>
    <row r="215" spans="2:9" x14ac:dyDescent="0.25">
      <c r="B215" s="26"/>
      <c r="C215" s="16"/>
      <c r="I215" s="25"/>
    </row>
    <row r="216" spans="2:9" x14ac:dyDescent="0.25">
      <c r="B216" s="26"/>
      <c r="C216" s="16"/>
      <c r="I216" s="25"/>
    </row>
    <row r="217" spans="2:9" x14ac:dyDescent="0.25">
      <c r="B217" s="26"/>
      <c r="C217" s="16"/>
      <c r="I217" s="25"/>
    </row>
    <row r="218" spans="2:9" x14ac:dyDescent="0.25">
      <c r="B218" s="26"/>
      <c r="C218" s="16"/>
      <c r="I218" s="25"/>
    </row>
    <row r="219" spans="2:9" x14ac:dyDescent="0.25">
      <c r="B219" s="26"/>
      <c r="C219" s="16"/>
      <c r="H219" s="24"/>
      <c r="I219" s="25"/>
    </row>
    <row r="220" spans="2:9" x14ac:dyDescent="0.25">
      <c r="B220" s="26"/>
      <c r="C220" s="16"/>
      <c r="I220" s="25"/>
    </row>
    <row r="221" spans="2:9" x14ac:dyDescent="0.25">
      <c r="B221" s="26"/>
      <c r="C221" s="16"/>
      <c r="I221" s="25"/>
    </row>
    <row r="222" spans="2:9" x14ac:dyDescent="0.25">
      <c r="B222" s="26"/>
      <c r="C222" s="16"/>
      <c r="I222" s="25"/>
    </row>
    <row r="223" spans="2:9" x14ac:dyDescent="0.25">
      <c r="B223" s="26"/>
      <c r="C223" s="16"/>
      <c r="I223" s="25"/>
    </row>
  </sheetData>
  <dataConsolidate/>
  <conditionalFormatting sqref="E1:E1048576">
    <cfRule type="containsText" dxfId="1" priority="2" operator="containsText" text="LONG">
      <formula>NOT(ISERROR(SEARCH("LONG",E1)))</formula>
    </cfRule>
    <cfRule type="containsText" dxfId="0" priority="1" operator="containsText" text="SHORT">
      <formula>NOT(ISERROR(SEARCH("SHORT",E1)))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topLeftCell="A37" workbookViewId="0">
      <selection activeCell="E12" sqref="E12"/>
    </sheetView>
  </sheetViews>
  <sheetFormatPr defaultRowHeight="15" x14ac:dyDescent="0.25"/>
  <sheetData/>
  <sortState ref="A1:A51">
    <sortCondition ref="A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Equity</vt:lpstr>
      <vt:lpstr>Performance</vt:lpstr>
      <vt:lpstr>Sheet2</vt:lpstr>
      <vt:lpstr>Equity!juniorNiftyStockWatch_1</vt:lpstr>
      <vt:lpstr>Equity!niftyMidcap50StockWatch_1</vt:lpstr>
      <vt:lpstr>Equity!niftyStockWatch_1</vt:lpstr>
    </vt:vector>
  </TitlesOfParts>
  <Company>Citrix Systems, Inc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srvdsk</dc:creator>
  <cp:lastModifiedBy>Kisha Popo</cp:lastModifiedBy>
  <dcterms:created xsi:type="dcterms:W3CDTF">2016-03-09T20:07:35Z</dcterms:created>
  <dcterms:modified xsi:type="dcterms:W3CDTF">2016-06-01T14:28:57Z</dcterms:modified>
</cp:coreProperties>
</file>