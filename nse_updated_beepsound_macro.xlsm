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Intraday_Trading_System" sheetId="1" r:id="rId1"/>
    <sheet name="Sheet1" sheetId="2" r:id="rId2"/>
    <sheet name="Sheet2" sheetId="3" r:id="rId3"/>
  </sheets>
  <definedNames>
    <definedName name="juniorNiftyStockWatch" localSheetId="0">Intraday_Trading_System!$E$3:$E$5</definedName>
    <definedName name="niftyMidcap50StockWatch" localSheetId="0">Intraday_Trading_System!$E$6:$E$7</definedName>
    <definedName name="niftyStockWatch" localSheetId="0">Intraday_Trading_System!$E$1:$E$2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4" i="1" l="1"/>
  <c r="E164" i="1" s="1"/>
  <c r="B165" i="1"/>
  <c r="F165" i="1" s="1"/>
  <c r="B166" i="1"/>
  <c r="E166" i="1" s="1"/>
  <c r="B167" i="1"/>
  <c r="G167" i="1" s="1"/>
  <c r="B168" i="1"/>
  <c r="E168" i="1" s="1"/>
  <c r="B169" i="1"/>
  <c r="F169" i="1" s="1"/>
  <c r="B170" i="1"/>
  <c r="E170" i="1" s="1"/>
  <c r="B157" i="1"/>
  <c r="E157" i="1" s="1"/>
  <c r="F157" i="1"/>
  <c r="B158" i="1"/>
  <c r="F158" i="1" s="1"/>
  <c r="B159" i="1"/>
  <c r="E159" i="1" s="1"/>
  <c r="B160" i="1"/>
  <c r="G160" i="1" s="1"/>
  <c r="B161" i="1"/>
  <c r="E161" i="1" s="1"/>
  <c r="B162" i="1"/>
  <c r="F162" i="1" s="1"/>
  <c r="B163" i="1"/>
  <c r="E163" i="1" s="1"/>
  <c r="B122" i="1"/>
  <c r="G122" i="1" s="1"/>
  <c r="B123" i="1"/>
  <c r="F123" i="1" s="1"/>
  <c r="G123" i="1"/>
  <c r="B124" i="1"/>
  <c r="E124" i="1" s="1"/>
  <c r="B125" i="1"/>
  <c r="D125" i="1" s="1"/>
  <c r="B126" i="1"/>
  <c r="F126" i="1" s="1"/>
  <c r="B127" i="1"/>
  <c r="D127" i="1" s="1"/>
  <c r="B128" i="1"/>
  <c r="E128" i="1" s="1"/>
  <c r="B129" i="1"/>
  <c r="D129" i="1" s="1"/>
  <c r="B130" i="1"/>
  <c r="D130" i="1" s="1"/>
  <c r="F130" i="1"/>
  <c r="B131" i="1"/>
  <c r="F131" i="1" s="1"/>
  <c r="B132" i="1"/>
  <c r="E132" i="1" s="1"/>
  <c r="B133" i="1"/>
  <c r="D133" i="1" s="1"/>
  <c r="B134" i="1"/>
  <c r="F134" i="1" s="1"/>
  <c r="B135" i="1"/>
  <c r="F135" i="1" s="1"/>
  <c r="B136" i="1"/>
  <c r="E136" i="1" s="1"/>
  <c r="B137" i="1"/>
  <c r="D137" i="1" s="1"/>
  <c r="B138" i="1"/>
  <c r="D138" i="1" s="1"/>
  <c r="B139" i="1"/>
  <c r="F139" i="1" s="1"/>
  <c r="B140" i="1"/>
  <c r="E140" i="1" s="1"/>
  <c r="B141" i="1"/>
  <c r="D141" i="1" s="1"/>
  <c r="B142" i="1"/>
  <c r="F142" i="1" s="1"/>
  <c r="B143" i="1"/>
  <c r="F143" i="1" s="1"/>
  <c r="B144" i="1"/>
  <c r="E144" i="1" s="1"/>
  <c r="B145" i="1"/>
  <c r="D145" i="1" s="1"/>
  <c r="B146" i="1"/>
  <c r="D146" i="1" s="1"/>
  <c r="B147" i="1"/>
  <c r="F147" i="1" s="1"/>
  <c r="B148" i="1"/>
  <c r="E148" i="1" s="1"/>
  <c r="B149" i="1"/>
  <c r="D149" i="1" s="1"/>
  <c r="B150" i="1"/>
  <c r="D150" i="1" s="1"/>
  <c r="B151" i="1"/>
  <c r="E151" i="1" s="1"/>
  <c r="B152" i="1"/>
  <c r="E152" i="1" s="1"/>
  <c r="B153" i="1"/>
  <c r="D153" i="1" s="1"/>
  <c r="B154" i="1"/>
  <c r="D154" i="1" s="1"/>
  <c r="B155" i="1"/>
  <c r="D155" i="1" s="1"/>
  <c r="B156" i="1"/>
  <c r="E156" i="1" s="1"/>
  <c r="B121" i="1"/>
  <c r="G121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G72" i="1" s="1"/>
  <c r="B73" i="1"/>
  <c r="F73" i="1" s="1"/>
  <c r="B74" i="1"/>
  <c r="E74" i="1" s="1"/>
  <c r="B75" i="1"/>
  <c r="E75" i="1" s="1"/>
  <c r="B76" i="1"/>
  <c r="B77" i="1"/>
  <c r="D77" i="1" s="1"/>
  <c r="B78" i="1"/>
  <c r="B79" i="1"/>
  <c r="E79" i="1" s="1"/>
  <c r="B80" i="1"/>
  <c r="E80" i="1" s="1"/>
  <c r="B81" i="1"/>
  <c r="D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F89" i="1"/>
  <c r="B90" i="1"/>
  <c r="E90" i="1" s="1"/>
  <c r="B91" i="1"/>
  <c r="E91" i="1" s="1"/>
  <c r="B92" i="1"/>
  <c r="B93" i="1"/>
  <c r="D93" i="1" s="1"/>
  <c r="B94" i="1"/>
  <c r="B95" i="1"/>
  <c r="E95" i="1" s="1"/>
  <c r="B96" i="1"/>
  <c r="E96" i="1" s="1"/>
  <c r="B97" i="1"/>
  <c r="D97" i="1" s="1"/>
  <c r="B98" i="1"/>
  <c r="E98" i="1" s="1"/>
  <c r="B99" i="1"/>
  <c r="E99" i="1" s="1"/>
  <c r="B100" i="1"/>
  <c r="G100" i="1" s="1"/>
  <c r="B101" i="1"/>
  <c r="D101" i="1" s="1"/>
  <c r="B102" i="1"/>
  <c r="E102" i="1" s="1"/>
  <c r="B103" i="1"/>
  <c r="E103" i="1" s="1"/>
  <c r="G103" i="1"/>
  <c r="B104" i="1"/>
  <c r="E104" i="1" s="1"/>
  <c r="B105" i="1"/>
  <c r="E105" i="1" s="1"/>
  <c r="B106" i="1"/>
  <c r="E106" i="1" s="1"/>
  <c r="B107" i="1"/>
  <c r="E107" i="1" s="1"/>
  <c r="B108" i="1"/>
  <c r="D108" i="1" s="1"/>
  <c r="B109" i="1"/>
  <c r="F109" i="1" s="1"/>
  <c r="B110" i="1"/>
  <c r="G110" i="1" s="1"/>
  <c r="B111" i="1"/>
  <c r="D111" i="1" s="1"/>
  <c r="B112" i="1"/>
  <c r="D112" i="1" s="1"/>
  <c r="B113" i="1"/>
  <c r="E113" i="1" s="1"/>
  <c r="B114" i="1"/>
  <c r="F114" i="1" s="1"/>
  <c r="B115" i="1"/>
  <c r="G115" i="1" s="1"/>
  <c r="B66" i="1"/>
  <c r="F66" i="1" s="1"/>
  <c r="B52" i="1"/>
  <c r="E52" i="1" s="1"/>
  <c r="B37" i="1"/>
  <c r="D37" i="1" s="1"/>
  <c r="B25" i="1"/>
  <c r="G25" i="1" s="1"/>
  <c r="B14" i="1"/>
  <c r="G14" i="1" s="1"/>
  <c r="B11" i="1"/>
  <c r="E11" i="1" s="1"/>
  <c r="A6" i="1"/>
  <c r="A9" i="1"/>
  <c r="A2" i="1"/>
  <c r="G102" i="1" l="1"/>
  <c r="E72" i="1"/>
  <c r="F154" i="1"/>
  <c r="G154" i="1"/>
  <c r="G144" i="1"/>
  <c r="G130" i="1"/>
  <c r="E143" i="1"/>
  <c r="J143" i="1" s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J164" i="1" s="1"/>
  <c r="D144" i="1"/>
  <c r="D128" i="1"/>
  <c r="D124" i="1"/>
  <c r="F85" i="1"/>
  <c r="K85" i="1" s="1"/>
  <c r="G74" i="1"/>
  <c r="G155" i="1"/>
  <c r="G148" i="1"/>
  <c r="F146" i="1"/>
  <c r="E135" i="1"/>
  <c r="G128" i="1"/>
  <c r="G158" i="1"/>
  <c r="F168" i="1"/>
  <c r="H168" i="1" s="1"/>
  <c r="G165" i="1"/>
  <c r="D168" i="1"/>
  <c r="D151" i="1"/>
  <c r="D136" i="1"/>
  <c r="D123" i="1"/>
  <c r="I123" i="1" s="1"/>
  <c r="K123" i="1" s="1"/>
  <c r="D156" i="1"/>
  <c r="D152" i="1"/>
  <c r="D140" i="1"/>
  <c r="K140" i="1" s="1"/>
  <c r="D132" i="1"/>
  <c r="D163" i="1"/>
  <c r="D159" i="1"/>
  <c r="J159" i="1" s="1"/>
  <c r="D147" i="1"/>
  <c r="D143" i="1"/>
  <c r="D135" i="1"/>
  <c r="J155" i="1"/>
  <c r="G166" i="1"/>
  <c r="I155" i="1"/>
  <c r="K155" i="1" s="1"/>
  <c r="G147" i="1"/>
  <c r="G142" i="1"/>
  <c r="G140" i="1"/>
  <c r="G134" i="1"/>
  <c r="G132" i="1"/>
  <c r="G127" i="1"/>
  <c r="G126" i="1"/>
  <c r="G163" i="1"/>
  <c r="G161" i="1"/>
  <c r="F166" i="1"/>
  <c r="D170" i="1"/>
  <c r="I170" i="1" s="1"/>
  <c r="D166" i="1"/>
  <c r="D162" i="1"/>
  <c r="D158" i="1"/>
  <c r="D142" i="1"/>
  <c r="D134" i="1"/>
  <c r="D126" i="1"/>
  <c r="D122" i="1"/>
  <c r="E147" i="1"/>
  <c r="J147" i="1" s="1"/>
  <c r="G143" i="1"/>
  <c r="F140" i="1"/>
  <c r="G135" i="1"/>
  <c r="F132" i="1"/>
  <c r="F127" i="1"/>
  <c r="I127" i="1" s="1"/>
  <c r="F163" i="1"/>
  <c r="K163" i="1" s="1"/>
  <c r="F161" i="1"/>
  <c r="G159" i="1"/>
  <c r="G170" i="1"/>
  <c r="G168" i="1"/>
  <c r="G164" i="1"/>
  <c r="D169" i="1"/>
  <c r="D165" i="1"/>
  <c r="D161" i="1"/>
  <c r="D157" i="1"/>
  <c r="H157" i="1" s="1"/>
  <c r="D121" i="1"/>
  <c r="I164" i="1"/>
  <c r="G169" i="1"/>
  <c r="E169" i="1"/>
  <c r="E165" i="1"/>
  <c r="F167" i="1"/>
  <c r="E167" i="1"/>
  <c r="I159" i="1"/>
  <c r="I163" i="1"/>
  <c r="J163" i="1"/>
  <c r="K157" i="1"/>
  <c r="I15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J139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H155" i="1"/>
  <c r="E154" i="1"/>
  <c r="F153" i="1"/>
  <c r="G152" i="1"/>
  <c r="F156" i="1"/>
  <c r="J156" i="1" s="1"/>
  <c r="E153" i="1"/>
  <c r="F152" i="1"/>
  <c r="I152" i="1" s="1"/>
  <c r="E149" i="1"/>
  <c r="F148" i="1"/>
  <c r="E145" i="1"/>
  <c r="F144" i="1"/>
  <c r="K144" i="1" s="1"/>
  <c r="E141" i="1"/>
  <c r="E137" i="1"/>
  <c r="E133" i="1"/>
  <c r="E129" i="1"/>
  <c r="F128" i="1"/>
  <c r="E125" i="1"/>
  <c r="F124" i="1"/>
  <c r="H124" i="1" s="1"/>
  <c r="G149" i="1"/>
  <c r="G137" i="1"/>
  <c r="G125" i="1"/>
  <c r="F121" i="1"/>
  <c r="E121" i="1"/>
  <c r="G113" i="1"/>
  <c r="F113" i="1"/>
  <c r="D113" i="1"/>
  <c r="J113" i="1" s="1"/>
  <c r="G85" i="1"/>
  <c r="G83" i="1"/>
  <c r="G93" i="1"/>
  <c r="G69" i="1"/>
  <c r="D105" i="1"/>
  <c r="F103" i="1"/>
  <c r="D95" i="1"/>
  <c r="F93" i="1"/>
  <c r="D89" i="1"/>
  <c r="H89" i="1" s="1"/>
  <c r="G86" i="1"/>
  <c r="F79" i="1"/>
  <c r="D71" i="1"/>
  <c r="F69" i="1"/>
  <c r="K69" i="1" s="1"/>
  <c r="G67" i="1"/>
  <c r="E112" i="1"/>
  <c r="E100" i="1"/>
  <c r="E93" i="1"/>
  <c r="G75" i="1"/>
  <c r="D69" i="1"/>
  <c r="G97" i="1"/>
  <c r="E109" i="1"/>
  <c r="F107" i="1"/>
  <c r="F105" i="1"/>
  <c r="G104" i="1"/>
  <c r="D103" i="1"/>
  <c r="H103" i="1" s="1"/>
  <c r="E97" i="1"/>
  <c r="D85" i="1"/>
  <c r="D83" i="1"/>
  <c r="D75" i="1"/>
  <c r="E73" i="1"/>
  <c r="G71" i="1"/>
  <c r="D67" i="1"/>
  <c r="J103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K112" i="1" s="1"/>
  <c r="G108" i="1"/>
  <c r="G107" i="1"/>
  <c r="G106" i="1"/>
  <c r="D99" i="1"/>
  <c r="I99" i="1" s="1"/>
  <c r="F95" i="1"/>
  <c r="D91" i="1"/>
  <c r="D87" i="1"/>
  <c r="F83" i="1"/>
  <c r="H83" i="1" s="1"/>
  <c r="G79" i="1"/>
  <c r="F75" i="1"/>
  <c r="H75" i="1" s="1"/>
  <c r="F110" i="1"/>
  <c r="D110" i="1"/>
  <c r="E110" i="1"/>
  <c r="I103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I97" i="1"/>
  <c r="D78" i="1"/>
  <c r="F78" i="1"/>
  <c r="E78" i="1"/>
  <c r="G78" i="1"/>
  <c r="I87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I84" i="1" s="1"/>
  <c r="D84" i="1"/>
  <c r="D70" i="1"/>
  <c r="F70" i="1"/>
  <c r="D82" i="1"/>
  <c r="F82" i="1"/>
  <c r="D106" i="1"/>
  <c r="F106" i="1"/>
  <c r="F104" i="1"/>
  <c r="D104" i="1"/>
  <c r="I95" i="1"/>
  <c r="D90" i="1"/>
  <c r="F90" i="1"/>
  <c r="F88" i="1"/>
  <c r="D88" i="1"/>
  <c r="G82" i="1"/>
  <c r="G80" i="1"/>
  <c r="D74" i="1"/>
  <c r="F74" i="1"/>
  <c r="I73" i="1"/>
  <c r="F72" i="1"/>
  <c r="D72" i="1"/>
  <c r="G68" i="1"/>
  <c r="K67" i="1"/>
  <c r="D66" i="1"/>
  <c r="E66" i="1"/>
  <c r="K66" i="1" s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l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K168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H170" i="1"/>
  <c r="H166" i="1"/>
  <c r="K166" i="1"/>
  <c r="J151" i="1"/>
  <c r="K135" i="1"/>
  <c r="H93" i="1"/>
  <c r="K113" i="1"/>
  <c r="J105" i="1"/>
  <c r="H71" i="1"/>
  <c r="I107" i="1"/>
  <c r="K79" i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K152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I124" i="1"/>
  <c r="K148" i="1"/>
  <c r="H133" i="1"/>
  <c r="I133" i="1"/>
  <c r="J133" i="1"/>
  <c r="K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K156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H129" i="1"/>
  <c r="I129" i="1"/>
  <c r="K129" i="1"/>
  <c r="J129" i="1"/>
  <c r="H137" i="1"/>
  <c r="K137" i="1"/>
  <c r="I137" i="1"/>
  <c r="J137" i="1"/>
  <c r="H149" i="1"/>
  <c r="K149" i="1"/>
  <c r="I149" i="1"/>
  <c r="J149" i="1"/>
  <c r="K154" i="1"/>
  <c r="H154" i="1"/>
  <c r="I154" i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75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J104" i="1"/>
  <c r="I70" i="1"/>
  <c r="I86" i="1"/>
  <c r="K86" i="1" s="1"/>
  <c r="K97" i="1"/>
  <c r="H68" i="1"/>
  <c r="H80" i="1"/>
  <c r="J87" i="1"/>
  <c r="H112" i="1"/>
  <c r="K99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73" i="1"/>
  <c r="K100" i="1"/>
  <c r="I88" i="1"/>
  <c r="K88" i="1"/>
  <c r="K84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K107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/>
  <c r="K90" i="1"/>
  <c r="J92" i="1"/>
  <c r="H92" i="1"/>
  <c r="I92" i="1"/>
  <c r="K92" i="1"/>
  <c r="J66" i="1"/>
  <c r="H66" i="1"/>
  <c r="I66" i="1"/>
  <c r="H52" i="1"/>
  <c r="H37" i="1"/>
  <c r="H25" i="1"/>
  <c r="H14" i="1"/>
  <c r="I52" i="1"/>
  <c r="J52" i="1"/>
  <c r="K52" i="1"/>
  <c r="I37" i="1"/>
  <c r="J37" i="1"/>
  <c r="K37" i="1"/>
  <c r="K25" i="1"/>
  <c r="I25" i="1"/>
  <c r="J25" i="1"/>
  <c r="J11" i="1"/>
  <c r="K14" i="1"/>
  <c r="I14" i="1"/>
  <c r="J14" i="1"/>
  <c r="I11" i="1"/>
  <c r="K11" i="1" s="1"/>
  <c r="B29" i="1"/>
  <c r="B41" i="1"/>
  <c r="B30" i="1" l="1"/>
  <c r="B60" i="1" l="1"/>
  <c r="G60" i="1" s="1"/>
  <c r="B59" i="1"/>
  <c r="G59" i="1" s="1"/>
  <c r="B58" i="1"/>
  <c r="E58" i="1" s="1"/>
  <c r="B57" i="1"/>
  <c r="G57" i="1" s="1"/>
  <c r="B56" i="1"/>
  <c r="G56" i="1" s="1"/>
  <c r="B55" i="1"/>
  <c r="E55" i="1" s="1"/>
  <c r="B54" i="1"/>
  <c r="G54" i="1" s="1"/>
  <c r="B53" i="1"/>
  <c r="G53" i="1" s="1"/>
  <c r="B51" i="1"/>
  <c r="G51" i="1" s="1"/>
  <c r="B50" i="1"/>
  <c r="E50" i="1" s="1"/>
  <c r="B49" i="1"/>
  <c r="G49" i="1" s="1"/>
  <c r="B48" i="1"/>
  <c r="G48" i="1" s="1"/>
  <c r="B47" i="1"/>
  <c r="G47" i="1" s="1"/>
  <c r="B46" i="1"/>
  <c r="B45" i="1"/>
  <c r="G45" i="1" s="1"/>
  <c r="B44" i="1"/>
  <c r="G44" i="1" s="1"/>
  <c r="B43" i="1"/>
  <c r="E43" i="1" s="1"/>
  <c r="B42" i="1"/>
  <c r="G41" i="1"/>
  <c r="B40" i="1"/>
  <c r="G40" i="1" s="1"/>
  <c r="B39" i="1"/>
  <c r="E39" i="1" s="1"/>
  <c r="B38" i="1"/>
  <c r="G38" i="1" s="1"/>
  <c r="B36" i="1"/>
  <c r="G36" i="1" s="1"/>
  <c r="B35" i="1"/>
  <c r="G35" i="1" s="1"/>
  <c r="B34" i="1"/>
  <c r="E34" i="1" s="1"/>
  <c r="B33" i="1"/>
  <c r="B32" i="1"/>
  <c r="G32" i="1" s="1"/>
  <c r="B31" i="1"/>
  <c r="G31" i="1" s="1"/>
  <c r="B28" i="1"/>
  <c r="G28" i="1" s="1"/>
  <c r="B27" i="1"/>
  <c r="G27" i="1" s="1"/>
  <c r="B26" i="1"/>
  <c r="B24" i="1"/>
  <c r="G24" i="1" s="1"/>
  <c r="B23" i="1"/>
  <c r="G23" i="1" s="1"/>
  <c r="B22" i="1"/>
  <c r="G22" i="1" s="1"/>
  <c r="B21" i="1"/>
  <c r="E21" i="1" s="1"/>
  <c r="B20" i="1"/>
  <c r="F20" i="1" s="1"/>
  <c r="B19" i="1"/>
  <c r="G19" i="1" s="1"/>
  <c r="B18" i="1"/>
  <c r="G18" i="1" s="1"/>
  <c r="B17" i="1"/>
  <c r="G17" i="1" s="1"/>
  <c r="B16" i="1"/>
  <c r="E16" i="1" s="1"/>
  <c r="B15" i="1"/>
  <c r="F15" i="1" s="1"/>
  <c r="B13" i="1"/>
  <c r="G13" i="1" s="1"/>
  <c r="B12" i="1"/>
  <c r="G12" i="1" s="1"/>
  <c r="B10" i="1"/>
  <c r="E10" i="1" s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43" i="1" l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13" i="1"/>
  <c r="H22" i="1"/>
  <c r="H30" i="1"/>
  <c r="H15" i="1"/>
  <c r="H60" i="1"/>
  <c r="H56" i="1"/>
  <c r="H36" i="1"/>
  <c r="H53" i="1"/>
  <c r="H47" i="1"/>
  <c r="H31" i="1"/>
  <c r="H12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41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H10" i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www.nseindia.com/live_market/dynaContent/live_watch/stock_watch/niftyStockWatch.json" htmlTables="1"/>
  </connection>
  <connection id="2" name="Connection1" type="4" refreshedVersion="4" background="1" saveData="1">
    <webPr sourceData="1" parsePre="1" consecutive="1" xl2000="1" url="https://www.nseindia.com/live_market/dynaContent/live_watch/stock_watch/juniorNiftyStockWatch.json" htmlTables="1"/>
  </connection>
  <connection id="3" name="Connection2" type="4" refreshedVersion="4" backgroun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<sst xmlns="http://schemas.openxmlformats.org/spreadsheetml/2006/main" count="194" uniqueCount="169">
  <si>
    <t>Web Data</t>
  </si>
  <si>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</si>
  <si>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</si>
  <si>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</si>
  <si>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</si>
  <si>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</si>
  <si>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</si>
  <si>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</si>
  <si>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</si>
  <si>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</si>
  <si>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</si>
  <si>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</si>
  <si>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</si>
  <si>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</si>
  <si>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</si>
  <si>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</si>
  <si>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</si>
  <si>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</si>
  <si>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</si>
  <si>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</si>
  <si>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</si>
  <si>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</si>
  <si>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</si>
  <si>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</si>
  <si>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</si>
  <si>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</si>
  <si>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</si>
  <si>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</si>
  <si>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</si>
  <si>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</si>
  <si>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</si>
  <si>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</si>
  <si>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</si>
  <si>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</si>
  <si>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</si>
  <si>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</si>
  <si>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</si>
  <si>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</si>
  <si>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</si>
  <si>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</si>
  <si>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</si>
  <si>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</si>
  <si>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</si>
  <si>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</si>
  <si>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</si>
  <si>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</si>
  <si>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</si>
  <si>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</si>
  <si>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</si>
  <si>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</si>
  <si>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</si>
  <si>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</si>
  <si>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</si>
  <si>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</si>
  <si>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</si>
  <si>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</si>
  <si>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</si>
  <si>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</si>
  <si>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</si>
  <si>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</si>
  <si>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</si>
  <si>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</si>
  <si>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 xml:space="preserve">{"trdVolumesumMil":"268.96","time":"May 27, 2016 16:00:00","latestData":[{"indexName":"NIFTY 50","open":"8,081.95","high":"8,164.20","low":"8,077.05","ltp":"8,156.65","ch":"87.00","per":"1.08","yCls":"-2.16","mCls":"2.44","yHigh":"8,654.75","yLow":"6,825.80"}],"declines":15,"trdValueSum":"10,607.10","data":[{"symbol":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},{"symbol":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},{"symbol":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},{"symbol":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},{"symbol":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},{"symbol":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},{"symbol":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},{"symbol":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},{"symbol":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},{"symbol":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},{"symbol":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},{"symbol":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},{"symbol":"HDFC","open":"1,230.00","high":"1,268.40","low":"1,218.35","ltP":"1,250.00","ptsC":"21.75","per":"1.77","trdVol":"32.47","trdVolM":"3.25","ntP":"404.29","mVal":"4.04","wkhi":"1,372.40","wklo":"1,011.45","wkhicm_adj":"1,177.80","wklocm_adj":"755.00","xDt":"30-MAR-2016","cAct":"INTERIM DIVIDEND - RS 3\/- PER SHARE (PURPOSE REVISED)","yPC":"0.81","mPC":"10.88"},{"symbol":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},{"symbol":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},{"symbol":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},{"symbol":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},{"symbol":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},{"symbol":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},{"symbol":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},{"symbol":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},{"symbol":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},{"symbol":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},{"symbol":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},{"symbol":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},{"symbol":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},{"symbol":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},{"symbol":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},{"symbol":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},{"symbol":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},{"symbol":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},{"symbol":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},{"symbol":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},{"symbol":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},{"symbol":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},{"symbol":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},{"symbol":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},{"symbol":"LT","open":"1,474.00","high":"1,487.35","low":"1,452.00","ltP":"1,470.90","ptsC":"-3.25","per":"-0.22","trdVol":"39.24","trdVolM":"3.92","ntP":"576.63","mVal":"5.77","wkhi":"1,888.00","wklo":"1,016.05","wkhicm_adj":"1,776.60","wklocm_adj":"951.50","xDt":"31-DEC-2999","cAct":"-","yPC":"-10.06","mPC":"14.82"},{"symbol":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},{"symbol":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},{"symbol":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},{"symbol":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},{"symbol":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},{"symbol":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},{"symbol":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},{"symbol":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},{"symbol":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},{"symbol":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},{"symbol":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REVISED)","yPC":"-35.96","mPC":"-0.79"}],"trdValueSumMil":"106.07","unchanged":0,"trdVolumesum":"2,689.62","advances":36} </t>
  </si>
  <si>
    <t>AUROPHARMA</t>
  </si>
  <si>
    <t>EICHERMOT</t>
  </si>
  <si>
    <t>INFRATEL</t>
  </si>
  <si>
    <t>TATAMTRDVR</t>
  </si>
  <si>
    <t xml:space="preserve">{"trdVolumesumMil":"131.72","time":"May 27, 2016 16:00:00","latestData":[{"indexName":"NIFTY NEXT 50","open":"19,490.80","high":"19,784.10","low":"19,471.50","ltp":"19,716.15","ch":"287.00","per":"1.48","yCls":"10.18","mCls":"1.56","yHigh":"21,730.80","yLow":"16,607.80"}],"declines":13,"trdValueSum":"3,773.70","data":[{"symbol":"HINDPETRO","open":"865.00","high":"953.95","low":"863.00","ltP":"925.30","ptsC":"75.65","per":"8.90","trdVol":"62.99","trdVolM":"6.30","ntP":"577.23","mVal":"5.77","wkhi":"990.95","wklo":"616.00","wkhicm_adj":"627.80","wklocm_adj":"205.05","xDt":"17-MAR-2016","cAct":"INTERIM DIVIDEND - RS 7\/- PER SHARE (PURPOSE REVISED)","yPC":"46.87","mPC":"7.98"},{"symbol":"BEL","open":"1,134.00","high":"1,205.00","low":"1,134.00","ltP":"1,185.00","ptsC":"61.00","per":"5.43","trdVol":"8.32","trdVolM":"0.83","ntP":"97.95","mVal":"0.98","wkhi":"1,416.85","wklo":"984.00","wkhicm_adj":"2,375.00","wklocm_adj":"893.00","xDt":"31-DEC-2999","cAct":"-","yPC":"7.33","mPC":"-0.53"},{"symbol":"SAIL","open":"40.70","high":"43.15","low":"40.70","ltP":"42.75","ptsC":"2.05","per":"5.04","trdVol":"58.26","trdVolM":"5.83","ntP":"24.52","mVal":"0.25","wkhi":"67.30","wklo":"33.50","wkhicm_adj":"112.95","wklocm_adj":"54.05","xDt":"31-DEC-2999","cAct":"-","yPC":"-35.52","mPC":"-7.47"},{"symbol":"JSWSTEEL","open":"1,323.00","high":"1,380.00","low":"1,313.10","ltP":"1,372.50","ptsC":"53.55","per":"4.06","trdVol":"8.75","trdVolM":"0.88","ntP":"118.05","mVal":"1.18","wkhi":"1,380.00","wklo":"800.00","wkhicm_adj":"1,366.50","wklocm_adj":"804.00","xDt":"31-DEC-2999","cAct":"-","yPC":"49.19","mPC":"0.33"},{"symbol":"PNB","open":"75.30","high":"77.70","low":"74.80","ltP":"77.45","ptsC":"2.90","per":"3.89","trdVol":"86.06","trdVolM":"8.61","ntP":"65.24","mVal":"0.65","wkhi":"180.55","wklo":"69.25","wkhicm_adj":"1,096.50","wklocm_adj":"509.15","xDt":"31-DEC-2999","cAct":"-","yPC":"-49.46","mPC":"-14.09"},{"symbol":"DIVISLAB","open":"1,043.00","high":"1,089.00","low":"1,043.00","ltP":"1,082.00","ptsC":"40.50","per":"3.89","trdVol":"2.25","trdVolM":"0.22","ntP":"24.24","mVal":"0.24","wkhi":"1,242.35","wklo":"863.90","wkhicm_adj":"1,888.05","wklocm_adj":"1,097.00","xDt":"17-MAR-2016","cAct":"INTERIM DIVIDEND - RS 10\/- PER SHARE (PURPOSE REVISED)","yPC":"-40.72","mPC":"2.22"},{"symbol":"IBULHSGFIN","open":"719.90","high":"759.20","low":"715.25","ltP":"745.00","ptsC":"26.05","per":"3.62","trdVol":"20.67","trdVolM":"2.07","ntP":"153.87","mVal":"1.54","wkhi":"820.85","wklo":"541.50","wkhicm_adj":"484.95","wklocm_adj":"187.05","xDt":"18-MAR-2016","cAct":"INTERIM DIVIDEND - RS 9\/- PER SHARE","yPC":"26.08","mPC":"9.54"},{"symbol":"RCOM","open":"47.70","high":"50.40","low":"47.65","ltP":"49.10","ptsC":"1.60","per":"3.37","trdVol":"204.61","trdVolM":"20.46","ntP":"100.75","mVal":"1.01","wkhi":"91.75","wklo":"45.50","wkhicm_adj":"157.25","wklocm_adj":"93.05","xDt":"31-DEC-2999","cAct":"-","yPC":"-22.06","mPC":"-14.68"},{"symbol":"BAJFINANCE","open":"7,543.00","high":"7,739.80","low":"7,467.25","ltP":"7,656.60","ptsC":"198.25","per":"2.66","trdVol":"1.39","trdVolM":"0.14","ntP":"106.16","mVal":"1.06","wkhi":"7,858.05","wklo":"4,115.70","wkhicm_adj":"3,385.00","wklocm_adj":"1,375.00","xDt":"16-MAR-2016","cAct":"INTERIM DIVIDEND - RS 18\/- PER SHARE (PURPOSE REVISED)","yPC":"73.56","mPC":"9.31"},{"symbol":"GODREJCP","open":"1,475.00","high":"1,530.00","low":"1,475.00","ltP":"1,522.40","ptsC":"37.90","per":"2.55","trdVol":"2.54","trdVolM":"0.25","ntP":"38.28","mVal":"0.38","wkhi":"1,530.00","wklo":"1,037.00","wkhicm_adj":"1,119.00","wklocm_adj":"667.00","xDt":"10-MAY-2016","cAct":"INTERIM DIVIDEND - RS 2.75\/- PER SHARE (PURPOSE REVISED)","yPC":"34.29","mPC":"12.33"},{"symbol":"BAJAJFINSV","open":"1,799.90","high":"1,853.90","low":"1,790.05","ltP":"1,837.10","ptsC":"44.95","per":"2.51","trdVol":"2.07","trdVolM":"0.21","ntP":"37.45","mVal":"0.37","wkhi":"2,160.00","wklo":"1,435.15","wkhicm_adj":"1,173.95","wklocm_adj":"658.35","xDt":"16-MAR-2016","cAct":"INTERIM DIVIDEND - RS 1.75\/- PER SHARE (PURPOSE REVISED)","yPC":"19.85","mPC":"-1.71"},{"symbol":"CADILAHC","open":"321.10","high":"331.00","low":"321.10","ltP":"328.05","ptsC":"7.90","per":"2.47","trdVol":"6.44","trdVolM":"0.64","ntP":"21.08","mVal":"0.21","wkhi":"453.30","wklo":"295.00","wkhicm_adj":"1,760.15","wklocm_adj":"723.20","xDt":"17-MAR-2016","cAct":"INTERIM DIVIDEND - RS 3.20\/- PER SHARE","yPC":"-11.54","mPC":"0.02"},{"symbol":"ASHOKLEY","open":"105.10","high":"107.25","low":"104.55","ltP":"106.65","ptsC":"2.45","per":"2.35","trdVol":"174.62","trdVolM":"17.46","ntP":"185.13","mVal":"1.85","wkhi":"112.90","wklo":"64.00","wkhicm_adj":"56.20","wklocm_adj":"14.85","xDt":"31-DEC-2999","cAct":"-","yPC":"50.21","mPC":"-0.14"},{"symbol":"NHPC","open":"22.45","high":"23.20","low":"22.45","ltP":"23.15","ptsC":"0.50","per":"2.21","trdVol":"79.03","trdVolM":"7.90","ntP":"18.13","mVal":"0.18","wkhi":"24.45","wklo":"15.55","wkhicm_adj":"29.60","wklocm_adj":"17.35","xDt":"31-DEC-2999","cAct":"-","yPC":"18.72","mPC":"0.22"},{"symbol":"MOTHERSUMI","open":"276.10","high":"280.30","low":"274.85","ltP":"279.50","ptsC":"5.90","per":"2.16","trdVol":"29.54","trdVolM":"2.95","ntP":"82.31","mVal":"0.82","wkhi":"396.00","wklo":"205.90","wkhicm_adj":"450.70","wklocm_adj":"178.25","xDt":"22-MAR-2016","cAct":"INTERIM DIVIDEND - RS 2.50\/- PER SHARE (PURPOSE REVISED)","yPC":"-41.00","mPC":"6.09"},{"symbol":"GSKCONS","open":"5,791.95","high":"5,950.00","low":"5,746.85","ltP":"5,914.00","ptsC":"121.15","per":"2.09","trdVol":"0.09","trdVolM":"0.01","ntP":"5.25","mVal":"0.05","wkhi":"6,800.00","wklo":"5,405.00","wkhicm_adj":"5,999.00","wklocm_adj":"4,011.00","xDt":"31-DEC-2999","cAct":"-","yPC":"-7.79","mPC":"-0.87"},{"symbol":"PIDILITIND","open":"681.50","high":"709.00","low":"680.00","ltP":"693.00","ptsC":"12.35","per":"1.81","trdVol":"8.32","trdVolM":"0.83","ntP":"57.93","mVal":"0.58","wkhi":"709.00","wklo":"507.30","wkhicm_adj":"505.90","wklocm_adj":"269.60","xDt":"18-MAR-2016","cAct":"INTERIM DIVIDEND - RS 3.65\/- PER SHARE (PURPOSE REVISED)","yPC":"25.94","mPC":"14.38"},{"symbol":"GLAXO","open":"3,455.00","high":"3,620.00","low":"3,436.20","ltP":"3,560.00","ptsC":"54.30","per":"1.55","trdVol":"0.09","trdVolM":"0.01","ntP":"3.27","mVal":"0.03","wkhi":"3,872.00","wklo":"3,032.05","wkhicm_adj":"3,054.50","wklocm_adj":"2,365.00","xDt":"31-DEC-2999","cAct":"-","yPC":"12.39","mPC":"-4.94"},{"symbol":"MARICO","open":"253.00","high":"258.40","low":"252.50","ltP":"257.50","ptsC":"3.75","per":"1.48","trdVol":"8.72","trdVolM":"0.87","ntP":"22.34","mVal":"0.22","wkhi":"269.25","wklo":"189.30","wkhicm_adj":"350.20","wklocm_adj":"200.05","xDt":"17-MAR-2016","cAct":"INTERIM DIVIDEND - RE 1\/- PER SHARE (PURPOSE REVISED)","yPC":"-37.39","mPC":"2.37"},{"symbol":"GLENMARK","open":"869.80","high":"892.70","low":"868.15","ltP":"876.50","ptsC":"11.35","per":"1.31","trdVol":"7.54","trdVolM":"0.75","ntP":"66.44","mVal":"0.66","wkhi":"1,262.90","wklo":"671.10","wkhicm_adj":"841.00","wklocm_adj":"493.00","xDt":"31-DEC-2999","cAct":"-","yPC":"1.67","mPC":"5.67"},{"symbol":"NMDC","open":"91.70","high":"93.20","low":"91.45","ltP":"92.60","ptsC":"1.20","per":"1.31","trdVol":"13.94","trdVolM":"1.39","ntP":"12.88","mVal":"0.13","wkhi":"133.50","wklo":"75.15","wkhicm_adj":"196.00","wklocm_adj":"123.10","xDt":"30-MAR-2016","cAct":"INTERIM DIVIDEND - RS 1.50\/- PER SHARE (PURPOSE REVISED)","yPC":"-30.09","mPC":"-5.46"},{"symbol":"CONCOR","open":"1,366.75","high":"1,387.00","low":"1,350.30","ltP":"1,380.00","ptsC":"17.90","per":"1.31","trdVol":"2.10","trdVolM":"0.21","ntP":"28.96","mVal":"0.29","wkhi":"1,947.70","wklo":"1,051.00","wkhicm_adj":"1,504.70","wklocm_adj":"697.55","xDt":"31-DEC-2999","cAct":"-","yPC":"-20.54","mPC":"1.71"},{"symbol":"IOC","open":"408.00","high":"435.90","low":"405.35","ltP":"407.00","ptsC":"4.85","per":"1.21","trdVol":"81.22","trdVolM":"8.12","ntP":"342.59","mVal":"3.43","wkhi":"465.90","wklo":"336.20","wkhicm_adj":"411.20","wklocm_adj":"193.75","xDt":"31-DEC-2999","cAct":"-","yPC":"13.48","mPC":"-6.25"},{"symbol":"SHREECEM","open":"13,178.00","high":"13,300.00","low":"12,915.00","ltP":"13,100.05","ptsC":"153.40","per":"1.18","trdVol":"0.14","trdVolM":"0.01","ntP":"17.83","mVal":"0.18","wkhi":"13,888.00","wklo":"9,399.95","wkhicm_adj":"9,297.70","wklocm_adj":"4,100.10","xDt":"17-MAR-2016","cAct":"INTERIM DIVIDEND - RS 12\/- PER SHARE (PUPOSE REVISED)","yPC":"14.65","mPC":"4.49"},{"symbol":"SIEMENS","open":"1,191.00","high":"1,220.95","low":"1,190.00","ltP":"1,199.80","ptsC":"13.65","per":"1.15","trdVol":"2.76","trdVolM":"0.28","ntP":"33.32","mVal":"0.33","wkhi":"1,559.70","wklo":"968.60","wkhicm_adj":"1,010.00","wklocm_adj":"513.00","xDt":"31-DEC-2999","cAct":"-","yPC":"-11.88","mPC":"2.12"},{"symbol":"HINDZINC","open":"167.10","high":"170.40","low":"165.85","ltP":"168.85","ptsC":"1.90","per":"1.14","trdVol":"11.17","trdVolM":"1.12","ntP":"18.74","mVal":"0.19","wkhi":"196.80","wklo":"117.05","wkhicm_adj":"184.00","wklocm_adj":"114.80","xDt":"31-DEC-2999","cAct":"-","yPC":"-2.54","mPC":"-2.12"},{"symbol":"MCDOWELL-N","open":"2,435.00","high":"2,524.10","low":"2,365.00","ltP":"2,488.00","ptsC":"23.35","per":"0.95","trdVol":"8.43","trdVolM":"0.84","ntP":"206.78","mVal":"2.07","wkhi":"3,837.90","wklo":"2,225.45","wkhicm_adj":"2,940.80","wklocm_adj":"2,225.00","xDt":"31-DEC-2999","cAct":"-","yPC":"-28.93","mPC":"3.46"},{"symbol":"UBL","open":"720.70","high":"735.00","low":"712.25","ltP":"723.00","ptsC":"6.80","per":"0.95","trdVol":"2.83","trdVolM":"0.28","ntP":"20.52","mVal":"0.21","wkhi":"1,074.95","wklo":"690.00","wkhicm_adj":"859.00","wklocm_adj":"615.65","xDt":"31-DEC-2999","cAct":"-","yPC":"-24.77","mPC":"-4.50"},{"symbol":"RECLTD","open":"156.00","high":"158.35","low":"154.75","ltP":"156.50","ptsC":"1.45","per":"0.94","trdVol":"57.94","trdVolM":"5.79","ntP":"90.43","mVal":"0.90","wkhi":"304.90","wklo":"152.25","wkhicm_adj":"383.40","wklocm_adj":"166.50","xDt":"31-DEC-2999","cAct":"-","yPC":"-48.11","mPC":"-14.71"},{"symbol":"LICHSGFIN","open":"459.40","high":"465.00","low":"453.60","ltP":"461.15","ptsC":"3.75","per":"0.82","trdVol":"27.78","trdVolM":"2.78","ntP":"128.14","mVal":"1.28","wkhi":"523.95","wklo":"388.65","wkhicm_adj":"429.50","wklocm_adj":"187.05","xDt":"31-DEC-2999","cAct":"-","yPC":"11.42","mPC":"0.03"},{"symbol":"DLF","open":"128.30","high":"130.95","low":"127.25","ltP":"129.00","ptsC":"1.00","per":"0.78","trdVol":"93.94","trdVolM":"9.39","ntP":"121.30","mVal":"1.21","wkhi":"142.90","wklo":"72.35","wkhicm_adj":"242.95","wklocm_adj":"100.10","xDt":"28-MAR-2016","cAct":"INTERIM DIVIDEND - RS 2\/- PER SHARE (PURPOSE REVISED)","yPC":"8.04","mPC":"3.86"},{"symbol":"ABB","open":"1,241.80","high":"1,273.85","low":"1,234.40","ltP":"1,250.10","ptsC":"6.80","per":"0.55","trdVol":"0.51","trdVolM":"0.05","ntP":"6.45","mVal":"0.06","wkhi":"1,445.00","wklo":"955.20","wkhicm_adj":"1,263.50","wklocm_adj":"566.95","xDt":"13-APR-2016","cAct":"ANNUAL GENERAL MEETING\/DIVIDEND - RS 3.70 PER SHARE","yPC":"-7.79","mPC":"-3.02"},{"symbol":"COLPAL","open":"838.00","high":"846.75","low":"830.10","ltP":"840.00","ptsC":"4.50","per":"0.54","trdVol":"1.42","trdVolM":"0.14","ntP":"11.93","mVal":"0.12","wkhi":"1,050.00","wklo":"787.20","wkhicm_adj":"2,049.00","wklocm_adj":"1,235.20","xDt":"06-APR-2016","cAct":"INTERIM DIVIDEND - RS 3\/- PER SHARE (PURPOSE REVISED)","yPC":"-14.18","mPC":"-0.46"},{"symbol":"OFSS","open":"3,465.00","high":"3,498.00","low":"3,450.00","ltP":"3,478.50","ptsC":"12.85","per":"0.37","trdVol":"0.43","trdVolM":"0.04","ntP":"14.82","mVal":"0.15","wkhi":"4,444.00","wklo":"3,100.00","wkhicm_adj":"4,180.00","wklocm_adj":"2,770.00","xDt":"31-DEC-2999","cAct":"-","yPC":"-3.20","mPC":"-2.06"},{"symbol":"CASTROLIND","open":"376.15","high":"382.85","low":"375.00","ltP":"376.70","ptsC":"1.00","per":"0.27","trdVol":"13.76","trdVolM":"1.38","ntP":"52.06","mVal":"0.52","wkhi":"513.80","wklo":"360.85","wkhicm_adj":"523.50","wklocm_adj":"283.10","xDt":"27-APR-2016","cAct":"ANNUAL GENERAL MEETING\/ DIVIDEND - RS 5\/- PER SHARE","yPC":"-19.64","mPC":"-4.61"},{"symbol":"UPL","open":"594.70","high":"603.70","low":"591.20","ltP":"594.50","ptsC":"1.55","per":"0.26","trdVol":"14.37","trdVolM":"1.44","ntP":"85.73","mVal":"0.86","wkhi":"612.95","wklo":"367.25","wkhicm_adj":"388.70","wklocm_adj":"161.10","xDt":"31-DEC-2999","cAct":"-","yPC":"10.69","mPC":"16.44"},{"symbol":"DABUR","open":"295.70","high":"300.90","low":"292.50","ltP":"294.75","ptsC":"0.35","per":"0.12","trdVol":"13.33","trdVolM":"1.33","ntP":"39.65","mVal":"0.40","wkhi":"316.40","wklo":"231.50","wkhicm_adj":"249.15","wklocm_adj":"159.50","xDt":"31-DEC-2999","cAct":"-","yPC":"9.43","mPC":"10.58"},{"symbol":"OIL","open":"348.25","high":"354.40","low":"346.00","ltP":"346.80","ptsC":"-0.90","per":"-0.26","trdVol":"4.23","trdVolM":"0.42","ntP":"14.84","mVal":"0.15","wkhi":"487.55","wklo":"300.35","wkhicm_adj":"669.95","wklocm_adj":"438.00","xDt":"31-DEC-2999","cAct":"-","yPC":"-26.82","mPC":"8.75"},{"symbol":"PFC","open":"167.50","high":"170.00","low":"165.20","ltP":"166.90","ptsC":"-0.45","per":"-0.27","trdVol":"14.90","trdVolM":"1.49","ntP":"24.89","mVal":"0.25","wkhi":"283.40","wklo":"140.25","wkhicm_adj":"344.75","wklocm_adj":"128.75","xDt":"31-DEC-2999","cAct":"-","yPC":"-39.80","mPC":"-8.30"},{"symbol":"PGHH","open":"6,301.00","high":"6,338.90","low":"6,250.00","ltP":"6,280.00","ptsC":"-21.20","per":"-0.34","trdVol":"0.01","trdVolM":"0.00","ntP":"0.75","mVal":"0.01","wkhi":"6,995.00","wklo":"5,178.65","wkhicm_adj":"5,949.00","wklocm_adj":"2,752.00","xDt":"31-DEC-2999","cAct":"-","yPC":"-3.92","mPC":"-2.31"},{"symbol":"SRTRANSFIN","open":"1,195.00","high":"1,219.80","low":"1,172.50","ltP":"1,192.00","ptsC":"-4.60","per":"-0.38","trdVol":"7.46","trdVolM":"0.75","ntP":"89.26","mVal":"0.89","wkhi":"1,219.80","wklo":"736.95","wkhicm_adj":"1,139.00","wklocm_adj":"548.70","xDt":"31-DEC-2999","cAct":"-","yPC":"42.88","mPC":"20.60"},{"symbol":"APOLLOHOSP","open":"1,339.50","high":"1,357.40","low":"1,336.00","ltP":"1,340.10","ptsC":"-5.80","per":"-0.43","trdVol":"1.13","trdVolM":"0.11","ntP":"15.21","mVal":"0.15","wkhi":"1,544.90","wklo":"1,150.00","wkhicm_adj":"1,246.50","wklocm_adj":"815.35","xDt":"22-MAR-2016","cAct":"INTERIM DIVIDEND - RS 6\/- PER SHARE (PURPOSE REVISED)","yPC":"9.23","mPC":"1.06"},{"symbol":"TORNTPHARM","open":"1,383.90","high":"1,406.00","low":"1,360.00","ltP":"1,372.00","ptsC":"-10.40","per":"-0.75","trdVol":"1.40","trdVolM":"0.14","ntP":"19.41","mVal":"0.19","wkhi":"1,718.40","wklo":"1,169.05","wkhicm_adj":"1,135.00","wklocm_adj":"458.00","xDt":"16-MAR-2016","cAct":"INTERIM DIVIDEND - RS 15\/- PER SHARE (PURPOSE REVISED)","yPC":"10.71","mPC":"-4.07"},{"symbol":"TITAN","open":"363.90","high":"363.90","low":"359.10","ltP":"359.10","ptsC":"-2.80","per":"-0.77","trdVol":"8.05","trdVolM":"0.80","ntP":"29.07","mVal":"0.29","wkhi":"392.40","wklo":"301.70","wkhicm_adj":"425.00","wklocm_adj":"202.45","xDt":"22-MAR-2016","cAct":"INTERIM DIVIDEND - RS 2.20\/- PER SHARE (PURPOSE REVISED)","yPC":"-3.52","mPC":"-3.43"},{"symbol":"VEDL","open":"104.40","high":"105.90","low":"102.10","ltP":"103.20","ptsC":"-0.85","per":"-0.82","trdVol":"97.23","trdVolM":"9.72","ntP":"101.10","mVal":"1.01","wkhi":"204.00","wklo":"58.15","wkhicm_adj":"318.30","wklocm_adj":"168.85","xDt":"31-DEC-2999","cAct":"-","yPC":"-46.14","mPC":"-3.05"},{"symbol":"BRITANNIA","open":"2,759.00","high":"2,761.85","low":"2,701.10","ltP":"2,718.00","ptsC":"-26.40","per":"-0.96","trdVol":"5.13","trdVolM":"0.51","ntP":"140.29","mVal":"1.40","wkhi":"3,434.20","wklo":"2,424.00","wkhicm_adj":"1,729.80","wklocm_adj":"809.10","xDt":"31-DEC-2999","cAct":"-","yPC":"5.40","mPC":"-4.20"},{"symbol":"EMAMILTD","open":"1,025.90","high":"1,025.90","low":"1,012.05","ltP":"1,014.50","ptsC":"-10.60","per":"-1.03","trdVol":"0.83","trdVolM":"0.08","ntP":"8.46","mVal":"0.08","wkhi":"1,365.00","wklo":"901.00","wkhicm_adj":"824.70","wklocm_adj":"420.00","xDt":"31-DEC-2999","cAct":"-","yPC":"-6.16","mPC":"2.08"},{"symbol":"BHARATFORG","open":"753.00","high":"758.05","low":"741.00","ltP":"743.10","ptsC":"-8.30","per":"-1.10","trdVol":"6.01","trdVolM":"0.60","ntP":"44.83","mVal":"0.45","wkhi":"1,293.00","wklo":"704.90","wkhicm_adj":"979.00","wklocm_adj":"291.10","xDt":"18-MAR-2016","cAct":"INTERIM DIVIDEND - RS 4\/- PER SHARE (PURPOSE REVISED)","yPC":"-40.04","mPC":"-7.88"},{"symbol":"CAIRN","open":"141.50","high":"141.80","low":"137.25","ltP":"138.50","ptsC":"-2.70","per":"-1.91","trdVol":"25.23","trdVolM":"2.52","ntP":"35.05","mVal":"0.35","wkhi":"197.90","wklo":"106.50","wkhicm_adj":"386.00","wklocm_adj":"255.00","xDt":"31-DEC-2999","cAct":"-","yPC":"-27.45","mPC":"-4.81"},{"symbol":"CUMMINSIND","open":"807.00","high":"807.65","low":"759.05","ltP":"781.10","ptsC":"-26.55","per":"-3.29","trdVol":"27.20","trdVolM":"2.72","ntP":"212.79","mVal":"2.13","wkhi":"1,247.65","wklo":"746.15","wkhicm_adj":"955.60","wklocm_adj":"417.70","xDt":"31-DEC-2999","cAct":"-","yPC":"-7.98","mPC":"-11.43"}],"trdValueSumMil":"37.74","unchanged":0,"trdVolumesum":"1,317.18","advances":37} 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</si>
  <si>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</si>
  <si>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</si>
  <si>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</si>
  <si>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</si>
  <si>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</si>
  <si>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</si>
  <si>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</si>
  <si>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</si>
  <si>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</si>
  <si>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</si>
  <si>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</si>
  <si>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</si>
  <si>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</si>
  <si>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</si>
  <si>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</si>
  <si>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</si>
  <si>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</si>
  <si>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</si>
  <si>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</si>
  <si>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</si>
  <si>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</si>
  <si>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</si>
  <si>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</si>
  <si>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</si>
  <si>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</si>
  <si>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</si>
  <si>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</si>
  <si>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</si>
  <si>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</si>
  <si>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</si>
  <si>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</si>
  <si>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</si>
  <si>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</si>
  <si>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</si>
  <si>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</si>
  <si>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</si>
  <si>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</si>
  <si>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</si>
  <si>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</si>
  <si>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</si>
  <si>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</si>
  <si>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</si>
  <si>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</si>
  <si>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</si>
  <si>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</si>
  <si>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</si>
  <si>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</si>
  <si>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</si>
  <si>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 xml:space="preserve">{"trdVolumesumMil":"138.10","time":"May 27, 2016 16:00:00","latestData":[{"indexName":"NIFTY MIDCAP 50","open":"3,344.55","high":"3,388.20","low":"3,341.40","ltp":"3,370.90","ch":"38.15","per":"1.14","yCls":"0.88","mCls":"-0.46","yHigh":"3,563.60","yLow":"2,633.10"}],"declines":13,"trdValueSum":"2,366.18","data":[{"symbol":"SYNDIBANK","open":"61.90","high":"66.20","low":"61.80","ltP":"66.15","ptsC":"4.55","per":"7.39","trdVol":"41.31","trdVolM":"4.13","ntP":"26.14","mVal":"0.26","wkhi":"118.30","wklo":"49.40","wkhicm_adj":"180.00","wklocm_adj":"77.60","xDt":"31-DEC-2999","cAct":"-","yPC":"-41.12","mPC":"-6.10"},{"symbol":"RPOWER","open":"48.70","high":"53.90","low":"48.65","ltP":"52.20","ptsC":"3.55","per":"7.30","trdVol":"143.95","trdVolM":"14.39","ntP":"75.40","mVal":"0.75","wkhi":"61.25","wklo":"33.10","wkhicm_adj":"113.30","wklocm_adj":"60.00","xDt":"31-DEC-2999","cAct":"-","yPC":"-3.69","mPC":"-2.43"},{"symbol":"BIOCON","open":"660.60","high":"717.00","low":"658.40","ltP":"700.80","ptsC":"43.50","per":"6.62","trdVol":"23.79","trdVolM":"2.38","ntP":"165.87","mVal":"1.66","wkhi":"717.00","wklo":"395.30","wkhicm_adj":"553.60","wklocm_adj":"378.65","xDt":"17-MAR-2016","cAct":"INTERIM DIVIDEND - RS 5\/- PER SHARE (PURPOSE REVISED)","yPC":"55.80","mPC":"23.96"},{"symbol":"UNIONBANK","open":"113.00","high":"117.05","low":"111.35","ltP":"116.80","ptsC":"6.00","per":"5.42","trdVol":"56.19","trdVolM":"5.62","ntP":"63.76","mVal":"0.64","wkhi":"222.70","wklo":"104.00","wkhicm_adj":"259.65","wklocm_adj":"100.50","xDt":"31-DEC-2999","cAct":"-","yPC":"-30.83","mPC":"-11.08"},{"symbol":"IDFC","open":"47.65","high":"51.40","low":"47.65","ltP":"49.65","ptsC":"2.35","per":"4.97","trdVol":"85.54","trdVolM":"8.55","ntP":"42.85","mVal":"0.43","wkhi":"163.60","wklo":"34.80","wkhicm_adj":"166.65","wklocm_adj":"88.05","xDt":"31-DEC-2999","cAct":"-","yPC":"-67.71","mPC":"9.12"},{"symbol":"JSWENERGY","open":"68.90","high":"72.00","low":"68.60","ltP":"71.80","ptsC":"3.30","per":"4.82","trdVol":"25.22","trdVolM":"2.52","ntP":"17.90","mVal":"0.18","wkhi":"114.30","wklo":"59.00","wkhicm_adj":"97.40","wklocm_adj":"39.85","xDt":"31-DEC-2999","cAct":"-","yPC":"-34.49","mPC":"5.36"},{"symbol":"ALBK","open":"50.90","high":"54.00","low":"50.70","ltP":"53.35","ptsC":"2.45","per":"4.81","trdVol":"28.81","trdVolM":"2.88","ntP":"14.95","mVal":"0.15","wkhi":"108.25","wklo":"39.40","wkhicm_adj":"150.00","wklocm_adj":"72.20","xDt":"31-DEC-2999","cAct":"-","yPC":"-48.35","mPC":"-11.16"},{"symbol":"RELINFRA","open":"518.40","high":"553.50","low":"518.10","ltP":"540.95","ptsC":"24.30","per":"4.70","trdVol":"48.33","trdVolM":"4.83","ntP":"261.94","mVal":"2.62","wkhi":"621.90","wklo":"281.55","wkhicm_adj":"819.90","wklocm_adj":"350.30","xDt":"31-DEC-2999","cAct":"-","yPC":"28.40","mPC":"-2.18"},{"symbol":"IDBI","open":"65.85","high":"68.35","low":"65.75","ltP":"68.00","ptsC":"2.40","per":"3.66","trdVol":"43.61","trdVolM":"4.36","ntP":"29.14","mVal":"0.29","wkhi":"95.70","wklo":"47.25","wkhicm_adj":"116.40","wklocm_adj":"52.90","xDt":"31-DEC-2999","cAct":"-","yPC":"-3.68","mPC":"-4.29"},{"symbol":"RELCAPITAL","open":"401.50","high":"422.00","low":"399.35","ltP":"414.00","ptsC":"12.45","per":"3.10","trdVol":"45.66","trdVolM":"4.57","ntP":"189.39","mVal":"1.89","wkhi":"471.00","wklo":"246.35","wkhicm_adj":"669.90","wklocm_adj":"304.50","xDt":"31-DEC-2999","cAct":"-","yPC":"5.53","mPC":"1.42"},{"symbol":"WOCKPHARMA","open":"904.90","high":"942.50","low":"904.00","ltP":"926.00","ptsC":"25.65","per":"2.85","trdVol":"7.08","trdVolM":"0.71","ntP":"65.84","mVal":"0.66","wkhi":"1,745.00","wklo":"705.75","wkhicm_adj":"887.00","wklocm_adj":"336.55","xDt":"31-DEC-2999","cAct":"-","yPC":"-41.23","mPC":"-10.69"},{"symbol":"BATAINDIA","open":"544.00","high":"559.95","low":"530.05","ltP":"558.90","ptsC":"14.85","per":"2.73","trdVol":"13.60","trdVolM":"1.36","ntP":"74.39","mVal":"0.74","wkhi":"622.00","wklo":"438.00","wkhicm_adj":"1,413.40","wklocm_adj":"894.55","xDt":"31-DEC-2999","cAct":"-","yPC":"-46.20","mPC":"-1.18"},{"symbol":"BANKINDIA","open":"85.00","high":"88.30","low":"85.00","ltP":"87.55","ptsC":"2.30","per":"2.70","trdVol":"33.92","trdVolM":"3.39","ntP":"29.28","mVal":"0.29","wkhi":"208.00","wklo":"78.40","wkhicm_adj":"357.00","wklocm_adj":"165.55","xDt":"31-DEC-2999","cAct":"-","yPC":"-57.05","mPC":"-10.11"},{"symbol":"MRF","open":"32,700.00","high":"33,725.00","low":"32,652.05","ltP":"33,430.00","ptsC":"876.95","per":"2.69","trdVol":"0.08","trdVolM":"0.01","ntP":"26.48","mVal":"0.26","wkhi":"46,399.00","wklo":"31,002.00","wkhicm_adj":"33,980.00","wklocm_adj":"17,070.00","xDt":"31-DEC-2999","cAct":"-","yPC":"-6.47","mPC":"-6.41"},{"symbol":"APOLLOTYRE","open":"153.00","high":"157.25","low":"152.80","ltP":"156.60","ptsC":"3.75","per":"2.45","trdVol":"12.37","trdVolM":"1.24","ntP":"19.29","mVal":"0.19","wkhi":"223.40","wklo":"127.05","wkhicm_adj":"242.95","wklocm_adj":"77.50","xDt":"31-DEC-2999","cAct":"-","yPC":"-14.66","mPC":"-3.81"},{"symbol":"SRF","open":"1,239.90","high":"1,270.00","low":"1,229.40","ltP":"1,262.00","ptsC":"26.35","per":"2.13","trdVol":"1.45","trdVolM":"0.14","ntP":"18.18","mVal":"0.18","wkhi":"1,498.85","wklo":"970.60","wkhicm_adj":"958.80","wklocm_adj":"170.00","xDt":"31-DEC-2999","cAct":"-","yPC":"26.52","mPC":"-6.45"},{"symbol":"AJANTPHARM","open":"1,511.50","high":"1,547.00","low":"1,511.50","ltP":"1,533.00","ptsC":"31.50","per":"2.10","trdVol":"0.85","trdVolM":"0.08","ntP":"13.01","mVal":"0.13","wkhi":"1,720.00","wklo":"1,101.05","wkhicm_adj":"2,526.95","wklocm_adj":"776.65","xDt":"31-DEC-2999","cAct":"-","yPC":"5.40","mPC":"-0.65"},{"symbol":"IRB","open":"215.00","high":"220.40","low":"213.50","ltP":"218.05","ptsC":"4.20","per":"1.96","trdVol":"17.07","trdVolM":"1.71","ntP":"37.08","mVal":"0.37","wkhi":"272.00","wklo":"197.10","wkhicm_adj":"289.65","wklocm_adj":"67.20","xDt":"16-MAR-2016","cAct":"INTERIM DIVIDEND - RS 2\/- PER SHARE (PURPOSE REVISED)","yPC":"-10.51","mPC":"1.68"},{"symbol":"SUNTV","open":"385.10","high":"388.00","low":"378.10","ltP":"384.00","ptsC":"5.90","per":"1.56","trdVol":"11.29","trdVolM":"1.13","ntP":"43.20","mVal":"0.43","wkhi":"436.80","wklo":"255.80","wkhicm_adj":"477.00","wklocm_adj":"300.00","xDt":"21-MAR-2016","cAct":"INTERIM DIVIDEND - RS 7.50\/- PER SHARE (PURPOSE REVISED)","yPC":"1.11","mPC":"7.67"},{"symbol":"M&amp;MFIN","open":"321.50","high":"328.65","low":"320.55","ltP":"324.10","ptsC":"4.75","per":"1.49","trdVol":"12.01","trdVolM":"1.20","ntP":"39.06","mVal":"0.39","wkhi":"328.65","wklo":"173.10","wkhicm_adj":"356.50","wklocm_adj":"229.25","xDt":"31-DEC-2999","cAct":"-","yPC":"23.47","mPC":"7.02"},{"symbol":"JINDALSTEL","open":"60.70","high":"62.50","low":"60.60","ltP":"61.60","ptsC":"0.90","per":"1.48","trdVol":"57.13","trdVolM":"5.71","ntP":"35.27","mVal":"0.35","wkhi":"133.75","wklo":"48.10","wkhicm_adj":"351.00","wklocm_adj":"127.70","xDt":"31-DEC-2999","cAct":"-","yPC":"-52.47","mPC":"-17.04"},{"symbol":"HEXAWARE","open":"213.25","high":"217.55","low":"213.05","ltP":"215.50","ptsC":"2.95","per":"1.39","trdVol":"9.66","trdVolM":"0.97","ntP":"20.82","mVal":"0.21","wkhi":"298.50","wklo":"201.50","wkhicm_adj":"226.25","wklocm_adj":"111.90","xDt":"13-MAY-2016","cAct":"INTERIM DIVIDEND - RS 2.50\/- PER SHARE","yPC":"-24.25","mPC":"-12.08"},{"symbol":"IGL","open":"568.35","high":"579.45","low":"567.80","ltP":"575.00","ptsC":"5.90","per":"1.04","trdVol":"2.42","trdVolM":"0.24","ntP":"13.91","mVal":"0.14","wkhi":"608.00","wklo":"375.35","wkhicm_adj":"458.80","wklocm_adj":"238.05","xDt":"31-DEC-2999","cAct":"-","yPC":"41.29","mPC":"0.43"},{"symbol":"PETRONET","open":"269.35","high":"276.75","low":"268.75","ltP":"272.40","ptsC":"2.75","per":"1.02","trdVol":"7.44","trdVolM":"0.74","ntP":"20.33","mVal":"0.20","wkhi":"284.80","wklo":"163.55","wkhicm_adj":"208.80","wklocm_adj":"102.60","xDt":"31-DEC-2999","cAct":"-","yPC":"51.80","mPC":"3.75"},{"symbol":"GODREJIND","open":"344.30","high":"350.80","low":"344.30","ltP":"347.30","ptsC":"3.45","per":"1.00","trdVol":"1.82","trdVolM":"0.18","ntP":"6.32","mVal":"0.06","wkhi":"412.00","wklo":"290.00","wkhicm_adj":"372.80","wklocm_adj":"248.50","xDt":"15-MAR-2016","cAct":"INTERIM DIVIDEND - RE 1.75 PER SHARE (PURPOSE REVISED)","yPC":"-4.38","mPC":"-1.73"},{"symbol":"PAGEIND","open":"13,349.95","high":"13,572.90","low":"13,126.85","ltP":"13,441.80","ptsC":"121.75","per":"0.91","trdVol":"0.11","trdVolM":"0.01","ntP":"14.23","mVal":"0.14","wkhi":"17,000.00","wklo":"9,752.35","wkhicm_adj":"10,390.00","wklocm_adj":"5,010.00","xDt":"31-DEC-2999","cAct":"-","yPC":"-7.38","mPC":"4.57"},{"symbol":"EXIDEIND","open":"156.05","high":"158.30","low":"155.80","ltP":"157.45","ptsC":"1.40","per":"0.90","trdVol":"5.41","trdVolM":"0.54","ntP":"8.50","mVal":"0.09","wkhi":"168.60","wklo":"116.00","wkhicm_adj":"183.40","wklocm_adj":"99.00","xDt":"31-DEC-2999","cAct":"-","yPC":"1.58","mPC":"6.67"},{"symbol":"GMRINFRA","open":"11.40","high":"11.65","low":"11.20","ltP":"11.45","ptsC":"0.10","per":"0.88","trdVol":"94.99","trdVolM":"9.50","ntP":"10.87","mVal":"0.11","wkhi":"18.55","wklo":"9.75","wkhicm_adj":"38.25","wklocm_adj":"17.15","xDt":"31-DEC-2999","cAct":"-","yPC":"-19.93","mPC":"-7.29"},{"symbol":"DISHTV","open":"85.90","high":"88.15","low":"85.90","ltP":"86.25","ptsC":"0.60","per":"0.70","trdVol":"41.59","trdVolM":"4.16","ntP":"36.17","mVal":"0.36","wkhi":"121.65","wklo":"65.20","wkhicm_adj":"65.90","wklocm_adj":"43.15","xDt":"31-DEC-2999","cAct":"-","yPC":"-12.53","mPC":"-5.63"},{"symbol":"ARVIND","open":"313.00","high":"317.90","low":"310.05","ltP":"314.60","ptsC":"2.10","per":"0.67","trdVol":"11.01","trdVolM":"1.10","ntP":"34.72","mVal":"0.35","wkhi":"365.70","wklo":"216.30","wkhicm_adj":"341.50","wklocm_adj":"119.00","xDt":"31-DEC-2999","cAct":"-","yPC":"40.42","mPC":"10.41"},{"symbol":"AMARAJABAT","open":"863.80","high":"872.00","low":"859.00","ltP":"861.75","ptsC":"4.90","per":"0.57","trdVol":"3.34","trdVolM":"0.33","ntP":"28.97","mVal":"0.29","wkhi":"1,128.00","wklo":"774.15","wkhicm_adj":"794.00","wklocm_adj":"315.05","xDt":"22-MAR-2016","cAct":"INTERIM DIVIDEND - RS 4.25\/- PER SHARE (PURPOSE REVISED)","yPC":"-0.61","mPC":"-9.21"},{"symbol":"CENTURYTEX","open":"622.70","high":"627.00","low":"614.00","ltP":"621.50","ptsC":"2.00","per":"0.32","trdVol":"10.56","trdVolM":"1.06","ntP":"65.53","mVal":"0.66","wkhi":"748.60","wklo":"403.00","wkhicm_adj":"664.40","wklocm_adj":"248.25","xDt":"31-DEC-2999","cAct":"-","yPC":"-6.99","mPC":"-0.99"},{"symbol":"TATACOMM","open":"457.60","high":"464.00","low":"454.00","ltP":"458.65","ptsC":"1.10","per":"0.24","trdVol":"2.12","trdVolM":"0.21","ntP":"9.73","mVal":"0.10","wkhi":"491.35","wklo":"325.00","wkhicm_adj":"462.40","wklocm_adj":"258.50","xDt":"31-DEC-2999","cAct":"-","yPC":"4.68","mPC":"9.16"},{"symbol":"MINDTREE","open":"664.50","high":"674.45","low":"656.80","ltP":"666.80","ptsC":"1.45","per":"0.22","trdVol":"2.92","trdVolM":"0.29","ntP":"19.47","mVal":"0.19","wkhi":"804.50","wklo":"594.03","wkhicm_adj":"1,268.30","wklocm_adj":"648.75","xDt":"11-APR-2016","cAct":"INTERIM DIVIDEND - RS 2\/- PER SHARE (PURPOSE REVISED)","yPC":"-7.96","mPC":"-5.73"},{"symbol":"STAR","open":"1,112.15","high":"1,141.75","low":"1,109.00","ltP":"1,114.55","ptsC":"2.40","per":"0.22","trdVol":"3.22","trdVolM":"0.32","ntP":"36.34","mVal":"0.36","wkhi":"1,414.00","wklo":"847.00","wkhicm_adj":"1,045.00","wklocm_adj":"310.15","xDt":"31-DEC-2999","cAct":"-","yPC":"-9.01","mPC":"-0.41"},{"symbol":"CESC","open":"559.00","high":"567.00","low":"555.45","ltP":"560.10","ptsC":"1.05","per":"0.19","trdVol":"2.80","trdVolM":"0.28","ntP":"15.72","mVal":"0.16","wkhi":"624.30","wklo":"404.55","wkhicm_adj":"827.45","wklocm_adj":"374.40","xDt":"17-MAR-2016","cAct":"INTERIM DIVIDEND - RS 10\/- PER SHARE (PURPOSE REVISED)","yPC":"2.90","mPC":"2.33"},{"symbol":"L&amp;TFH","open":"74.00","high":"74.95","low":"73.50","ltP":"73.75","ptsC":"0.00","per":"0.00","trdVol":"31.11","trdVolM":"3.11","ntP":"23.06","mVal":"0.23","wkhi":"77.00","wklo":"48.25","wkhicm_adj":"88.25","wklocm_adj":"62.30","xDt":"31-DEC-2999","cAct":"-","yPC":"15.78","mPC":"3.73"},{"symbol":"FEDERALBNK","open":"53.10","high":"53.70","low":"52.10","ltP":"52.70","ptsC":"-0.05","per":"-0.09","trdVol":"82.18","trdVolM":"8.22","ntP":"43.46","mVal":"0.43","wkhi":"79.80","wklo":"41.35","wkhicm_adj":"152.95","wklocm_adj":"72.35","xDt":"31-DEC-2999","cAct":"-","yPC":"-27.03","mPC":"8.88"},{"symbol":"VOLTAS","open":"340.45","high":"342.00","low":"334.30","ltP":"337.00","ptsC":"-1.35","per":"-0.40","trdVol":"19.18","trdVolM":"1.92","ntP":"64.88","mVal":"0.65","wkhi":"359.90","wklo":"211.00","wkhicm_adj":"286.45","wklocm_adj":"96.85","xDt":"31-DEC-2999","cAct":"-","yPC":"0.04","mPC":"13.56"},{"symbol":"PCJEWELLER","open":"371.90","high":"371.90","low":"365.00","ltP":"368.00","ptsC":"-1.75","per":"-0.47","trdVol":"1.53","trdVolM":"0.15","ntP":"5.63","mVal":"0.06","wkhi":"493.40","wklo":"295.80","wkhicm_adj":"278.00","wklocm_adj":"72.00","xDt":"31-DEC-2999","cAct":"-","yPC":"0.49","mPC":"3.05"},{"symbol":"HAVELLS","open":"375.00","high":"377.70","low":"372.00","ltP":"374.25","ptsC":"-2.60","per":"-0.69","trdVol":"13.17","trdVolM":"1.32","ntP":"49.48","mVal":"0.49","wkhi":"378.40","wklo":"235.30","wkhicm_adj":"326.50","wklocm_adj":"143.57","xDt":"31-DEC-2999","cAct":"-","yPC":"38.13","mPC":"8.13"},{"symbol":"ENGINERSIN","open":"181.30","high":"182.15","low":"178.70","ltP":"180.50","ptsC":"-1.60","per":"-0.88","trdVol":"3.80","trdVolM":"0.38","ntP":"6.84","mVal":"0.07","wkhi":"252.20","wklo":"143.10","wkhicm_adj":"331.70","wklocm_adj":"142.50","xDt":"08-MAR-2016","cAct":"INTERIM DIVIDEND - RS 2\/- PER SHARE (PURPOSE REVISED)","yPC":"-8.38","mPC":"-1.29"},{"symbol":"ADANIENT","open":"74.20","high":"76.00","low":"72.60","ltP":"73.20","ptsC":"-0.90","per":"-1.21","trdVol":"18.81","trdVolM":"1.88","ntP":"13.90","mVal":"0.14","wkhi":"794.00","wklo":"58.20","wkhicm_adj":"585.00","wklocm_adj":"210.10","xDt":"22-MAR-2016","cAct":"INTERIM DIVIDEND - RE 0.40\/- PER SHARE (PURPOSE REVISED)","yPC":"-90.74","mPC":"-13.12"},{"symbol":"TATAGLOBAL","open":"118.10","high":"119.40","low":"116.85","ltP":"117.05","ptsC":"-1.55","per":"-1.31","trdVol":"6.76","trdVolM":"0.68","ntP":"7.98","mVal":"0.08","wkhi":"150.30","wklo":"100.00","wkhicm_adj":"177.15","wklocm_adj":"135.25","xDt":"31-DEC-2999","cAct":"-","yPC":"-21.28","mPC":"-3.90"},{"symbol":"TATACHEM","open":"453.00","high":"454.90","low":"431.10","ltP":"431.60","ptsC":"-7.15","per":"-1.63","trdVol":"11.19","trdVolM":"1.12","ntP":"49.25","mVal":"0.49","wkhi":"526.00","wklo":"309.60","wkhicm_adj":"442.75","wklocm_adj":"244.20","xDt":"31-DEC-2999","cAct":"-","yPC":"0.76","mPC":"1.79"},{"symbol":"JUSTDIAL","open":"663.00","high":"669.70","low":"650.00","ltP":"652.40","ptsC":"-13.30","per":"-2.00","trdVol":"12.99","trdVolM":"1.30","ntP":"85.79","mVal":"0.86","wkhi":"1,290.00","wklo":"375.70","wkhicm_adj":"1,894.40","wklocm_adj":"982.60","xDt":"31-DEC-2999","cAct":"-","yPC":"-42.68","mPC":"-24.20"},{"symbol":"CANBK","open":"198.00","high":"203.20","low":"185.30","ltP":"194.80","ptsC":"-4.60","per":"-2.31","trdVol":"90.49","trdVolM":"9.05","ntP":"175.24","mVal":"1.75","wkhi":"360.45","wklo":"156.00","wkhicm_adj":"498.00","wklocm_adj":"209.00","xDt":"31-DEC-2999","cAct":"-","yPC":"-42.94","mPC":"-8.97"},{"symbol":"ADANIPOWER","open":"30.85","high":"31.05","low":"29.80","ltP":"30.05","ptsC":"-0.80","per":"-2.59","trdVol":"157.01","trdVolM":"15.70","ntP":"47.40","mVal":"0.47","wkhi":"40.80","wklo":"19.60","wkhicm_adj":"68.35","wklocm_adj":"31.80","xDt":"31-DEC-2999","cAct":"-","yPC":"-24.69","mPC":"-8.24"},{"symbol":"TVSMOTOR","open":"299.00","high":"299.95","low":"289.10","ltP":"290.35","ptsC":"-8.75","per":"-2.93","trdVol":"12.92","trdVolM":"1.29","ntP":"37.87","mVal":"0.38","wkhi":"340.85","wklo":"201.00","wkhicm_adj":"266.70","wklocm_adj":"52.50","xDt":"17-MAR-2016","cAct":"INTERIM DIVIDEND - RS 1.50 PER SHARE (PURPOSE REVISED)","yPC":"22.93","mPC":"-12.07"},{"symbol":"JUBLFOOD","open":"1,153.00","high":"1,172.95","low":"1,080.00","ltP":"1,101.25","ptsC":"-51.75","per":"-4.49","trdVol":"11.22","trdVolM":"1.12","ntP":"125.35","mVal":"1.25","wkhi":"1,959.50","wklo":"887.35","wkhicm_adj":"1,497.40","wklocm_adj":"937.70","xDt":"31-DEC-2999","cAct":"-","yPC":"-37.36","mPC":"-16.56"}],"trdValueSumMil":"23.66","unchanged":1,"trdVolumesum":"1,381.03","advances":36} 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</si>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</sst>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juniorNiftyStockWatch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StockWatch" refreshOnLoad="1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Midcap50StockWatch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0"/>
  <sheetViews>
    <sheetView tabSelected="1" topLeftCell="C7" workbookViewId="0">
      <selection activeCell="E25" sqref="E25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</cols>
  <sheetData>
    <row r="1" spans="1:13" ht="22.5" hidden="1" customHeight="1" x14ac:dyDescent="0.25">
      <c r="D1" s="2" t="s">
        <v>0</v>
      </c>
      <c r="E1" s="3" t="s">
        <v>62</v>
      </c>
    </row>
    <row r="2" spans="1:13" hidden="1" x14ac:dyDescent="0.25">
      <c r="A2" t="str">
        <f>MID(M2, 14, 4)</f>
        <v/>
      </c>
    </row>
    <row r="3" spans="1:13" hidden="1" x14ac:dyDescent="0.25">
      <c r="D3" t="s">
        <v>68</v>
      </c>
      <c r="E3" t="s">
        <v>67</v>
      </c>
    </row>
    <row r="4" spans="1:13" hidden="1" x14ac:dyDescent="0.25"/>
    <row r="5" spans="1:13" hidden="1" x14ac:dyDescent="0.25"/>
    <row r="6" spans="1:13" hidden="1" x14ac:dyDescent="0.25">
      <c r="A6" t="str">
        <f>MID(M6, 14, 4)</f>
        <v/>
      </c>
      <c r="D6" t="s">
        <v>115</v>
      </c>
      <c r="E6" t="s">
        <v>116</v>
      </c>
    </row>
    <row r="8" spans="1:13" x14ac:dyDescent="0.25">
      <c r="C8" s="15" t="s">
        <v>167</v>
      </c>
    </row>
    <row r="9" spans="1:13" x14ac:dyDescent="0.25">
      <c r="A9" t="str">
        <f>MID(M9, 14, 4)</f>
        <v/>
      </c>
      <c r="B9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8</v>
      </c>
      <c r="J9" s="4" t="s">
        <v>9</v>
      </c>
      <c r="K9" s="4" t="s">
        <v>59</v>
      </c>
    </row>
    <row r="10" spans="1:13" x14ac:dyDescent="0.25">
      <c r="B10" t="str">
        <f t="shared" ref="B10:B44" si="0">MID($E$1,FIND(C10,$E$1)-1,FIND("}",$E$1,FIND(C10,$E$1))-FIND(C10,$E$1)+1)</f>
        <v>"ACC","open":"1,509.00","high":"1,533.30","low":"1,502.00","ltP":"1,525.15","ptsC":"21.10","per":"1.40","trdVol":"4.33","trdVolM":"0.43","ntP":"65.74","mVal":"0.66","wkhi":"1,533.30","wklo":"1,174.00","wkhicm_adj":"1,564.65","wklocm_adj":"970.15","xDt":"31-DEC-2999","cAct":"-","yPC":"4.18","mPC":"6.89"</v>
      </c>
      <c r="C10" s="5" t="s">
        <v>10</v>
      </c>
      <c r="D10" s="6" t="str">
        <f t="shared" ref="D10:G31" si="1">MID($B10,FIND(D$9,$B10)+LEN(D$9)+3,FIND(CHAR(34),$B10,FIND(D$9,$B10)+LEN(D$9)+3)-(FIND(D$9,$B10)+LEN(D$9)+3))</f>
        <v>1,509.00</v>
      </c>
      <c r="E10" s="6" t="str">
        <f t="shared" si="1"/>
        <v>1,533.30</v>
      </c>
      <c r="F10" s="6" t="str">
        <f t="shared" si="1"/>
        <v>1,502.00</v>
      </c>
      <c r="G10" s="6" t="str">
        <f t="shared" si="1"/>
        <v>1,525.15</v>
      </c>
      <c r="H10" s="7" t="str">
        <f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M10" s="12"/>
    </row>
    <row r="11" spans="1:13" x14ac:dyDescent="0.25">
      <c r="B11" t="str">
        <f t="shared" ref="B11" si="2">MID($E$1,FIND(C11,$E$1)-1,FIND("}",$E$1,FIND(C11,$E$1))-FIND(C11,$E$1)+1)</f>
        <v>"ADANIPORTS","open":"185.40","high":"192.95","low":"185.00","ltP":"191.55","ptsC":"6.75","per":"3.65","trdVol":"82.41","trdVolM":"8.24","ntP":"157.42","mVal":"1.57","wkhi":"374.80","wklo":"169.15","wkhicm_adj":"308.75","wklocm_adj":"141.00","xDt":"22-MAR-2016","cAct":"INTERIM DIVIDEND - RS 1.10\/- PER SHARE (PURPOSE REVISED)","yPC":"-43.48","mPC":"-16.39"</v>
      </c>
      <c r="C11" s="5" t="s">
        <v>61</v>
      </c>
      <c r="D11" s="6" t="str">
        <f t="shared" si="1"/>
        <v>185.40</v>
      </c>
      <c r="E11" s="6" t="str">
        <f t="shared" si="1"/>
        <v>192.95</v>
      </c>
      <c r="F11" s="6" t="str">
        <f t="shared" si="1"/>
        <v>185.00</v>
      </c>
      <c r="G11" s="6" t="str">
        <f t="shared" si="1"/>
        <v>191.55</v>
      </c>
      <c r="H11" s="7" t="str">
        <f t="shared" ref="H11:H60" si="3">IF(AND(E11=0, F11=0, D11=0),"  ",IF(E11= D11,"SHORT ",IF(F11= D11,"LONG ",IF(E11&lt;&gt; F11&lt;&gt; D11,"   "))))</f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M11" s="12"/>
    </row>
    <row r="12" spans="1:13" x14ac:dyDescent="0.25">
      <c r="B12" t="str">
        <f t="shared" si="0"/>
        <v>"AMBUJACEM","open":"226.00","high":"232.00","low":"226.00","ltP":"231.05","ptsC":"6.45","per":"2.87","trdVol":"51.55","trdVolM":"5.16","ntP":"117.70","mVal":"1.18","wkhi":"257.30","wklo":"185.00","wkhicm_adj":"243.80","wklocm_adj":"150.10","xDt":"31-DEC-2999","cAct":"-","yPC":"1.52","mPC":"2.94"</v>
      </c>
      <c r="C12" s="5" t="s">
        <v>11</v>
      </c>
      <c r="D12" s="6" t="str">
        <f t="shared" si="1"/>
        <v>226.00</v>
      </c>
      <c r="E12" s="6" t="str">
        <f t="shared" si="1"/>
        <v>232.00</v>
      </c>
      <c r="F12" s="6" t="str">
        <f t="shared" si="1"/>
        <v>226.00</v>
      </c>
      <c r="G12" s="6" t="str">
        <f t="shared" si="1"/>
        <v>231.05</v>
      </c>
      <c r="H12" s="7" t="str">
        <f t="shared" si="3"/>
        <v xml:space="preserve">LONG </v>
      </c>
      <c r="I12" s="8">
        <f t="shared" ref="I12:I60" si="4">IF(AND(E12=0,F12=0,D12=0),"  ",IF(D12=F12,ROUND(((SQRT(F12) +0.0833) ^2),0),IF(E12=D12,ROUND(((SQRT(E12) -0.0833) ^2),0),IF(E12&lt;&gt;F12&lt;&gt;D12,"   "))))</f>
        <v>229</v>
      </c>
      <c r="J12" s="9">
        <f t="shared" ref="J12:J60" si="5">IF(AND(E12=0, F12=0, D12=0),"  ",IF(E12= D12,D12+0.005*D12,IF(F12= D12,D12-0.005*D12,IF(E12&lt;&gt; F12&lt;&gt; D12,"   "))))</f>
        <v>224.87</v>
      </c>
      <c r="K12" s="10">
        <f t="shared" ref="K12:K13" si="6">IF(AND(E12=0, F12=0, D12=0),"  ",IF(E12= D12,(I12-G12)/I12,IF(F12= D12,(G12-I12)/I12,IF(E12&lt;&gt; F12&lt;&gt; D12,"   "))))</f>
        <v>8.9519650655022331E-3</v>
      </c>
      <c r="M12" s="13"/>
    </row>
    <row r="13" spans="1:13" x14ac:dyDescent="0.25">
      <c r="B13" t="str">
        <f t="shared" si="0"/>
        <v>"ASIANPAINT","open":"991.90","high":"1,001.80","low":"986.45","ltP":"996.75","ptsC":"4.90","per":"0.49","trdVol":"11.06","trdVolM":"1.11","ntP":"110.14","mVal":"1.10","wkhi":"1,001.80","wklo":"693.00","wkhicm_adj":"802.20","wklocm_adj":"460.20","xDt":"31-DEC-2999","cAct":"-","yPC":"31.28","mPC":"13.67"</v>
      </c>
      <c r="C13" s="5" t="s">
        <v>12</v>
      </c>
      <c r="D13" s="6" t="str">
        <f t="shared" si="1"/>
        <v>991.90</v>
      </c>
      <c r="E13" s="6" t="str">
        <f t="shared" si="1"/>
        <v>1,001.80</v>
      </c>
      <c r="F13" s="6" t="str">
        <f t="shared" si="1"/>
        <v>986.45</v>
      </c>
      <c r="G13" s="6" t="str">
        <f t="shared" si="1"/>
        <v>996.75</v>
      </c>
      <c r="H13" s="7" t="str">
        <f t="shared" si="3"/>
        <v xml:space="preserve">   </v>
      </c>
      <c r="I13" s="8" t="str">
        <f t="shared" si="4"/>
        <v xml:space="preserve">   </v>
      </c>
      <c r="J13" s="9" t="str">
        <f t="shared" si="5"/>
        <v xml:space="preserve">   </v>
      </c>
      <c r="K13" s="10" t="str">
        <f t="shared" si="6"/>
        <v xml:space="preserve">   </v>
      </c>
      <c r="M13" s="13"/>
    </row>
    <row r="14" spans="1:13" x14ac:dyDescent="0.25">
      <c r="B14" t="str">
        <f t="shared" ref="B14" si="7">MID($E$1,FIND(C14,$E$1)-1,FIND("}",$E$1,FIND(C14,$E$1))-FIND(C14,$E$1)+1)</f>
        <v>"AUROPHARMA","open":"746.90","high":"771.50","low":"741.50","ltP":"763.30","ptsC":"18.75","per":"2.52","trdVol":"13.96","trdVolM":"1.40","ntP":"106.70","mVal":"1.07","wkhi":"891.50","wklo":"582.00","wkhicm_adj":"1,152.40","wklocm_adj":"286.55","xDt":"31-DEC-2999","cAct":"-","yPC":"13.89","mPC":"-1.59"</v>
      </c>
      <c r="C14" s="5" t="s">
        <v>63</v>
      </c>
      <c r="D14" s="6" t="str">
        <f t="shared" si="1"/>
        <v>746.90</v>
      </c>
      <c r="E14" s="6" t="str">
        <f t="shared" si="1"/>
        <v>771.50</v>
      </c>
      <c r="F14" s="6" t="str">
        <f t="shared" si="1"/>
        <v>741.50</v>
      </c>
      <c r="G14" s="6" t="str">
        <f t="shared" si="1"/>
        <v>763.30</v>
      </c>
      <c r="H14" s="7" t="str">
        <f t="shared" si="3"/>
        <v xml:space="preserve">   </v>
      </c>
      <c r="I14" s="8" t="str">
        <f t="shared" ref="I14" si="8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9">IF(AND(E14=0, F14=0, D14=0),"  ",IF(E14= D14,D14+0.005*D14,IF(F14= D14,D14-0.005*D14,IF(E14&lt;&gt; F14&lt;&gt; D14,"   "))))</f>
        <v xml:space="preserve">   </v>
      </c>
      <c r="K14" s="10" t="str">
        <f t="shared" ref="K14" si="10">IF(AND(E14=0, F14=0, D14=0),"  ",IF(E14= D14,(I14-G14)/I14,IF(F14= D14,(G14-I14)/I14,IF(E14&lt;&gt; F14&lt;&gt; D14,"   "))))</f>
        <v xml:space="preserve">   </v>
      </c>
      <c r="M14" s="13"/>
    </row>
    <row r="15" spans="1:13" x14ac:dyDescent="0.25">
      <c r="B15" t="str">
        <f t="shared" si="0"/>
        <v>"AXISBANK","open":"520.25","high":"525.00","low":"509.00","ltP":"514.00","ptsC":"-5.00","per":"-0.96","trdVol":"76.99","trdVolM":"7.70","ntP":"397.39","mVal":"3.97","wkhi":"613.45","wklo":"366.75","wkhicm_adj":"493.20","wklocm_adj":"216.52","xDt":"31-DEC-2999","cAct":"-","yPC":"-11.04","mPC":"7.04"</v>
      </c>
      <c r="C15" s="5" t="s">
        <v>13</v>
      </c>
      <c r="D15" s="6" t="str">
        <f t="shared" si="1"/>
        <v>520.25</v>
      </c>
      <c r="E15" s="6" t="str">
        <f t="shared" si="1"/>
        <v>525.00</v>
      </c>
      <c r="F15" s="6" t="str">
        <f t="shared" si="1"/>
        <v>509.00</v>
      </c>
      <c r="G15" s="6" t="str">
        <f t="shared" si="1"/>
        <v>514.00</v>
      </c>
      <c r="H15" s="7" t="str">
        <f t="shared" si="3"/>
        <v xml:space="preserve">   </v>
      </c>
      <c r="I15" s="8" t="str">
        <f t="shared" si="4"/>
        <v xml:space="preserve">   </v>
      </c>
      <c r="J15" s="9" t="str">
        <f t="shared" si="5"/>
        <v xml:space="preserve">   </v>
      </c>
      <c r="K15" s="10" t="str">
        <f t="shared" ref="K15:K21" si="11">IF(AND(E15=0, F15=0, D15=0),"  ",IF(E15= D15,(I15-G15)/I15,IF(F15= D15,(G15-I15)/I15,IF(E15&lt;&gt; F15&lt;&gt; D15,"   "))))</f>
        <v xml:space="preserve">   </v>
      </c>
      <c r="M15" s="13"/>
    </row>
    <row r="16" spans="1:13" x14ac:dyDescent="0.25">
      <c r="B16" t="str">
        <f t="shared" si="0"/>
        <v>"BAJAJ-AUTO","open":"2,505.00","high":"2,581.95","low":"2,487.00","ltP":"2,560.00","ptsC":"54.85","per":"2.19","trdVol":"3.27","trdVolM":"0.33","ntP":"83.04","mVal":"0.83","wkhi":"2,656.00","wklo":"2,133.65","wkhicm_adj":"2,695.00","wklocm_adj":"1,793.20","xDt":"16-MAR-2016","cAct":"INTERIM DIVIDEND - RS 50\/- PER SHARE (PURPOSE REVISED)","yPC":"10.71","mPC":"0.47"</v>
      </c>
      <c r="C16" s="5" t="s">
        <v>14</v>
      </c>
      <c r="D16" s="6" t="str">
        <f t="shared" si="1"/>
        <v>2,505.00</v>
      </c>
      <c r="E16" s="6" t="str">
        <f t="shared" si="1"/>
        <v>2,581.95</v>
      </c>
      <c r="F16" s="6" t="str">
        <f t="shared" si="1"/>
        <v>2,487.00</v>
      </c>
      <c r="G16" s="6" t="str">
        <f t="shared" si="1"/>
        <v>2,560.00</v>
      </c>
      <c r="H16" s="7" t="str">
        <f t="shared" si="3"/>
        <v xml:space="preserve">   </v>
      </c>
      <c r="I16" s="8" t="str">
        <f t="shared" si="4"/>
        <v xml:space="preserve">   </v>
      </c>
      <c r="J16" s="9" t="str">
        <f t="shared" si="5"/>
        <v xml:space="preserve">   </v>
      </c>
      <c r="K16" s="10" t="str">
        <f t="shared" si="11"/>
        <v xml:space="preserve">   </v>
      </c>
      <c r="M16" s="13"/>
    </row>
    <row r="17" spans="2:13" x14ac:dyDescent="0.25">
      <c r="B17" t="str">
        <f t="shared" si="0"/>
        <v>"BANKBARODA","open":"135.90","high":"140.80","low":"134.40","ltP":"140.20","ptsC":"5.35","per":"3.97","trdVol":"87.04","trdVolM":"8.70","ntP":"119.08","mVal":"1.19","wkhi":"216.30","wklo":"109.35","wkhicm_adj":"1,104.70","wklocm_adj":"511.15","xDt":"31-DEC-2999","cAct":"-","yPC":"-13.00","mPC":"-13.30"</v>
      </c>
      <c r="C17" s="5" t="s">
        <v>15</v>
      </c>
      <c r="D17" s="6" t="str">
        <f t="shared" si="1"/>
        <v>135.90</v>
      </c>
      <c r="E17" s="6" t="str">
        <f t="shared" si="1"/>
        <v>140.80</v>
      </c>
      <c r="F17" s="6" t="str">
        <f t="shared" si="1"/>
        <v>134.40</v>
      </c>
      <c r="G17" s="6" t="str">
        <f t="shared" si="1"/>
        <v>140.20</v>
      </c>
      <c r="H17" s="7" t="str">
        <f t="shared" si="3"/>
        <v xml:space="preserve">   </v>
      </c>
      <c r="I17" s="8" t="str">
        <f t="shared" si="4"/>
        <v xml:space="preserve">   </v>
      </c>
      <c r="J17" s="9" t="str">
        <f t="shared" si="5"/>
        <v xml:space="preserve">   </v>
      </c>
      <c r="K17" s="10" t="str">
        <f t="shared" si="11"/>
        <v xml:space="preserve">   </v>
      </c>
      <c r="M17" s="13"/>
    </row>
    <row r="18" spans="2:13" x14ac:dyDescent="0.25">
      <c r="B18" t="str">
        <f t="shared" si="0"/>
        <v>"BHARTIARTL","open":"352.95","high":"357.60","low":"349.55","ltP":"353.00","ptsC":"0.15","per":"0.04","trdVol":"27.72","trdVolM":"2.77","ntP":"97.95","mVal":"0.98","wkhi":"452.45","wklo":"282.30","wkhicm_adj":"420.00","wklocm_adj":"281.90","xDt":"31-DEC-2999","cAct":"-","yPC":"-13.64","mPC":"-2.05"</v>
      </c>
      <c r="C18" s="5" t="s">
        <v>16</v>
      </c>
      <c r="D18" s="6" t="str">
        <f t="shared" si="1"/>
        <v>352.95</v>
      </c>
      <c r="E18" s="6" t="str">
        <f t="shared" si="1"/>
        <v>357.60</v>
      </c>
      <c r="F18" s="6" t="str">
        <f t="shared" si="1"/>
        <v>349.55</v>
      </c>
      <c r="G18" s="6" t="str">
        <f t="shared" si="1"/>
        <v>353.00</v>
      </c>
      <c r="H18" s="7" t="str">
        <f t="shared" si="3"/>
        <v xml:space="preserve">   </v>
      </c>
      <c r="I18" s="8" t="str">
        <f t="shared" si="4"/>
        <v xml:space="preserve">   </v>
      </c>
      <c r="J18" s="9" t="str">
        <f t="shared" si="5"/>
        <v xml:space="preserve">   </v>
      </c>
      <c r="K18" s="10" t="str">
        <f t="shared" si="11"/>
        <v xml:space="preserve">   </v>
      </c>
      <c r="M18" s="13"/>
    </row>
    <row r="19" spans="2:13" x14ac:dyDescent="0.25">
      <c r="B19" t="str">
        <f t="shared" si="0"/>
        <v>"BHEL","open":"129.00","high":"132.20","low":"126.60","ltP":"128.10","ptsC":"-0.50","per":"-0.39","trdVol":"105.23","trdVolM":"10.52","ntP":"135.94","mVal":"1.36","wkhi":"290.00","wklo":"90.15","wkhicm_adj":"291.50","wklocm_adj":"145.55","xDt":"31-DEC-2999","cAct":"-","yPC":"-48.73","mPC":"-0.81"</v>
      </c>
      <c r="C19" s="5" t="s">
        <v>17</v>
      </c>
      <c r="D19" s="6" t="str">
        <f t="shared" si="1"/>
        <v>129.00</v>
      </c>
      <c r="E19" s="6" t="str">
        <f t="shared" si="1"/>
        <v>132.20</v>
      </c>
      <c r="F19" s="6" t="str">
        <f t="shared" si="1"/>
        <v>126.60</v>
      </c>
      <c r="G19" s="6" t="str">
        <f t="shared" si="1"/>
        <v>128.10</v>
      </c>
      <c r="H19" s="7" t="str">
        <f t="shared" si="3"/>
        <v xml:space="preserve">   </v>
      </c>
      <c r="I19" s="8" t="str">
        <f t="shared" si="4"/>
        <v xml:space="preserve">   </v>
      </c>
      <c r="J19" s="9" t="str">
        <f t="shared" si="5"/>
        <v xml:space="preserve">   </v>
      </c>
      <c r="K19" s="10" t="str">
        <f t="shared" si="11"/>
        <v xml:space="preserve">   </v>
      </c>
      <c r="M19" s="13"/>
    </row>
    <row r="20" spans="2:13" x14ac:dyDescent="0.25">
      <c r="B20" t="str">
        <f t="shared" si="0"/>
        <v>"BOSC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</v>
      </c>
      <c r="C20" s="5" t="s">
        <v>18</v>
      </c>
      <c r="D20" s="6" t="str">
        <f t="shared" si="1"/>
        <v>21,817.40</v>
      </c>
      <c r="E20" s="6" t="str">
        <f t="shared" si="1"/>
        <v>22,099.00</v>
      </c>
      <c r="F20" s="6" t="str">
        <f t="shared" si="1"/>
        <v>21,654.25</v>
      </c>
      <c r="G20" s="6" t="str">
        <f t="shared" si="1"/>
        <v>21,900.00</v>
      </c>
      <c r="H20" s="7" t="str">
        <f t="shared" si="3"/>
        <v xml:space="preserve">   </v>
      </c>
      <c r="I20" s="8" t="str">
        <f t="shared" si="4"/>
        <v xml:space="preserve">   </v>
      </c>
      <c r="J20" s="9" t="str">
        <f t="shared" si="5"/>
        <v xml:space="preserve">   </v>
      </c>
      <c r="K20" s="10" t="str">
        <f t="shared" si="11"/>
        <v xml:space="preserve">   </v>
      </c>
      <c r="M20" s="13"/>
    </row>
    <row r="21" spans="2:13" x14ac:dyDescent="0.25">
      <c r="B21" t="str">
        <f t="shared" si="0"/>
        <v>"BPCL","open":"951.00","high":"1,024.70","low":"947.45","ltP":"1,005.40","ptsC":"78.60","per":"8.48","trdVol":"58.85","trdVolM":"5.88","ntP":"590.28","mVal":"5.90","wkhi":"1,024.70","wklo":"731.15","wkhicm_adj":"785.00","wklocm_adj":"316.05","xDt":"31-DEC-2999","cAct":"-","yPC":"26.16","mPC":"3.03"</v>
      </c>
      <c r="C21" s="5" t="s">
        <v>19</v>
      </c>
      <c r="D21" s="6" t="str">
        <f t="shared" si="1"/>
        <v>951.00</v>
      </c>
      <c r="E21" s="6" t="str">
        <f t="shared" si="1"/>
        <v>1,024.70</v>
      </c>
      <c r="F21" s="6" t="str">
        <f t="shared" si="1"/>
        <v>947.45</v>
      </c>
      <c r="G21" s="6" t="str">
        <f t="shared" si="1"/>
        <v>1,005.40</v>
      </c>
      <c r="H21" s="7" t="str">
        <f t="shared" si="3"/>
        <v xml:space="preserve">   </v>
      </c>
      <c r="I21" s="8" t="str">
        <f t="shared" si="4"/>
        <v xml:space="preserve">   </v>
      </c>
      <c r="J21" s="9" t="str">
        <f t="shared" si="5"/>
        <v xml:space="preserve">   </v>
      </c>
      <c r="K21" s="10" t="str">
        <f t="shared" si="11"/>
        <v xml:space="preserve">   </v>
      </c>
      <c r="M21" s="13"/>
    </row>
    <row r="22" spans="2:13" x14ac:dyDescent="0.25">
      <c r="B22" t="str">
        <f t="shared" si="0"/>
        <v>"CIPLA","open":"470.90","high":"478.50","low":"469.10","ltP":"473.45","ptsC":"5.50","per":"1.18","trdVol":"26.39","trdVolM":"2.64","ntP":"125.03","mVal":"1.25","wkhi":"745.00","wklo":"457.45","wkhicm_adj":"673.00","wklocm_adj":"366.50","xDt":"31-DEC-2999","cAct":"-","yPC":"-28.38","mPC":"-12.41"</v>
      </c>
      <c r="C22" s="5" t="s">
        <v>21</v>
      </c>
      <c r="D22" s="6" t="str">
        <f t="shared" si="1"/>
        <v>470.90</v>
      </c>
      <c r="E22" s="6" t="str">
        <f t="shared" si="1"/>
        <v>478.50</v>
      </c>
      <c r="F22" s="6" t="str">
        <f t="shared" si="1"/>
        <v>469.10</v>
      </c>
      <c r="G22" s="6" t="str">
        <f t="shared" si="1"/>
        <v>473.45</v>
      </c>
      <c r="H22" s="7" t="str">
        <f t="shared" si="3"/>
        <v xml:space="preserve">   </v>
      </c>
      <c r="I22" s="8" t="str">
        <f t="shared" si="4"/>
        <v xml:space="preserve">   </v>
      </c>
      <c r="J22" s="9" t="str">
        <f t="shared" si="5"/>
        <v xml:space="preserve">   </v>
      </c>
      <c r="K22" s="10" t="str">
        <f t="shared" ref="K22:K60" si="12">IF(AND(E22=0, F22=0, D22=0),"  ",IF(E22= D22,(I22-G22)/I22,IF(F22= D22,(G22-I22)/I22,IF(E22&lt;&gt; F22&lt;&gt; D22,"   "))))</f>
        <v xml:space="preserve">   </v>
      </c>
      <c r="M22" s="13"/>
    </row>
    <row r="23" spans="2:13" x14ac:dyDescent="0.25">
      <c r="B23" t="str">
        <f t="shared" si="0"/>
        <v>"COALINDIA","open":"282.25","high":"284.50","low":"280.20","ltP":"281.50","ptsC":"0.65","per":"0.23","trdVol":"45.44","trdVolM":"4.54","ntP":"128.11","mVal":"1.28","wkhi":"447.10","wklo":"271.65","wkhicm_adj":"423.70","wklocm_adj":"240.30","xDt":"14-MAR-2016","cAct":"INTERIM DIVIDEND - RS 27.40\/- PER SHARE (PURPOSE REVISED)","yPC":"-26.51","mPC":"-2.36"</v>
      </c>
      <c r="C23" s="5" t="s">
        <v>22</v>
      </c>
      <c r="D23" s="6" t="str">
        <f t="shared" si="1"/>
        <v>282.25</v>
      </c>
      <c r="E23" s="6" t="str">
        <f t="shared" si="1"/>
        <v>284.50</v>
      </c>
      <c r="F23" s="6" t="str">
        <f t="shared" si="1"/>
        <v>280.20</v>
      </c>
      <c r="G23" s="6" t="str">
        <f t="shared" si="1"/>
        <v>281.50</v>
      </c>
      <c r="H23" s="7" t="str">
        <f t="shared" si="3"/>
        <v xml:space="preserve">   </v>
      </c>
      <c r="I23" s="8" t="str">
        <f t="shared" si="4"/>
        <v xml:space="preserve">   </v>
      </c>
      <c r="J23" s="9" t="str">
        <f t="shared" si="5"/>
        <v xml:space="preserve">   </v>
      </c>
      <c r="K23" s="10" t="str">
        <f t="shared" si="12"/>
        <v xml:space="preserve">   </v>
      </c>
      <c r="M23" s="13"/>
    </row>
    <row r="24" spans="2:13" x14ac:dyDescent="0.25">
      <c r="B24" t="str">
        <f t="shared" si="0"/>
        <v>"DRREDDY","open":"3,084.00","high":"3,138.00","low":"3,075.15","ltP":"3,111.00","ptsC":"20.30","per":"0.66","trdVol":"1.82","trdVolM":"0.18","ntP":"56.64","mVal":"0.57","wkhi":"4,386.60","wklo":"2,750.05","wkhicm_adj":"3,666.25","wklocm_adj":"2,246.50","xDt":"31-DEC-2999","cAct":"-","yPC":"-13.26","mPC":"-0.30"</v>
      </c>
      <c r="C24" s="5" t="s">
        <v>23</v>
      </c>
      <c r="D24" s="6" t="str">
        <f t="shared" si="1"/>
        <v>3,084.00</v>
      </c>
      <c r="E24" s="6" t="str">
        <f t="shared" si="1"/>
        <v>3,138.00</v>
      </c>
      <c r="F24" s="6" t="str">
        <f t="shared" si="1"/>
        <v>3,075.15</v>
      </c>
      <c r="G24" s="6" t="str">
        <f t="shared" si="1"/>
        <v>3,111.00</v>
      </c>
      <c r="H24" s="7" t="str">
        <f t="shared" si="3"/>
        <v xml:space="preserve">   </v>
      </c>
      <c r="I24" s="8" t="str">
        <f t="shared" si="4"/>
        <v xml:space="preserve">   </v>
      </c>
      <c r="J24" s="9" t="str">
        <f t="shared" si="5"/>
        <v xml:space="preserve">   </v>
      </c>
      <c r="K24" s="10" t="str">
        <f t="shared" si="12"/>
        <v xml:space="preserve">   </v>
      </c>
      <c r="M24" s="13"/>
    </row>
    <row r="25" spans="2:13" x14ac:dyDescent="0.25">
      <c r="B25" t="str">
        <f t="shared" ref="B25" si="13">MID($E$1,FIND(C25,$E$1)-1,FIND("}",$E$1,FIND(C25,$E$1))-FIND(C25,$E$1)+1)</f>
        <v>"EICHERMOT","open":"18,494.00","high":"18,799.00","low":"18,425.25","ltP":"18,700.00","ptsC":"305.65","per":"1.66","trdVol":"0.27","trdVolM":"0.03","ntP":"50.52","mVal":"0.51","wkhi":"21,620.00","wklo":"14,800.00","wkhicm_adj":"15,149.90","wklocm_adj":"4,401.10","xDt":"22-MAR-2016","cAct":"INTERIM DIVIDEND - RS 100\/- PER SHARE","yPC":"1.83","mPC":"-7.19"</v>
      </c>
      <c r="C25" s="5" t="s">
        <v>64</v>
      </c>
      <c r="D25" s="6" t="str">
        <f t="shared" si="1"/>
        <v>18,494.00</v>
      </c>
      <c r="E25" s="6" t="str">
        <f t="shared" si="1"/>
        <v>18,799.00</v>
      </c>
      <c r="F25" s="6" t="str">
        <f t="shared" si="1"/>
        <v>18,425.25</v>
      </c>
      <c r="G25" s="6" t="str">
        <f t="shared" si="1"/>
        <v>18,700.00</v>
      </c>
      <c r="H25" s="7" t="str">
        <f t="shared" si="3"/>
        <v xml:space="preserve">   </v>
      </c>
      <c r="I25" s="8" t="str">
        <f t="shared" ref="I25" si="14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5">IF(AND(E25=0, F25=0, D25=0),"  ",IF(E25= D25,D25+0.005*D25,IF(F25= D25,D25-0.005*D25,IF(E25&lt;&gt; F25&lt;&gt; D25,"   "))))</f>
        <v xml:space="preserve">   </v>
      </c>
      <c r="K25" s="10" t="str">
        <f t="shared" ref="K25" si="16">IF(AND(E25=0, F25=0, D25=0),"  ",IF(E25= D25,(I25-G25)/I25,IF(F25= D25,(G25-I25)/I25,IF(E25&lt;&gt; F25&lt;&gt; D25,"   "))))</f>
        <v xml:space="preserve">   </v>
      </c>
      <c r="M25" s="13"/>
    </row>
    <row r="26" spans="2:13" x14ac:dyDescent="0.25">
      <c r="B26" t="str">
        <f t="shared" si="0"/>
        <v>"GAIL","open":"381.70","high":"385.95","low":"377.80","ltP":"378.65","ptsC":"-1.55","per":"-0.41","trdVol":"12.99","trdVolM":"1.30","ntP":"49.81","mVal":"0.50","wkhi":"417.90","wklo":"260.05","wkhicm_adj":"551.90","wklocm_adj":"328.80","xDt":"31-DEC-2999","cAct":"-","yPC":"-0.60","mPC":"4.31"</v>
      </c>
      <c r="C26" s="5" t="s">
        <v>24</v>
      </c>
      <c r="D26" s="6" t="str">
        <f t="shared" si="1"/>
        <v>381.70</v>
      </c>
      <c r="E26" s="6" t="str">
        <f t="shared" si="1"/>
        <v>385.95</v>
      </c>
      <c r="F26" s="6" t="str">
        <f t="shared" si="1"/>
        <v>377.80</v>
      </c>
      <c r="G26" s="6" t="str">
        <f t="shared" si="1"/>
        <v>378.65</v>
      </c>
      <c r="H26" s="7" t="str">
        <f t="shared" si="3"/>
        <v xml:space="preserve">   </v>
      </c>
      <c r="I26" s="8" t="str">
        <f t="shared" si="4"/>
        <v xml:space="preserve">   </v>
      </c>
      <c r="J26" s="9" t="str">
        <f t="shared" si="5"/>
        <v xml:space="preserve">   </v>
      </c>
      <c r="K26" s="10" t="str">
        <f t="shared" si="12"/>
        <v xml:space="preserve">   </v>
      </c>
      <c r="M26" s="13"/>
    </row>
    <row r="27" spans="2:13" x14ac:dyDescent="0.25">
      <c r="B27" t="str">
        <f t="shared" si="0"/>
        <v>"GRASIM","open":"4,335.00","high":"4,385.00","low":"4,330.10","ltP":"4,360.00","ptsC":"29.00","per":"0.67","trdVol":"0.51","trdVolM":"0.05","ntP":"22.28","mVal":"0.22","wkhi":"4,385.00","wklo":"3,233.00","wkhicm_adj":"3,789.00","wklocm_adj":"2,426.35","xDt":"31-DEC-2999","cAct":"-","yPC":"21.83","mPC":"6.67"</v>
      </c>
      <c r="C27" s="5" t="s">
        <v>25</v>
      </c>
      <c r="D27" s="6" t="str">
        <f t="shared" si="1"/>
        <v>4,335.00</v>
      </c>
      <c r="E27" s="6" t="str">
        <f t="shared" si="1"/>
        <v>4,385.00</v>
      </c>
      <c r="F27" s="6" t="str">
        <f t="shared" si="1"/>
        <v>4,330.10</v>
      </c>
      <c r="G27" s="6" t="str">
        <f t="shared" si="1"/>
        <v>4,360.00</v>
      </c>
      <c r="H27" s="7" t="str">
        <f t="shared" si="3"/>
        <v xml:space="preserve">   </v>
      </c>
      <c r="I27" s="8" t="str">
        <f t="shared" si="4"/>
        <v xml:space="preserve">   </v>
      </c>
      <c r="J27" s="9" t="str">
        <f t="shared" si="5"/>
        <v xml:space="preserve">   </v>
      </c>
      <c r="K27" s="10" t="str">
        <f t="shared" si="12"/>
        <v xml:space="preserve">   </v>
      </c>
      <c r="M27" s="13"/>
    </row>
    <row r="28" spans="2:13" x14ac:dyDescent="0.25">
      <c r="B28" t="str">
        <f t="shared" si="0"/>
        <v>"HCLTECH","open":"742.60","high":"759.70","low":"742.60","ltP":"756.00","ptsC":"15.10","per":"2.04","trdVol":"30.45","trdVolM":"3.05","ntP":"229.36","mVal":"2.29","wkhi":"1,044.95","wklo":"706.40","wkhicm_adj":"1,776.25","wklocm_adj":"1,057.60","xDt":"05-MAY-2016","cAct":"INTERIM DIVIDEND - RS 6\/- PER SHARE (PURPOSE REVISED)","yPC":"-23.75","mPC":"-11.04"</v>
      </c>
      <c r="C28" s="5" t="s">
        <v>26</v>
      </c>
      <c r="D28" s="6" t="str">
        <f t="shared" si="1"/>
        <v>742.60</v>
      </c>
      <c r="E28" s="6" t="str">
        <f t="shared" si="1"/>
        <v>759.70</v>
      </c>
      <c r="F28" s="6" t="str">
        <f t="shared" si="1"/>
        <v>742.60</v>
      </c>
      <c r="G28" s="6" t="str">
        <f t="shared" si="1"/>
        <v>756.00</v>
      </c>
      <c r="H28" s="7" t="str">
        <f t="shared" si="3"/>
        <v xml:space="preserve">LONG </v>
      </c>
      <c r="I28" s="8">
        <f t="shared" si="4"/>
        <v>747</v>
      </c>
      <c r="J28" s="9">
        <f t="shared" si="5"/>
        <v>738.88700000000006</v>
      </c>
      <c r="K28" s="10">
        <f t="shared" si="12"/>
        <v>1.2048192771084338E-2</v>
      </c>
      <c r="M28" s="13"/>
    </row>
    <row r="29" spans="2:13" x14ac:dyDescent="0.25">
      <c r="B29" t="str">
        <f>MID($E$1,FIND(C29,$E$1,FIND(C29,$E$1)+1)-1,FIND("}",$E$1,FIND(C29,$E$1))-FIND(C29,$E$1)+1)</f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},{"symbol":"POWERGRID","open":"151.40","high":"152.</v>
      </c>
      <c r="C29" s="5" t="s">
        <v>27</v>
      </c>
      <c r="D29" s="6" t="str">
        <f t="shared" si="1"/>
        <v>1,183.25</v>
      </c>
      <c r="E29" s="6" t="str">
        <f t="shared" si="1"/>
        <v>1,190.00</v>
      </c>
      <c r="F29" s="6" t="str">
        <f t="shared" si="1"/>
        <v>1,176.70</v>
      </c>
      <c r="G29" s="6" t="str">
        <f t="shared" si="1"/>
        <v>1,181.35</v>
      </c>
      <c r="H29" s="7" t="str">
        <f t="shared" si="3"/>
        <v xml:space="preserve">   </v>
      </c>
      <c r="I29" s="8" t="str">
        <f t="shared" si="4"/>
        <v xml:space="preserve">   </v>
      </c>
      <c r="J29" s="9" t="str">
        <f t="shared" si="5"/>
        <v xml:space="preserve">   </v>
      </c>
      <c r="K29" s="10" t="str">
        <f t="shared" si="12"/>
        <v xml:space="preserve">   </v>
      </c>
      <c r="M29" s="13"/>
    </row>
    <row r="30" spans="2:13" x14ac:dyDescent="0.25">
      <c r="B30" t="str">
        <f t="shared" si="0"/>
        <v>"HDFCBANK","open":"1,183.25","high":"1,190.00","low":"1,176.70","ltP":"1,181.35","ptsC":"-1.90","per":"-0.16","trdVol":"14.44","trdVolM":"1.44","ntP":"171.17","mVal":"1.71","wkhi":"1,190.00","wklo":"928.00","wkhicm_adj":"965.90","wklocm_adj":"616.80","xDt":"31-DEC-2999","cAct":"-","yPC":"13.79","mPC":"6.06"</v>
      </c>
      <c r="C30" s="5" t="s">
        <v>28</v>
      </c>
      <c r="D30" s="6" t="str">
        <f t="shared" si="1"/>
        <v>1,183.25</v>
      </c>
      <c r="E30" s="6" t="str">
        <f t="shared" si="1"/>
        <v>1,190.00</v>
      </c>
      <c r="F30" s="6" t="str">
        <f t="shared" si="1"/>
        <v>1,176.70</v>
      </c>
      <c r="G30" s="6" t="str">
        <f t="shared" si="1"/>
        <v>1,181.35</v>
      </c>
      <c r="H30" s="7" t="str">
        <f t="shared" si="3"/>
        <v xml:space="preserve">   </v>
      </c>
      <c r="I30" s="8" t="str">
        <f t="shared" si="4"/>
        <v xml:space="preserve">   </v>
      </c>
      <c r="J30" s="9" t="str">
        <f t="shared" si="5"/>
        <v xml:space="preserve">   </v>
      </c>
      <c r="K30" s="10" t="str">
        <f t="shared" si="12"/>
        <v xml:space="preserve">   </v>
      </c>
      <c r="M30" s="13"/>
    </row>
    <row r="31" spans="2:13" x14ac:dyDescent="0.25">
      <c r="B31" t="str">
        <f t="shared" si="0"/>
        <v>"HEROMOTOCO","open":"2,962.05","high":"3,010.05","low":"2,962.00","ltP":"2,995.00","ptsC":"32.80","per":"1.11","trdVol":"4.00","trdVolM":"0.40","ntP":"119.93","mVal":"1.20","wkhi":"3,172.00","wklo":"2,257.20","wkhicm_adj":"3,269.95","wklocm_adj":"1,907.10","xDt":"21-MAR-2016","cAct":"INTERIM DIVIDEND - RS 40\/- PER SHARE","yPC":"14.91","mPC":"2.15"</v>
      </c>
      <c r="C31" s="5" t="s">
        <v>29</v>
      </c>
      <c r="D31" s="6" t="str">
        <f t="shared" si="1"/>
        <v>2,962.05</v>
      </c>
      <c r="E31" s="6" t="str">
        <f t="shared" si="1"/>
        <v>3,010.05</v>
      </c>
      <c r="F31" s="6" t="str">
        <f t="shared" si="1"/>
        <v>2,962.00</v>
      </c>
      <c r="G31" s="6" t="str">
        <f t="shared" si="1"/>
        <v>2,995.00</v>
      </c>
      <c r="H31" s="7" t="str">
        <f t="shared" si="3"/>
        <v xml:space="preserve">   </v>
      </c>
      <c r="I31" s="8" t="str">
        <f t="shared" si="4"/>
        <v xml:space="preserve">   </v>
      </c>
      <c r="J31" s="9" t="str">
        <f t="shared" si="5"/>
        <v xml:space="preserve">   </v>
      </c>
      <c r="K31" s="10" t="str">
        <f t="shared" si="12"/>
        <v xml:space="preserve">   </v>
      </c>
      <c r="M31" s="13"/>
    </row>
    <row r="32" spans="2:13" x14ac:dyDescent="0.25">
      <c r="B32" t="str">
        <f t="shared" si="0"/>
        <v>"HINDALCO","open":"91.00","high":"92.70","low":"90.85","ltP":"92.00","ptsC":"1.70","per":"1.88","trdVol":"115.44","trdVolM":"11.54","ntP":"106.05","mVal":"1.06","wkhi":"134.60","wklo":"58.80","wkhicm_adj":"198.90","wklocm_adj":"96.70","xDt":"31-DEC-2999","cAct":"-","yPC":"-31.11","mPC":"-10.81"</v>
      </c>
      <c r="C32" s="5" t="s">
        <v>30</v>
      </c>
      <c r="D32" s="6" t="str">
        <f t="shared" ref="D32:G52" si="17">MID($B32,FIND(D$9,$B32)+LEN(D$9)+3,FIND(CHAR(34),$B32,FIND(D$9,$B32)+LEN(D$9)+3)-(FIND(D$9,$B32)+LEN(D$9)+3))</f>
        <v>91.00</v>
      </c>
      <c r="E32" s="6" t="str">
        <f t="shared" si="17"/>
        <v>92.70</v>
      </c>
      <c r="F32" s="6" t="str">
        <f t="shared" si="17"/>
        <v>90.85</v>
      </c>
      <c r="G32" s="6" t="str">
        <f t="shared" si="17"/>
        <v>92.00</v>
      </c>
      <c r="H32" s="7" t="str">
        <f t="shared" si="3"/>
        <v xml:space="preserve">   </v>
      </c>
      <c r="I32" s="8" t="str">
        <f t="shared" si="4"/>
        <v xml:space="preserve">   </v>
      </c>
      <c r="J32" s="9" t="str">
        <f t="shared" si="5"/>
        <v xml:space="preserve">   </v>
      </c>
      <c r="K32" s="10" t="str">
        <f t="shared" si="12"/>
        <v xml:space="preserve">   </v>
      </c>
      <c r="M32" s="13"/>
    </row>
    <row r="33" spans="2:13" x14ac:dyDescent="0.25">
      <c r="B33" t="str">
        <f t="shared" si="0"/>
        <v>"HINDUNILVR","open":"851.35","high":"865.95","low":"850.50","ltP":"861.00","ptsC":"10.65","per":"1.25","trdVol":"15.31","trdVolM":"1.53","ntP":"131.79","mVal":"1.32","wkhi":"944.00","wklo":"766.40","wkhicm_adj":"814.85","wklocm_adj":"537.20","xDt":"31-DEC-2999","cAct":"-","yPC":"0.38","mPC":"-2.79"</v>
      </c>
      <c r="C33" s="5" t="s">
        <v>31</v>
      </c>
      <c r="D33" s="6" t="str">
        <f t="shared" si="17"/>
        <v>851.35</v>
      </c>
      <c r="E33" s="6" t="str">
        <f t="shared" si="17"/>
        <v>865.95</v>
      </c>
      <c r="F33" s="6" t="str">
        <f t="shared" si="17"/>
        <v>850.50</v>
      </c>
      <c r="G33" s="6" t="str">
        <f t="shared" si="17"/>
        <v>861.00</v>
      </c>
      <c r="H33" s="7" t="str">
        <f t="shared" si="3"/>
        <v xml:space="preserve">   </v>
      </c>
      <c r="I33" s="8" t="str">
        <f t="shared" si="4"/>
        <v xml:space="preserve">   </v>
      </c>
      <c r="J33" s="9" t="str">
        <f t="shared" si="5"/>
        <v xml:space="preserve">   </v>
      </c>
      <c r="K33" s="10" t="str">
        <f t="shared" si="12"/>
        <v xml:space="preserve">   </v>
      </c>
      <c r="M33" s="13"/>
    </row>
    <row r="34" spans="2:13" x14ac:dyDescent="0.25">
      <c r="B34" t="str">
        <f t="shared" si="0"/>
        <v>"ICICIBANK","open":"239.00","high":"248.20","low":"238.10","ltP":"241.90","ptsC":"0.75","per":"0.31","trdVol":"241.66","trdVolM":"24.17","ntP":"590.26","mVal":"5.90","wkhi":"321.00","wklo":"180.75","wkhicm_adj":"1,779.00","wklocm_adj":"943.60","xDt":"31-DEC-2999","cAct":"-","yPC":"-22.75","mPC":"-4.78"</v>
      </c>
      <c r="C34" s="5" t="s">
        <v>32</v>
      </c>
      <c r="D34" s="6" t="str">
        <f t="shared" si="17"/>
        <v>239.00</v>
      </c>
      <c r="E34" s="6" t="str">
        <f t="shared" si="17"/>
        <v>248.20</v>
      </c>
      <c r="F34" s="6" t="str">
        <f t="shared" si="17"/>
        <v>238.10</v>
      </c>
      <c r="G34" s="6" t="str">
        <f t="shared" si="17"/>
        <v>241.90</v>
      </c>
      <c r="H34" s="7" t="str">
        <f t="shared" si="3"/>
        <v xml:space="preserve">   </v>
      </c>
      <c r="I34" s="8" t="str">
        <f t="shared" si="4"/>
        <v xml:space="preserve">   </v>
      </c>
      <c r="J34" s="9" t="str">
        <f t="shared" si="5"/>
        <v xml:space="preserve">   </v>
      </c>
      <c r="K34" s="10" t="str">
        <f t="shared" si="12"/>
        <v xml:space="preserve">   </v>
      </c>
      <c r="M34" s="13"/>
    </row>
    <row r="35" spans="2:13" x14ac:dyDescent="0.25">
      <c r="B35" t="str">
        <f t="shared" si="0"/>
        <v>"IDEA","open":"113.90","high":"115.40","low":"112.00","ltP":"112.65","ptsC":"-1.15","per":"-1.01","trdVol":"43.27","trdVolM":"4.33","ntP":"49.34","mVal":"0.49","wkhi":"186.50","wklo":"97.20","wkhicm_adj":"183.70","wklocm_adj":"125.10","xDt":"31-DEC-2999","cAct":"-","yPC":"-33.75","mPC":"-8.97"</v>
      </c>
      <c r="C35" s="5" t="s">
        <v>33</v>
      </c>
      <c r="D35" s="6" t="str">
        <f t="shared" si="17"/>
        <v>113.90</v>
      </c>
      <c r="E35" s="6" t="str">
        <f t="shared" si="17"/>
        <v>115.40</v>
      </c>
      <c r="F35" s="6" t="str">
        <f t="shared" si="17"/>
        <v>112.00</v>
      </c>
      <c r="G35" s="6" t="str">
        <f t="shared" si="17"/>
        <v>112.65</v>
      </c>
      <c r="H35" s="7" t="str">
        <f t="shared" si="3"/>
        <v xml:space="preserve">   </v>
      </c>
      <c r="I35" s="8" t="str">
        <f t="shared" si="4"/>
        <v xml:space="preserve">   </v>
      </c>
      <c r="J35" s="9" t="str">
        <f t="shared" si="5"/>
        <v xml:space="preserve">   </v>
      </c>
      <c r="K35" s="10" t="str">
        <f t="shared" si="12"/>
        <v xml:space="preserve">   </v>
      </c>
      <c r="M35" s="13"/>
    </row>
    <row r="36" spans="2:13" x14ac:dyDescent="0.25">
      <c r="B36" t="str">
        <f t="shared" si="0"/>
        <v>"INDUSINDBK","open":"1,101.25","high":"1,111.85","low":"1,099.15","ltP":"1,103.40","ptsC":"-0.50","per":"-0.05","trdVol":"13.77","trdVolM":"1.38","ntP":"152.03","mVal":"1.52","wkhi":"1,111.85","wklo":"784.00","wkhicm_adj":"776.00","wklocm_adj":"369.50","xDt":"31-DEC-2999","cAct":"-","yPC":"28.26","mPC":"8.03"</v>
      </c>
      <c r="C36" s="5" t="s">
        <v>34</v>
      </c>
      <c r="D36" s="6" t="str">
        <f t="shared" si="17"/>
        <v>1,101.25</v>
      </c>
      <c r="E36" s="6" t="str">
        <f t="shared" si="17"/>
        <v>1,111.85</v>
      </c>
      <c r="F36" s="6" t="str">
        <f t="shared" si="17"/>
        <v>1,099.15</v>
      </c>
      <c r="G36" s="6" t="str">
        <f t="shared" si="17"/>
        <v>1,103.40</v>
      </c>
      <c r="H36" s="7" t="str">
        <f t="shared" si="3"/>
        <v xml:space="preserve">   </v>
      </c>
      <c r="I36" s="8" t="str">
        <f t="shared" si="4"/>
        <v xml:space="preserve">   </v>
      </c>
      <c r="J36" s="9" t="str">
        <f t="shared" si="5"/>
        <v xml:space="preserve">   </v>
      </c>
      <c r="K36" s="10" t="str">
        <f t="shared" si="12"/>
        <v xml:space="preserve">   </v>
      </c>
      <c r="M36" s="13"/>
    </row>
    <row r="37" spans="2:13" x14ac:dyDescent="0.25">
      <c r="B37" t="str">
        <f t="shared" ref="B37" si="18">MID($E$1,FIND(C37,$E$1)-1,FIND("}",$E$1,FIND(C37,$E$1))-FIND(C37,$E$1)+1)</f>
        <v>"INFRATEL","open":"388.15","high":"391.65","low":"385.10","ltP":"385.90","ptsC":"-4.25","per":"-1.09","trdVol":"15.13","trdVolM":"1.51","ntP":"58.75","mVal":"0.59","wkhi":"499.65","wklo":"341.35","wkhicm_adj":"322.00","wklocm_adj":"156.00","xDt":"31-DEC-2999","cAct":"-","yPC":"-11.86","mPC":"6.29"</v>
      </c>
      <c r="C37" s="5" t="s">
        <v>65</v>
      </c>
      <c r="D37" s="6" t="str">
        <f t="shared" si="17"/>
        <v>388.15</v>
      </c>
      <c r="E37" s="6" t="str">
        <f t="shared" si="17"/>
        <v>391.65</v>
      </c>
      <c r="F37" s="6" t="str">
        <f t="shared" si="17"/>
        <v>385.10</v>
      </c>
      <c r="G37" s="6" t="str">
        <f t="shared" si="17"/>
        <v>385.90</v>
      </c>
      <c r="H37" s="7" t="str">
        <f t="shared" si="3"/>
        <v xml:space="preserve">   </v>
      </c>
      <c r="I37" s="8" t="str">
        <f t="shared" ref="I37" si="19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20">IF(AND(E37=0, F37=0, D37=0),"  ",IF(E37= D37,D37+0.005*D37,IF(F37= D37,D37-0.005*D37,IF(E37&lt;&gt; F37&lt;&gt; D37,"   "))))</f>
        <v xml:space="preserve">   </v>
      </c>
      <c r="K37" s="10" t="str">
        <f t="shared" ref="K37" si="21">IF(AND(E37=0, F37=0, D37=0),"  ",IF(E37= D37,(I37-G37)/I37,IF(F37= D37,(G37-I37)/I37,IF(E37&lt;&gt; F37&lt;&gt; D37,"   "))))</f>
        <v xml:space="preserve">   </v>
      </c>
      <c r="M37" s="13"/>
    </row>
    <row r="38" spans="2:13" x14ac:dyDescent="0.25">
      <c r="B38" t="str">
        <f t="shared" si="0"/>
        <v>"INFY","open":"1,231.60","high":"1,259.50","low":"1,231.60","ltP":"1,245.00","ptsC":"10.85","per":"0.88","trdVol":"30.90","trdVolM":"3.09","ntP":"386.15","mVal":"3.86","wkhi":"1,267.90","wklo":"932.65","wkhicm_adj":"4,402.20","wklocm_adj":"2,880.00","xDt":"31-DEC-2999","cAct":"-","yPC":"26.49","mPC":"1.04"</v>
      </c>
      <c r="C38" s="5" t="s">
        <v>35</v>
      </c>
      <c r="D38" s="6" t="str">
        <f t="shared" si="17"/>
        <v>1,231.60</v>
      </c>
      <c r="E38" s="6" t="str">
        <f t="shared" si="17"/>
        <v>1,259.50</v>
      </c>
      <c r="F38" s="6" t="str">
        <f t="shared" si="17"/>
        <v>1,231.60</v>
      </c>
      <c r="G38" s="6" t="str">
        <f t="shared" si="17"/>
        <v>1,245.00</v>
      </c>
      <c r="H38" s="7" t="str">
        <f t="shared" si="3"/>
        <v xml:space="preserve">LONG </v>
      </c>
      <c r="I38" s="8">
        <f t="shared" si="4"/>
        <v>1237</v>
      </c>
      <c r="J38" s="9">
        <f t="shared" si="5"/>
        <v>1225.442</v>
      </c>
      <c r="K38" s="10">
        <f t="shared" si="12"/>
        <v>6.4672594987873885E-3</v>
      </c>
      <c r="M38" s="13"/>
    </row>
    <row r="39" spans="2:13" x14ac:dyDescent="0.25">
      <c r="B39" t="str">
        <f t="shared" si="0"/>
        <v>"ITC","open":"362.95","high":"363.90","low":"356.20","ltP":"359.50","ptsC":"-2.95","per":"-0.81","trdVol":"70.13","trdVolM":"7.01","ntP":"252.23","mVal":"2.52","wkhi":"364.00","wklo":"268.00","wkhicm_adj":"387.50","wklocm_adj":"307.55","xDt":"31-DEC-2999","cAct":"-","yPC":"13.16","mPC":"9.80"</v>
      </c>
      <c r="C39" s="5" t="s">
        <v>36</v>
      </c>
      <c r="D39" s="6" t="str">
        <f t="shared" si="17"/>
        <v>362.95</v>
      </c>
      <c r="E39" s="6" t="str">
        <f t="shared" si="17"/>
        <v>363.90</v>
      </c>
      <c r="F39" s="6" t="str">
        <f t="shared" si="17"/>
        <v>356.20</v>
      </c>
      <c r="G39" s="6" t="str">
        <f t="shared" si="17"/>
        <v>359.50</v>
      </c>
      <c r="H39" s="7" t="str">
        <f t="shared" si="3"/>
        <v xml:space="preserve">   </v>
      </c>
      <c r="I39" s="8" t="str">
        <f t="shared" si="4"/>
        <v xml:space="preserve">   </v>
      </c>
      <c r="J39" s="9" t="str">
        <f t="shared" si="5"/>
        <v xml:space="preserve">   </v>
      </c>
      <c r="K39" s="10" t="str">
        <f t="shared" si="12"/>
        <v xml:space="preserve">   </v>
      </c>
      <c r="M39" s="13"/>
    </row>
    <row r="40" spans="2:13" x14ac:dyDescent="0.25">
      <c r="B40" t="str">
        <f t="shared" si="0"/>
        <v>"KOTAKBANK","open":"734.40","high":"744.65","low":"733.10","ltP":"738.10","ptsC":"7.90","per":"1.08","trdVol":"12.94","trdVolM":"1.29","ntP":"95.53","mVal":"0.96","wkhi":"744.80","wklo":"585.75","wkhicm_adj":"1,264.70","wklocm_adj":"630.50","xDt":"31-DEC-2999","cAct":"-","yPC":"7.40","mPC":"5.31"</v>
      </c>
      <c r="C40" s="5" t="s">
        <v>37</v>
      </c>
      <c r="D40" s="6" t="str">
        <f t="shared" si="17"/>
        <v>734.40</v>
      </c>
      <c r="E40" s="6" t="str">
        <f t="shared" si="17"/>
        <v>744.65</v>
      </c>
      <c r="F40" s="6" t="str">
        <f t="shared" si="17"/>
        <v>733.10</v>
      </c>
      <c r="G40" s="6" t="str">
        <f t="shared" si="17"/>
        <v>738.10</v>
      </c>
      <c r="H40" s="7" t="str">
        <f t="shared" si="3"/>
        <v xml:space="preserve">   </v>
      </c>
      <c r="I40" s="8" t="str">
        <f t="shared" si="4"/>
        <v xml:space="preserve">   </v>
      </c>
      <c r="J40" s="9" t="str">
        <f t="shared" si="5"/>
        <v xml:space="preserve">   </v>
      </c>
      <c r="K40" s="10" t="str">
        <f t="shared" si="12"/>
        <v xml:space="preserve">   </v>
      </c>
      <c r="M40" s="13"/>
    </row>
    <row r="41" spans="2:13" x14ac:dyDescent="0.25">
      <c r="B41" s="11" t="str">
        <f>MID($E$1,FIND(C41,$E$1,FIND(C41,E1,FIND(C41,E1)+1)+1)-1,FIND("}",$E$1,FIND(C41,$E$1))-FIND(C41,$E$1)+1)</f>
        <v>HLTD","open":"21,817.40","high":"22,099.00","low":"21,654.25","ltP":"21,900.00","ptsC":"82.65","per":"0.38","trdVol":"0.18","trdVolM":"0.02","ntP":"39.50","mVal":"0.40","wkhi":"26,719.95","wklo":"15,736.05","wkhicm_adj":"19,570.00","wklocm_adj":"8,450.00","xDt":"31-DEC-2999","cAct":"-","yPC":"-4.92","mPC":"7.56"},{"symbol":"MARUTI","open":"4,114.70","hig</v>
      </c>
      <c r="C41" s="5" t="s">
        <v>38</v>
      </c>
      <c r="D41" s="6" t="str">
        <f t="shared" si="17"/>
        <v>21,817.40</v>
      </c>
      <c r="E41" s="6" t="str">
        <f t="shared" si="17"/>
        <v>22,099.00</v>
      </c>
      <c r="F41" s="6" t="str">
        <f t="shared" si="17"/>
        <v>21,654.25</v>
      </c>
      <c r="G41" s="6" t="str">
        <f t="shared" si="17"/>
        <v>21,900.00</v>
      </c>
      <c r="H41" s="7" t="str">
        <f t="shared" si="3"/>
        <v xml:space="preserve">   </v>
      </c>
      <c r="I41" s="8" t="str">
        <f t="shared" si="4"/>
        <v xml:space="preserve">   </v>
      </c>
      <c r="J41" s="9" t="str">
        <f t="shared" si="5"/>
        <v xml:space="preserve">   </v>
      </c>
      <c r="K41" s="10" t="str">
        <f t="shared" si="12"/>
        <v xml:space="preserve">   </v>
      </c>
      <c r="M41" s="13"/>
    </row>
    <row r="42" spans="2:13" x14ac:dyDescent="0.25">
      <c r="B42" t="str">
        <f t="shared" si="0"/>
        <v>"LUPIN","open":"1,489.00","high":"1,535.45","low":"1,475.05","ltP":"1,482.65","ptsC":"12.70","per":"0.86","trdVol":"31.23","trdVolM":"3.12","ntP":"469.38","mVal":"4.69","wkhi":"2,129.00","wklo":"1,280.00","wkhicm_adj":"1,497.50","wklocm_adj":"851.50","xDt":"31-DEC-2999","cAct":"-","yPC":"-15.38","mPC":"-6.11"</v>
      </c>
      <c r="C42" s="5" t="s">
        <v>39</v>
      </c>
      <c r="D42" s="6" t="str">
        <f t="shared" si="17"/>
        <v>1,489.00</v>
      </c>
      <c r="E42" s="6" t="str">
        <f t="shared" si="17"/>
        <v>1,535.45</v>
      </c>
      <c r="F42" s="6" t="str">
        <f t="shared" si="17"/>
        <v>1,475.05</v>
      </c>
      <c r="G42" s="6" t="str">
        <f t="shared" si="17"/>
        <v>1,482.65</v>
      </c>
      <c r="H42" s="7" t="str">
        <f t="shared" si="3"/>
        <v xml:space="preserve">   </v>
      </c>
      <c r="I42" s="8" t="str">
        <f t="shared" si="4"/>
        <v xml:space="preserve">   </v>
      </c>
      <c r="J42" s="9" t="str">
        <f t="shared" si="5"/>
        <v xml:space="preserve">   </v>
      </c>
      <c r="K42" s="10" t="str">
        <f t="shared" si="12"/>
        <v xml:space="preserve">   </v>
      </c>
      <c r="M42" s="13"/>
    </row>
    <row r="43" spans="2:13" x14ac:dyDescent="0.25">
      <c r="B43" t="str">
        <f t="shared" si="0"/>
        <v>"M&amp;M","open":"1,339.00","high":"1,362.00","low":"1,327.55","ltP":"1,334.00","ptsC":"-5.10","per":"-0.38","trdVol":"7.37","trdVolM":"0.74","ntP":"98.83","mVal":"0.99","wkhi":"1,442.05","wklo":"1,091.25","wkhicm_adj":"1,433.70","wklocm_adj":"846.60","xDt":"31-DEC-2999","cAct":"-","yPC":"9.09","mPC":"-1.47"</v>
      </c>
      <c r="C43" s="5" t="s">
        <v>40</v>
      </c>
      <c r="D43" s="6" t="str">
        <f t="shared" si="17"/>
        <v>1,339.00</v>
      </c>
      <c r="E43" s="6" t="str">
        <f t="shared" si="17"/>
        <v>1,362.00</v>
      </c>
      <c r="F43" s="6" t="str">
        <f t="shared" si="17"/>
        <v>1,327.55</v>
      </c>
      <c r="G43" s="6" t="str">
        <f t="shared" si="17"/>
        <v>1,334.00</v>
      </c>
      <c r="H43" s="7" t="str">
        <f t="shared" si="3"/>
        <v xml:space="preserve">   </v>
      </c>
      <c r="I43" s="8" t="str">
        <f t="shared" si="4"/>
        <v xml:space="preserve">   </v>
      </c>
      <c r="J43" s="9" t="str">
        <f t="shared" si="5"/>
        <v xml:space="preserve">   </v>
      </c>
      <c r="K43" s="10" t="str">
        <f t="shared" si="12"/>
        <v xml:space="preserve">   </v>
      </c>
      <c r="M43" s="13"/>
    </row>
    <row r="44" spans="2:13" x14ac:dyDescent="0.25">
      <c r="B44" t="str">
        <f t="shared" si="0"/>
        <v>"MARUTI","open":"4,114.70","high":"4,162.00","low":"4,091.05","ltP":"4,132.20","ptsC":"14.20","per":"0.34","trdVol":"8.81","trdVolM":"0.88","ntP":"364.43","mVal":"3.64","wkhi":"4,790.00","wklo":"3,193.25","wkhicm_adj":"3,432.00","wklocm_adj":"1,540.40","xDt":"31-DEC-2999","cAct":"-","yPC":"11.02","mPC":"6.73"</v>
      </c>
      <c r="C44" s="5" t="s">
        <v>41</v>
      </c>
      <c r="D44" s="6" t="str">
        <f t="shared" si="17"/>
        <v>4,114.70</v>
      </c>
      <c r="E44" s="6" t="str">
        <f t="shared" si="17"/>
        <v>4,162.00</v>
      </c>
      <c r="F44" s="6" t="str">
        <f t="shared" si="17"/>
        <v>4,091.05</v>
      </c>
      <c r="G44" s="6" t="str">
        <f t="shared" si="17"/>
        <v>4,132.20</v>
      </c>
      <c r="H44" s="7" t="str">
        <f t="shared" si="3"/>
        <v xml:space="preserve">   </v>
      </c>
      <c r="I44" s="8" t="str">
        <f t="shared" si="4"/>
        <v xml:space="preserve">   </v>
      </c>
      <c r="J44" s="9" t="str">
        <f t="shared" si="5"/>
        <v xml:space="preserve">   </v>
      </c>
      <c r="K44" s="10" t="str">
        <f t="shared" si="12"/>
        <v xml:space="preserve">   </v>
      </c>
      <c r="M44" s="13"/>
    </row>
    <row r="45" spans="2:13" x14ac:dyDescent="0.25">
      <c r="B45" t="str">
        <f t="shared" ref="B45:B60" si="22">MID($E$1,FIND(C45,$E$1)-1,FIND("}",$E$1,FIND(C45,$E$1))-FIND(C45,$E$1)+1)</f>
        <v>"NTPC","open":"141.50","high":"141.70","low":"139.40","ltP":"140.20","ptsC":"-1.00","per":"-0.71","trdVol":"26.61","trdVolM":"2.66","ntP":"37.28","mVal":"0.37","wkhi":"148.85","wklo":"107.10","wkhicm_adj":"168.90","wklocm_adj":"110.65","xDt":"31-DEC-2999","cAct":"-","yPC":"4.43","mPC":"0.00"</v>
      </c>
      <c r="C45" s="5" t="s">
        <v>42</v>
      </c>
      <c r="D45" s="6" t="str">
        <f t="shared" si="17"/>
        <v>141.50</v>
      </c>
      <c r="E45" s="6" t="str">
        <f t="shared" si="17"/>
        <v>141.70</v>
      </c>
      <c r="F45" s="6" t="str">
        <f t="shared" si="17"/>
        <v>139.40</v>
      </c>
      <c r="G45" s="6" t="str">
        <f t="shared" si="17"/>
        <v>140.20</v>
      </c>
      <c r="H45" s="7" t="str">
        <f t="shared" si="3"/>
        <v xml:space="preserve">   </v>
      </c>
      <c r="I45" s="8" t="str">
        <f t="shared" si="4"/>
        <v xml:space="preserve">   </v>
      </c>
      <c r="J45" s="9" t="str">
        <f t="shared" si="5"/>
        <v xml:space="preserve">   </v>
      </c>
      <c r="K45" s="10" t="str">
        <f t="shared" si="12"/>
        <v xml:space="preserve">   </v>
      </c>
      <c r="M45" s="13"/>
    </row>
    <row r="46" spans="2:13" x14ac:dyDescent="0.25">
      <c r="B46" t="str">
        <f t="shared" si="22"/>
        <v>"ONGC","open":"218.00","high":"218.90","low":"211.80","ltP":"212.60","ptsC":"-3.45","per":"-1.60","trdVol":"66.96","trdVolM":"6.70","ntP":"143.97","mVal":"1.44","wkhi":"337.20","wklo":"187.75","wkhicm_adj":"471.85","wklocm_adj":"264.15","xDt":"16-MAR-2016","cAct":"INTERIM DIVIDEND - RE 0.75\/- PER SHARE (PURPOSE REVISED)","yPC":"-35.96","mPC":"-0.79"</v>
      </c>
      <c r="C46" s="5" t="s">
        <v>43</v>
      </c>
      <c r="D46" s="6" t="str">
        <f t="shared" si="17"/>
        <v>218.00</v>
      </c>
      <c r="E46" s="6" t="str">
        <f t="shared" si="17"/>
        <v>218.90</v>
      </c>
      <c r="F46" s="6" t="str">
        <f t="shared" si="17"/>
        <v>211.80</v>
      </c>
      <c r="G46" s="6" t="str">
        <f t="shared" si="17"/>
        <v>212.60</v>
      </c>
      <c r="H46" s="7" t="str">
        <f t="shared" si="3"/>
        <v xml:space="preserve">   </v>
      </c>
      <c r="I46" s="8" t="str">
        <f t="shared" si="4"/>
        <v xml:space="preserve">   </v>
      </c>
      <c r="J46" s="9" t="str">
        <f t="shared" si="5"/>
        <v xml:space="preserve">   </v>
      </c>
      <c r="K46" s="10" t="str">
        <f t="shared" si="12"/>
        <v xml:space="preserve">   </v>
      </c>
      <c r="M46" s="13"/>
    </row>
    <row r="47" spans="2:13" x14ac:dyDescent="0.25">
      <c r="B47" t="str">
        <f t="shared" si="22"/>
        <v>"POWERGRID","open":"151.40","high":"152.40","low":"148.80","ltP":"150.30","ptsC":"-0.30","per":"-0.20","trdVol":"42.95","trdVolM":"4.29","ntP":"64.69","mVal":"0.65","wkhi":"152.40","wklo":"120.55","wkhicm_adj":"150.90","wklocm_adj":"91.65","xDt":"31-DEC-2999","cAct":"-","yPC":"4.96","mPC":"3.55"</v>
      </c>
      <c r="C47" s="5" t="s">
        <v>45</v>
      </c>
      <c r="D47" s="6" t="str">
        <f t="shared" si="17"/>
        <v>151.40</v>
      </c>
      <c r="E47" s="6" t="str">
        <f t="shared" si="17"/>
        <v>152.40</v>
      </c>
      <c r="F47" s="6" t="str">
        <f t="shared" si="17"/>
        <v>148.80</v>
      </c>
      <c r="G47" s="6" t="str">
        <f t="shared" si="17"/>
        <v>150.30</v>
      </c>
      <c r="H47" s="7" t="str">
        <f t="shared" si="3"/>
        <v xml:space="preserve">   </v>
      </c>
      <c r="I47" s="8" t="str">
        <f t="shared" si="4"/>
        <v xml:space="preserve">   </v>
      </c>
      <c r="J47" s="9" t="str">
        <f t="shared" si="5"/>
        <v xml:space="preserve">   </v>
      </c>
      <c r="K47" s="10" t="str">
        <f t="shared" si="12"/>
        <v xml:space="preserve">   </v>
      </c>
      <c r="M47" s="13"/>
    </row>
    <row r="48" spans="2:13" x14ac:dyDescent="0.25">
      <c r="B48" t="str">
        <f t="shared" si="22"/>
        <v>"RELIANCE","open":"949.05","high":"976.90","low":"948.75","ltP":"973.10","ptsC":"26.25","per":"2.77","trdVol":"30.63","trdVolM":"3.06","ntP":"296.17","mVal":"2.96","wkhi":"1,089.75","wklo":"818.00","wkhicm_adj":"1,145.25","wklocm_adj":"793.10","xDt":"17-MAR-2016","cAct":"INTERIM DIVIDEND - RS 10.50\/- PER SHARE (PURPOSE REVISED)","yPC":"9.92","mPC":"-4.31"</v>
      </c>
      <c r="C48" s="5" t="s">
        <v>46</v>
      </c>
      <c r="D48" s="6" t="str">
        <f t="shared" si="17"/>
        <v>949.05</v>
      </c>
      <c r="E48" s="6" t="str">
        <f t="shared" si="17"/>
        <v>976.90</v>
      </c>
      <c r="F48" s="6" t="str">
        <f t="shared" si="17"/>
        <v>948.75</v>
      </c>
      <c r="G48" s="6" t="str">
        <f t="shared" si="17"/>
        <v>973.10</v>
      </c>
      <c r="H48" s="7" t="str">
        <f t="shared" si="3"/>
        <v xml:space="preserve">   </v>
      </c>
      <c r="I48" s="8" t="str">
        <f t="shared" si="4"/>
        <v xml:space="preserve">   </v>
      </c>
      <c r="J48" s="9" t="str">
        <f t="shared" si="5"/>
        <v xml:space="preserve">   </v>
      </c>
      <c r="K48" s="10" t="str">
        <f t="shared" si="12"/>
        <v xml:space="preserve">   </v>
      </c>
      <c r="M48" s="13"/>
    </row>
    <row r="49" spans="2:13" x14ac:dyDescent="0.25">
      <c r="B49" t="str">
        <f t="shared" si="22"/>
        <v>"SBIN","open":"184.00","high":"202.40","low":"181.50","ltP":"201.30","ptsC":"17.15","per":"9.31","trdVol":"855.86","trdVolM":"85.59","ntP":"1,620.82","mVal":"16.21","wkhi":"291.80","wklo":"148.25","wkhicm_adj":"326.95","wklocm_adj":"145.51","xDt":"31-DEC-2999","cAct":"-","yPC":"-28.30","mPC":"0.17"</v>
      </c>
      <c r="C49" s="5" t="s">
        <v>47</v>
      </c>
      <c r="D49" s="6" t="str">
        <f t="shared" si="17"/>
        <v>184.00</v>
      </c>
      <c r="E49" s="6" t="str">
        <f t="shared" si="17"/>
        <v>202.40</v>
      </c>
      <c r="F49" s="6" t="str">
        <f t="shared" si="17"/>
        <v>181.50</v>
      </c>
      <c r="G49" s="6" t="str">
        <f t="shared" si="17"/>
        <v>201.30</v>
      </c>
      <c r="H49" s="7" t="str">
        <f t="shared" si="3"/>
        <v xml:space="preserve">   </v>
      </c>
      <c r="I49" s="8" t="str">
        <f t="shared" si="4"/>
        <v xml:space="preserve">   </v>
      </c>
      <c r="J49" s="9" t="str">
        <f t="shared" si="5"/>
        <v xml:space="preserve">   </v>
      </c>
      <c r="K49" s="10" t="str">
        <f t="shared" si="12"/>
        <v xml:space="preserve">   </v>
      </c>
      <c r="M49" s="13"/>
    </row>
    <row r="50" spans="2:13" x14ac:dyDescent="0.25">
      <c r="B50" t="str">
        <f t="shared" si="22"/>
        <v>"SUNPHARMA","open":"795.00","high":"828.00","low":"790.10","ltP":"828.00","ptsC":"48.65","per":"6.24","trdVol":"36.75","trdVolM":"3.68","ntP":"299.81","mVal":"3.00","wkhi":"1,004.00","wklo":"704.00","wkhicm_adj":"932.50","wklocm_adj":"552.55","xDt":"31-DEC-2999","cAct":"-","yPC":"-15.12","mPC":"1.67"</v>
      </c>
      <c r="C50" s="5" t="s">
        <v>48</v>
      </c>
      <c r="D50" s="6" t="str">
        <f t="shared" si="17"/>
        <v>795.00</v>
      </c>
      <c r="E50" s="6" t="str">
        <f t="shared" si="17"/>
        <v>828.00</v>
      </c>
      <c r="F50" s="6" t="str">
        <f t="shared" si="17"/>
        <v>790.10</v>
      </c>
      <c r="G50" s="6" t="str">
        <f t="shared" si="17"/>
        <v>828.00</v>
      </c>
      <c r="H50" s="7" t="str">
        <f t="shared" si="3"/>
        <v xml:space="preserve">   </v>
      </c>
      <c r="I50" s="8" t="str">
        <f t="shared" si="4"/>
        <v xml:space="preserve">   </v>
      </c>
      <c r="J50" s="9" t="str">
        <f t="shared" si="5"/>
        <v xml:space="preserve">   </v>
      </c>
      <c r="K50" s="10" t="str">
        <f t="shared" si="12"/>
        <v xml:space="preserve">   </v>
      </c>
      <c r="M50" s="13"/>
    </row>
    <row r="51" spans="2:13" x14ac:dyDescent="0.25">
      <c r="B51" t="str">
        <f t="shared" si="22"/>
        <v>"TATAMOTORS","open":"400.00","high":"405.00","low":"396.00","ltP":"403.10","ptsC":"3.85","per":"0.96","trdVol":"90.36","trdVolM":"9.04","ntP":"362.38","mVal":"3.62","wkhi":"490.25","wklo":"265.80","wkhicm_adj":"550.70","wklocm_adj":"332.10","xDt":"31-DEC-2999","cAct":"-","yPC":"-14.55","mPC":"-3.81"</v>
      </c>
      <c r="C51" s="5" t="s">
        <v>49</v>
      </c>
      <c r="D51" s="6" t="str">
        <f t="shared" si="17"/>
        <v>400.00</v>
      </c>
      <c r="E51" s="6" t="str">
        <f t="shared" si="17"/>
        <v>405.00</v>
      </c>
      <c r="F51" s="6" t="str">
        <f t="shared" si="17"/>
        <v>396.00</v>
      </c>
      <c r="G51" s="6" t="str">
        <f t="shared" si="17"/>
        <v>403.10</v>
      </c>
      <c r="H51" s="7" t="str">
        <f t="shared" si="3"/>
        <v xml:space="preserve">   </v>
      </c>
      <c r="I51" s="8" t="str">
        <f t="shared" si="4"/>
        <v xml:space="preserve">   </v>
      </c>
      <c r="J51" s="9" t="str">
        <f t="shared" si="5"/>
        <v xml:space="preserve">   </v>
      </c>
      <c r="K51" s="10" t="str">
        <f t="shared" si="12"/>
        <v xml:space="preserve">   </v>
      </c>
      <c r="M51" s="13"/>
    </row>
    <row r="52" spans="2:13" x14ac:dyDescent="0.25">
      <c r="B52" t="str">
        <f t="shared" ref="B52" si="23">MID($E$1,FIND(C52,$E$1)-1,FIND("}",$E$1,FIND(C52,$E$1))-FIND(C52,$E$1)+1)</f>
        <v>"TATAMTRDVR","open":"272.35","high":"273.25","low":"269.00","ltP":"271.10","ptsC":"1.50","per":"0.56","trdVol":"26.37","trdVolM":"2.64","ntP":"71.45","mVal":"0.71","wkhi":"311.90","wklo":"200.20","wkhicm_adj":"391.35","wklocm_adj":"168.25","xDt":"31-DEC-2999","cAct":"-","yPC":"-9.00","mPC":"-11.55"</v>
      </c>
      <c r="C52" s="5" t="s">
        <v>66</v>
      </c>
      <c r="D52" s="6" t="str">
        <f t="shared" si="17"/>
        <v>272.35</v>
      </c>
      <c r="E52" s="6" t="str">
        <f t="shared" si="17"/>
        <v>273.25</v>
      </c>
      <c r="F52" s="6" t="str">
        <f t="shared" si="17"/>
        <v>269.00</v>
      </c>
      <c r="G52" s="6" t="str">
        <f t="shared" si="17"/>
        <v>271.10</v>
      </c>
      <c r="H52" s="7" t="str">
        <f t="shared" si="3"/>
        <v xml:space="preserve">   </v>
      </c>
      <c r="I52" s="8" t="str">
        <f t="shared" ref="I52" si="24">IF(AND(E52=0,F52=0,D52=0),"  ",IF(D52=F52,ROUND(((SQRT(F52) +0.0833) ^2),0),IF(E52=D52,ROUND(((SQRT(E52) -0.0833) ^2),0),IF(E52&lt;&gt;F52&lt;&gt;D52,"   "))))</f>
        <v xml:space="preserve">   </v>
      </c>
      <c r="J52" s="9" t="str">
        <f t="shared" ref="J52" si="25">IF(AND(E52=0, F52=0, D52=0),"  ",IF(E52= D52,D52+0.005*D52,IF(F52= D52,D52-0.005*D52,IF(E52&lt;&gt; F52&lt;&gt; D52,"   "))))</f>
        <v xml:space="preserve">   </v>
      </c>
      <c r="K52" s="10" t="str">
        <f t="shared" ref="K52" si="26">IF(AND(E52=0, F52=0, D52=0),"  ",IF(E52= D52,(I52-G52)/I52,IF(F52= D52,(G52-I52)/I52,IF(E52&lt;&gt; F52&lt;&gt; D52,"   "))))</f>
        <v xml:space="preserve">   </v>
      </c>
      <c r="M52" s="13"/>
    </row>
    <row r="53" spans="2:13" x14ac:dyDescent="0.25">
      <c r="B53" t="str">
        <f t="shared" si="22"/>
        <v>"TATAPOWER","open":"73.65","high":"74.80","low":"72.40","ltP":"72.55","ptsC":"-1.10","per":"-1.49","trdVol":"43.08","trdVolM":"4.31","ntP":"31.66","mVal":"0.32","wkhi":"76.85","wklo":"55.00","wkhicm_adj":"115.60","wklocm_adj":"68.65","xDt":"31-DEC-2999","cAct":"-","yPC":"-4.35","mPC":"0.76"</v>
      </c>
      <c r="C53" s="5" t="s">
        <v>50</v>
      </c>
      <c r="D53" s="6" t="str">
        <f t="shared" ref="D53:G60" si="27">MID($B53,FIND(D$9,$B53)+LEN(D$9)+3,FIND(CHAR(34),$B53,FIND(D$9,$B53)+LEN(D$9)+3)-(FIND(D$9,$B53)+LEN(D$9)+3))</f>
        <v>73.65</v>
      </c>
      <c r="E53" s="6" t="str">
        <f t="shared" si="27"/>
        <v>74.80</v>
      </c>
      <c r="F53" s="6" t="str">
        <f t="shared" si="27"/>
        <v>72.40</v>
      </c>
      <c r="G53" s="6" t="str">
        <f t="shared" si="27"/>
        <v>72.55</v>
      </c>
      <c r="H53" s="7" t="str">
        <f t="shared" si="3"/>
        <v xml:space="preserve">   </v>
      </c>
      <c r="I53" s="8" t="str">
        <f t="shared" si="4"/>
        <v xml:space="preserve">   </v>
      </c>
      <c r="J53" s="9" t="str">
        <f t="shared" si="5"/>
        <v xml:space="preserve">   </v>
      </c>
      <c r="K53" s="10" t="str">
        <f t="shared" si="12"/>
        <v xml:space="preserve">   </v>
      </c>
      <c r="M53" s="13"/>
    </row>
    <row r="54" spans="2:13" x14ac:dyDescent="0.25">
      <c r="B54" t="str">
        <f t="shared" si="22"/>
        <v>"TATASTEEL","open":"326.00","high":"332.00","low":"324.55","ltP":"331.05","ptsC":"5.85","per":"1.80","trdVol":"44.04","trdVolM":"4.40","ntP":"144.44","mVal":"1.44","wkhi":"364.05","wklo":"199.70","wkhicm_adj":"579.90","wklocm_adj":"332.00","xDt":"31-DEC-2999","cAct":"-","yPC":"0.88","mPC":"-7.68"</v>
      </c>
      <c r="C54" s="5" t="s">
        <v>51</v>
      </c>
      <c r="D54" s="6" t="str">
        <f t="shared" si="27"/>
        <v>326.00</v>
      </c>
      <c r="E54" s="6" t="str">
        <f t="shared" si="27"/>
        <v>332.00</v>
      </c>
      <c r="F54" s="6" t="str">
        <f t="shared" si="27"/>
        <v>324.55</v>
      </c>
      <c r="G54" s="6" t="str">
        <f t="shared" si="27"/>
        <v>331.05</v>
      </c>
      <c r="H54" s="7" t="str">
        <f t="shared" si="3"/>
        <v xml:space="preserve">   </v>
      </c>
      <c r="I54" s="8" t="str">
        <f t="shared" si="4"/>
        <v xml:space="preserve">   </v>
      </c>
      <c r="J54" s="9" t="str">
        <f t="shared" si="5"/>
        <v xml:space="preserve">   </v>
      </c>
      <c r="K54" s="10" t="str">
        <f t="shared" si="12"/>
        <v xml:space="preserve">   </v>
      </c>
      <c r="M54" s="13"/>
    </row>
    <row r="55" spans="2:13" x14ac:dyDescent="0.25">
      <c r="B55" t="str">
        <f t="shared" si="22"/>
        <v>"TCS","open":"2,553.15","high":"2,579.85","low":"2,550.60","ltP":"2,577.00","ptsC":"28.30","per":"1.11","trdVol":"5.52","trdVolM":"0.55","ntP":"141.78","mVal":"1.42","wkhi":"2,770.00","wklo":"2,115.00","wkhicm_adj":"2,839.70","wklocm_adj":"1,970.00","xDt":"31-DEC-2999","cAct":"-","yPC":"-1.46","mPC":"3.50"</v>
      </c>
      <c r="C55" s="5" t="s">
        <v>52</v>
      </c>
      <c r="D55" s="6" t="str">
        <f t="shared" si="27"/>
        <v>2,553.15</v>
      </c>
      <c r="E55" s="6" t="str">
        <f t="shared" si="27"/>
        <v>2,579.85</v>
      </c>
      <c r="F55" s="6" t="str">
        <f t="shared" si="27"/>
        <v>2,550.60</v>
      </c>
      <c r="G55" s="6" t="str">
        <f t="shared" si="27"/>
        <v>2,577.00</v>
      </c>
      <c r="H55" s="7" t="str">
        <f t="shared" si="3"/>
        <v xml:space="preserve">   </v>
      </c>
      <c r="I55" s="8" t="str">
        <f t="shared" si="4"/>
        <v xml:space="preserve">   </v>
      </c>
      <c r="J55" s="9" t="str">
        <f t="shared" si="5"/>
        <v xml:space="preserve">   </v>
      </c>
      <c r="K55" s="10" t="str">
        <f t="shared" si="12"/>
        <v xml:space="preserve">   </v>
      </c>
      <c r="M55" s="13"/>
    </row>
    <row r="56" spans="2:13" x14ac:dyDescent="0.25">
      <c r="B56" t="str">
        <f t="shared" si="22"/>
        <v>"TECHM","open":"539.00","high":"541.00","low":"533.60","ltP":"535.00","ptsC":"-7.30","per":"-1.35","trdVol":"15.73","trdVolM":"1.57","ntP":"84.45","mVal":"0.84","wkhi":"582.00","wklo":"407.40","wkhicm_adj":"2,734.00","wklocm_adj":"1,662.00","xDt":"31-DEC-2999","cAct":"-","yPC":"-2.57","mPC":"12.51"</v>
      </c>
      <c r="C56" s="5" t="s">
        <v>53</v>
      </c>
      <c r="D56" s="6" t="str">
        <f t="shared" si="27"/>
        <v>539.00</v>
      </c>
      <c r="E56" s="6" t="str">
        <f t="shared" si="27"/>
        <v>541.00</v>
      </c>
      <c r="F56" s="6" t="str">
        <f t="shared" si="27"/>
        <v>533.60</v>
      </c>
      <c r="G56" s="6" t="str">
        <f t="shared" si="27"/>
        <v>535.00</v>
      </c>
      <c r="H56" s="7" t="str">
        <f t="shared" si="3"/>
        <v xml:space="preserve">   </v>
      </c>
      <c r="I56" s="8" t="str">
        <f t="shared" si="4"/>
        <v xml:space="preserve">   </v>
      </c>
      <c r="J56" s="9" t="str">
        <f t="shared" si="5"/>
        <v xml:space="preserve">   </v>
      </c>
      <c r="K56" s="10" t="str">
        <f t="shared" si="12"/>
        <v xml:space="preserve">   </v>
      </c>
      <c r="M56" s="13"/>
    </row>
    <row r="57" spans="2:13" x14ac:dyDescent="0.25">
      <c r="B57" t="str">
        <f t="shared" si="22"/>
        <v>"ULTRACEMCO","open":"3,216.00","high":"3,255.00","low":"3,216.00","ltP":"3,242.00","ptsC":"28.35","per":"0.88","trdVol":"2.35","trdVolM":"0.23","ntP":"75.93","mVal":"0.76","wkhi":"3,454.90","wklo":"2,579.00","wkhicm_adj":"2,872.00","wklocm_adj":"1,634.00","xDt":"31-DEC-2999","cAct":"-","yPC":"12.37","mPC":"-0.74"</v>
      </c>
      <c r="C57" s="5" t="s">
        <v>54</v>
      </c>
      <c r="D57" s="6" t="str">
        <f t="shared" si="27"/>
        <v>3,216.00</v>
      </c>
      <c r="E57" s="6" t="str">
        <f t="shared" si="27"/>
        <v>3,255.00</v>
      </c>
      <c r="F57" s="6" t="str">
        <f t="shared" si="27"/>
        <v>3,216.00</v>
      </c>
      <c r="G57" s="6" t="str">
        <f t="shared" si="27"/>
        <v>3,242.00</v>
      </c>
      <c r="H57" s="7" t="str">
        <f t="shared" si="3"/>
        <v xml:space="preserve">LONG </v>
      </c>
      <c r="I57" s="8">
        <f t="shared" si="4"/>
        <v>3225</v>
      </c>
      <c r="J57" s="9">
        <f t="shared" si="5"/>
        <v>3199.92</v>
      </c>
      <c r="K57" s="10">
        <f t="shared" si="12"/>
        <v>5.2713178294573641E-3</v>
      </c>
      <c r="M57" s="13"/>
    </row>
    <row r="58" spans="2:13" x14ac:dyDescent="0.25">
      <c r="B58" t="str">
        <f t="shared" si="22"/>
        <v>"WIPRO","open":"543.15","high":"551.00","low":"543.00","ltP":"545.35","ptsC":"0.40","per":"0.07","trdVol":"12.11","trdVolM":"1.21","ntP":"66.38","mVal":"0.66","wkhi":"613.30","wklo":"507.90","wkhicm_adj":"621.90","wklocm_adj":"466.65","xDt":"05-MAY-2016","cAct":"BUYBACK OF SHARES","yPC":"-1.27","mPC":"-1.64"</v>
      </c>
      <c r="C58" s="5" t="s">
        <v>56</v>
      </c>
      <c r="D58" s="6" t="str">
        <f t="shared" si="27"/>
        <v>543.15</v>
      </c>
      <c r="E58" s="6" t="str">
        <f t="shared" si="27"/>
        <v>551.00</v>
      </c>
      <c r="F58" s="6" t="str">
        <f t="shared" si="27"/>
        <v>543.00</v>
      </c>
      <c r="G58" s="6" t="str">
        <f t="shared" si="27"/>
        <v>545.35</v>
      </c>
      <c r="H58" s="7" t="str">
        <f t="shared" si="3"/>
        <v xml:space="preserve">   </v>
      </c>
      <c r="I58" s="8" t="str">
        <f t="shared" si="4"/>
        <v xml:space="preserve">   </v>
      </c>
      <c r="J58" s="9" t="str">
        <f t="shared" si="5"/>
        <v xml:space="preserve">   </v>
      </c>
      <c r="K58" s="10" t="str">
        <f t="shared" si="12"/>
        <v xml:space="preserve">   </v>
      </c>
      <c r="M58" s="13"/>
    </row>
    <row r="59" spans="2:13" x14ac:dyDescent="0.25">
      <c r="B59" t="str">
        <f t="shared" si="22"/>
        <v>"YESBANK","open":"1,025.00","high":"1,041.80","low":"1,018.00","ltP":"1,023.40","ptsC":"2.35","per":"0.23","trdVol":"36.98","trdVolM":"3.70","ntP":"380.77","mVal":"3.81","wkhi":"1,041.80","wklo":"595.00","wkhicm_adj":"719.90","wklocm_adj":"291.40","xDt":"31-DEC-2999","cAct":"-","yPC":"17.51","mPC":"12.38"</v>
      </c>
      <c r="C59" s="5" t="s">
        <v>57</v>
      </c>
      <c r="D59" s="6" t="str">
        <f t="shared" si="27"/>
        <v>1,025.00</v>
      </c>
      <c r="E59" s="6" t="str">
        <f t="shared" si="27"/>
        <v>1,041.80</v>
      </c>
      <c r="F59" s="6" t="str">
        <f t="shared" si="27"/>
        <v>1,018.00</v>
      </c>
      <c r="G59" s="6" t="str">
        <f t="shared" si="27"/>
        <v>1,023.40</v>
      </c>
      <c r="H59" s="7" t="str">
        <f t="shared" si="3"/>
        <v xml:space="preserve">   </v>
      </c>
      <c r="I59" s="8" t="str">
        <f t="shared" si="4"/>
        <v xml:space="preserve">   </v>
      </c>
      <c r="J59" s="9" t="str">
        <f t="shared" si="5"/>
        <v xml:space="preserve">   </v>
      </c>
      <c r="K59" s="10" t="str">
        <f t="shared" si="12"/>
        <v xml:space="preserve">   </v>
      </c>
      <c r="M59" s="13"/>
    </row>
    <row r="60" spans="2:13" x14ac:dyDescent="0.25">
      <c r="B60" t="str">
        <f t="shared" si="22"/>
        <v>"ZEEL","open":"445.95","high":"455.00","low":"443.00","ltP":"452.20","ptsC":"7.75","per":"1.74","trdVol":"16.75","trdVolM":"1.67","ntP":"75.70","mVal":"0.76","wkhi":"458.95","wklo":"316.15","wkhicm_adj":"402.40","wklocm_adj":"251.80","xDt":"31-DEC-2999","cAct":"-","yPC":"41.31","mPC":"9.36"</v>
      </c>
      <c r="C60" s="5" t="s">
        <v>58</v>
      </c>
      <c r="D60" s="6" t="str">
        <f t="shared" si="27"/>
        <v>445.95</v>
      </c>
      <c r="E60" s="6" t="str">
        <f t="shared" si="27"/>
        <v>455.00</v>
      </c>
      <c r="F60" s="6" t="str">
        <f t="shared" si="27"/>
        <v>443.00</v>
      </c>
      <c r="G60" s="6" t="str">
        <f t="shared" si="27"/>
        <v>452.20</v>
      </c>
      <c r="H60" s="7" t="str">
        <f t="shared" si="3"/>
        <v xml:space="preserve">   </v>
      </c>
      <c r="I60" s="8" t="str">
        <f t="shared" si="4"/>
        <v xml:space="preserve">   </v>
      </c>
      <c r="J60" s="9" t="str">
        <f t="shared" si="5"/>
        <v xml:space="preserve">   </v>
      </c>
      <c r="K60" s="10" t="str">
        <f t="shared" si="12"/>
        <v xml:space="preserve">   </v>
      </c>
      <c r="M60" s="13"/>
    </row>
    <row r="61" spans="2:13" x14ac:dyDescent="0.25">
      <c r="M61" s="13"/>
    </row>
    <row r="64" spans="2:13" x14ac:dyDescent="0.25">
      <c r="C64" s="15" t="s">
        <v>68</v>
      </c>
    </row>
    <row r="65" spans="2:11" x14ac:dyDescent="0.25">
      <c r="B65" t="s">
        <v>1</v>
      </c>
      <c r="C65" s="4" t="s">
        <v>2</v>
      </c>
      <c r="D65" s="4" t="s">
        <v>3</v>
      </c>
      <c r="E65" s="4" t="s">
        <v>4</v>
      </c>
      <c r="F65" s="4" t="s">
        <v>5</v>
      </c>
      <c r="G65" s="4" t="s">
        <v>6</v>
      </c>
      <c r="H65" s="4" t="s">
        <v>7</v>
      </c>
      <c r="I65" s="4" t="s">
        <v>8</v>
      </c>
      <c r="J65" s="4" t="s">
        <v>9</v>
      </c>
      <c r="K65" s="4" t="s">
        <v>59</v>
      </c>
    </row>
    <row r="66" spans="2:11" x14ac:dyDescent="0.25">
      <c r="B66" t="str">
        <f>MID($E$3,FIND(C66,$E$3)-1,FIND("}",$E$3,FIND(C66,$E$3))-FIND(C66,$E$3)+1)</f>
        <v>"ABB","open":"1,241.80","high":"1,273.85","low":"1,234.40","ltP":"1,250.10","ptsC":"6.80","per":"0.55","trdVol":"0.51","trdVolM":"0.05","ntP":"6.45","mVal":"0.06","wkhi":"1,445.00","wklo":"955.20","wkhicm_adj":"1,263.50","wklocm_adj":"566.95","xDt":"13-APR-2016","cAct":"ANNUAL GENERAL MEETING\/DIVIDEND - RS 3.70 PER SHARE","yPC":"-7.79","mPC":"-3.02"</v>
      </c>
      <c r="C66" s="14" t="s">
        <v>70</v>
      </c>
      <c r="D66" s="6" t="str">
        <f t="shared" ref="D66:G85" si="28">MID($B66,FIND(D$9,$B66)+LEN(D$9)+3,FIND(CHAR(34),$B66,FIND(D$9,$B66)+LEN(D$9)+3)-(FIND(D$9,$B66)+LEN(D$9)+3))</f>
        <v>1,241.80</v>
      </c>
      <c r="E66" s="6" t="str">
        <f t="shared" si="28"/>
        <v>1,273.85</v>
      </c>
      <c r="F66" s="6" t="str">
        <f t="shared" si="28"/>
        <v>1,234.40</v>
      </c>
      <c r="G66" s="6" t="str">
        <f t="shared" si="28"/>
        <v>1,250.10</v>
      </c>
      <c r="H66" s="7" t="str">
        <f t="shared" ref="H66" si="29">IF(AND(E66=0, F66=0, D66=0),"  ",IF(E66= D66,"SHORT ",IF(F66= D66,"LONG ",IF(E66&lt;&gt; F66&lt;&gt; D66,"   "))))</f>
        <v xml:space="preserve">   </v>
      </c>
      <c r="I66" s="8" t="str">
        <f t="shared" ref="I66" si="30">IF(AND(E66=0,F66=0,D66=0),"  ",IF(D66=F66,ROUND(((SQRT(F66) +0.0833) ^2),0),IF(E66=D66,ROUND(((SQRT(E66) -0.0833) ^2),0),IF(E66&lt;&gt;F66&lt;&gt;D66,"   "))))</f>
        <v xml:space="preserve">   </v>
      </c>
      <c r="J66" s="9" t="str">
        <f t="shared" ref="J66" si="31">IF(AND(E66=0, F66=0, D66=0),"  ",IF(E66= D66,D66+0.005*D66,IF(F66= D66,D66-0.005*D66,IF(E66&lt;&gt; F66&lt;&gt; D66,"   "))))</f>
        <v xml:space="preserve">   </v>
      </c>
      <c r="K66" s="10" t="str">
        <f t="shared" ref="K66" si="32">IF(AND(E66=0, F66=0, D66=0),"  ",IF(E66= D66,(I66-G66)/I66,IF(F66= D66,(G66-I66)/I66,IF(E66&lt;&gt; F66&lt;&gt; D66,"   "))))</f>
        <v xml:space="preserve">   </v>
      </c>
    </row>
    <row r="67" spans="2:11" x14ac:dyDescent="0.25">
      <c r="B67" t="str">
        <f t="shared" ref="B67:B115" si="33">MID($E$3,FIND(C67,$E$3)-1,FIND("}",$E$3,FIND(C67,$E$3))-FIND(C67,$E$3)+1)</f>
        <v>"APOLLOHOSP","open":"1,339.50","high":"1,357.40","low":"1,336.00","ltP":"1,340.10","ptsC":"-5.80","per":"-0.43","trdVol":"1.13","trdVolM":"0.11","ntP":"15.21","mVal":"0.15","wkhi":"1,544.90","wklo":"1,150.00","wkhicm_adj":"1,246.50","wklocm_adj":"815.35","xDt":"22-MAR-2016","cAct":"INTERIM DIVIDEND - RS 6\/- PER SHARE (PURPOSE REVISED)","yPC":"9.23","mPC":"1.06"</v>
      </c>
      <c r="C67" s="14" t="s">
        <v>71</v>
      </c>
      <c r="D67" s="6" t="str">
        <f t="shared" si="28"/>
        <v>1,339.50</v>
      </c>
      <c r="E67" s="6" t="str">
        <f t="shared" si="28"/>
        <v>1,357.40</v>
      </c>
      <c r="F67" s="6" t="str">
        <f t="shared" si="28"/>
        <v>1,336.00</v>
      </c>
      <c r="G67" s="6" t="str">
        <f t="shared" si="28"/>
        <v>1,340.10</v>
      </c>
      <c r="H67" s="7" t="str">
        <f t="shared" ref="H67:H115" si="34">IF(AND(E67=0, F67=0, D67=0),"  ",IF(E67= D67,"SHORT ",IF(F67= D67,"LONG ",IF(E67&lt;&gt; F67&lt;&gt; D67,"   "))))</f>
        <v xml:space="preserve">   </v>
      </c>
      <c r="I67" s="8" t="str">
        <f t="shared" ref="I67:I115" si="35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6">IF(AND(E67=0, F67=0, D67=0),"  ",IF(E67= D67,D67+0.005*D67,IF(F67= D67,D67-0.005*D67,IF(E67&lt;&gt; F67&lt;&gt; D67,"   "))))</f>
        <v xml:space="preserve">   </v>
      </c>
      <c r="K67" s="10" t="str">
        <f t="shared" ref="K67:K115" si="37">IF(AND(E67=0, F67=0, D67=0),"  ",IF(E67= D67,(I67-G67)/I67,IF(F67= D67,(G67-I67)/I67,IF(E67&lt;&gt; F67&lt;&gt; D67,"   "))))</f>
        <v xml:space="preserve">   </v>
      </c>
    </row>
    <row r="68" spans="2:11" x14ac:dyDescent="0.25">
      <c r="B68" t="str">
        <f t="shared" si="33"/>
        <v>"ASHOKLEY","open":"105.10","high":"107.25","low":"104.55","ltP":"106.65","ptsC":"2.45","per":"2.35","trdVol":"174.62","trdVolM":"17.46","ntP":"185.13","mVal":"1.85","wkhi":"112.90","wklo":"64.00","wkhicm_adj":"56.20","wklocm_adj":"14.85","xDt":"31-DEC-2999","cAct":"-","yPC":"50.21","mPC":"-0.14"</v>
      </c>
      <c r="C68" s="14" t="s">
        <v>72</v>
      </c>
      <c r="D68" s="6" t="str">
        <f t="shared" si="28"/>
        <v>105.10</v>
      </c>
      <c r="E68" s="6" t="str">
        <f t="shared" si="28"/>
        <v>107.25</v>
      </c>
      <c r="F68" s="6" t="str">
        <f t="shared" si="28"/>
        <v>104.55</v>
      </c>
      <c r="G68" s="6" t="str">
        <f t="shared" si="28"/>
        <v>106.65</v>
      </c>
      <c r="H68" s="7" t="str">
        <f t="shared" si="34"/>
        <v xml:space="preserve">   </v>
      </c>
      <c r="I68" s="8" t="str">
        <f t="shared" si="35"/>
        <v xml:space="preserve">   </v>
      </c>
      <c r="J68" s="9" t="str">
        <f t="shared" si="36"/>
        <v xml:space="preserve">   </v>
      </c>
      <c r="K68" s="10" t="str">
        <f t="shared" si="37"/>
        <v xml:space="preserve">   </v>
      </c>
    </row>
    <row r="69" spans="2:11" x14ac:dyDescent="0.25">
      <c r="B69" t="str">
        <f t="shared" si="33"/>
        <v>"BAJAJFINSV","open":"1,799.90","high":"1,853.90","low":"1,790.05","ltP":"1,837.10","ptsC":"44.95","per":"2.51","trdVol":"2.07","trdVolM":"0.21","ntP":"37.45","mVal":"0.37","wkhi":"2,160.00","wklo":"1,435.15","wkhicm_adj":"1,173.95","wklocm_adj":"658.35","xDt":"16-MAR-2016","cAct":"INTERIM DIVIDEND - RS 1.75\/- PER SHARE (PURPOSE REVISED)","yPC":"19.85","mPC":"-1.71"</v>
      </c>
      <c r="C69" s="14" t="s">
        <v>73</v>
      </c>
      <c r="D69" s="6" t="str">
        <f t="shared" si="28"/>
        <v>1,799.90</v>
      </c>
      <c r="E69" s="6" t="str">
        <f t="shared" si="28"/>
        <v>1,853.90</v>
      </c>
      <c r="F69" s="6" t="str">
        <f t="shared" si="28"/>
        <v>1,790.05</v>
      </c>
      <c r="G69" s="6" t="str">
        <f t="shared" si="28"/>
        <v>1,837.10</v>
      </c>
      <c r="H69" s="7" t="str">
        <f t="shared" si="34"/>
        <v xml:space="preserve">   </v>
      </c>
      <c r="I69" s="8" t="str">
        <f t="shared" si="35"/>
        <v xml:space="preserve">   </v>
      </c>
      <c r="J69" s="9" t="str">
        <f t="shared" si="36"/>
        <v xml:space="preserve">   </v>
      </c>
      <c r="K69" s="10" t="str">
        <f t="shared" si="37"/>
        <v xml:space="preserve">   </v>
      </c>
    </row>
    <row r="70" spans="2:11" x14ac:dyDescent="0.25">
      <c r="B70" t="str">
        <f t="shared" si="33"/>
        <v>"BAJFINANCE","open":"7,543.00","high":"7,739.80","low":"7,467.25","ltP":"7,656.60","ptsC":"198.25","per":"2.66","trdVol":"1.39","trdVolM":"0.14","ntP":"106.16","mVal":"1.06","wkhi":"7,858.05","wklo":"4,115.70","wkhicm_adj":"3,385.00","wklocm_adj":"1,375.00","xDt":"16-MAR-2016","cAct":"INTERIM DIVIDEND - RS 18\/- PER SHARE (PURPOSE REVISED)","yPC":"73.56","mPC":"9.31"</v>
      </c>
      <c r="C70" s="14" t="s">
        <v>74</v>
      </c>
      <c r="D70" s="6" t="str">
        <f t="shared" si="28"/>
        <v>7,543.00</v>
      </c>
      <c r="E70" s="6" t="str">
        <f t="shared" si="28"/>
        <v>7,739.80</v>
      </c>
      <c r="F70" s="6" t="str">
        <f t="shared" si="28"/>
        <v>7,467.25</v>
      </c>
      <c r="G70" s="6" t="str">
        <f t="shared" si="28"/>
        <v>7,656.60</v>
      </c>
      <c r="H70" s="7" t="str">
        <f t="shared" si="34"/>
        <v xml:space="preserve">   </v>
      </c>
      <c r="I70" s="8" t="str">
        <f t="shared" si="35"/>
        <v xml:space="preserve">   </v>
      </c>
      <c r="J70" s="9" t="str">
        <f t="shared" si="36"/>
        <v xml:space="preserve">   </v>
      </c>
      <c r="K70" s="10" t="str">
        <f t="shared" si="37"/>
        <v xml:space="preserve">   </v>
      </c>
    </row>
    <row r="71" spans="2:11" x14ac:dyDescent="0.25">
      <c r="B71" t="str">
        <f t="shared" si="33"/>
        <v>"BEL","open":"1,134.00","high":"1,205.00","low":"1,134.00","ltP":"1,185.00","ptsC":"61.00","per":"5.43","trdVol":"8.32","trdVolM":"0.83","ntP":"97.95","mVal":"0.98","wkhi":"1,416.85","wklo":"984.00","wkhicm_adj":"2,375.00","wklocm_adj":"893.00","xDt":"31-DEC-2999","cAct":"-","yPC":"7.33","mPC":"-0.53"</v>
      </c>
      <c r="C71" s="14" t="s">
        <v>75</v>
      </c>
      <c r="D71" s="6" t="str">
        <f t="shared" si="28"/>
        <v>1,134.00</v>
      </c>
      <c r="E71" s="6" t="str">
        <f t="shared" si="28"/>
        <v>1,205.00</v>
      </c>
      <c r="F71" s="6" t="str">
        <f t="shared" si="28"/>
        <v>1,134.00</v>
      </c>
      <c r="G71" s="6" t="str">
        <f t="shared" si="28"/>
        <v>1,185.00</v>
      </c>
      <c r="H71" s="7" t="str">
        <f t="shared" si="34"/>
        <v xml:space="preserve">LONG </v>
      </c>
      <c r="I71" s="8">
        <f t="shared" si="35"/>
        <v>1140</v>
      </c>
      <c r="J71" s="9">
        <f t="shared" si="36"/>
        <v>1128.33</v>
      </c>
      <c r="K71" s="10">
        <f t="shared" si="37"/>
        <v>3.9473684210526314E-2</v>
      </c>
    </row>
    <row r="72" spans="2:11" x14ac:dyDescent="0.25">
      <c r="B72" t="str">
        <f t="shared" si="33"/>
        <v>"BHARATFORG","open":"753.00","high":"758.05","low":"741.00","ltP":"743.10","ptsC":"-8.30","per":"-1.10","trdVol":"6.01","trdVolM":"0.60","ntP":"44.83","mVal":"0.45","wkhi":"1,293.00","wklo":"704.90","wkhicm_adj":"979.00","wklocm_adj":"291.10","xDt":"18-MAR-2016","cAct":"INTERIM DIVIDEND - RS 4\/- PER SHARE (PURPOSE REVISED)","yPC":"-40.04","mPC":"-7.88"</v>
      </c>
      <c r="C72" s="14" t="s">
        <v>76</v>
      </c>
      <c r="D72" s="6" t="str">
        <f t="shared" si="28"/>
        <v>753.00</v>
      </c>
      <c r="E72" s="6" t="str">
        <f t="shared" si="28"/>
        <v>758.05</v>
      </c>
      <c r="F72" s="6" t="str">
        <f t="shared" si="28"/>
        <v>741.00</v>
      </c>
      <c r="G72" s="6" t="str">
        <f t="shared" si="28"/>
        <v>743.10</v>
      </c>
      <c r="H72" s="7" t="str">
        <f t="shared" si="34"/>
        <v xml:space="preserve">   </v>
      </c>
      <c r="I72" s="8" t="str">
        <f t="shared" si="35"/>
        <v xml:space="preserve">   </v>
      </c>
      <c r="J72" s="9" t="str">
        <f t="shared" si="36"/>
        <v xml:space="preserve">   </v>
      </c>
      <c r="K72" s="10" t="str">
        <f t="shared" si="37"/>
        <v xml:space="preserve">   </v>
      </c>
    </row>
    <row r="73" spans="2:11" x14ac:dyDescent="0.25">
      <c r="B73" t="str">
        <f t="shared" si="33"/>
        <v>"BRITANNIA","open":"2,759.00","high":"2,761.85","low":"2,701.10","ltP":"2,718.00","ptsC":"-26.40","per":"-0.96","trdVol":"5.13","trdVolM":"0.51","ntP":"140.29","mVal":"1.40","wkhi":"3,434.20","wklo":"2,424.00","wkhicm_adj":"1,729.80","wklocm_adj":"809.10","xDt":"31-DEC-2999","cAct":"-","yPC":"5.40","mPC":"-4.20"</v>
      </c>
      <c r="C73" s="14" t="s">
        <v>77</v>
      </c>
      <c r="D73" s="6" t="str">
        <f t="shared" si="28"/>
        <v>2,759.00</v>
      </c>
      <c r="E73" s="6" t="str">
        <f t="shared" si="28"/>
        <v>2,761.85</v>
      </c>
      <c r="F73" s="6" t="str">
        <f t="shared" si="28"/>
        <v>2,701.10</v>
      </c>
      <c r="G73" s="6" t="str">
        <f t="shared" si="28"/>
        <v>2,718.00</v>
      </c>
      <c r="H73" s="7" t="str">
        <f t="shared" si="34"/>
        <v xml:space="preserve">   </v>
      </c>
      <c r="I73" s="8" t="str">
        <f t="shared" si="35"/>
        <v xml:space="preserve">   </v>
      </c>
      <c r="J73" s="9" t="str">
        <f t="shared" si="36"/>
        <v xml:space="preserve">   </v>
      </c>
      <c r="K73" s="10" t="str">
        <f t="shared" si="37"/>
        <v xml:space="preserve">   </v>
      </c>
    </row>
    <row r="74" spans="2:11" x14ac:dyDescent="0.25">
      <c r="B74" t="str">
        <f t="shared" si="33"/>
        <v>"CADILAHC","open":"321.10","high":"331.00","low":"321.10","ltP":"328.05","ptsC":"7.90","per":"2.47","trdVol":"6.44","trdVolM":"0.64","ntP":"21.08","mVal":"0.21","wkhi":"453.30","wklo":"295.00","wkhicm_adj":"1,760.15","wklocm_adj":"723.20","xDt":"17-MAR-2016","cAct":"INTERIM DIVIDEND - RS 3.20\/- PER SHARE","yPC":"-11.54","mPC":"0.02"</v>
      </c>
      <c r="C74" s="14" t="s">
        <v>78</v>
      </c>
      <c r="D74" s="6" t="str">
        <f t="shared" si="28"/>
        <v>321.10</v>
      </c>
      <c r="E74" s="6" t="str">
        <f t="shared" si="28"/>
        <v>331.00</v>
      </c>
      <c r="F74" s="6" t="str">
        <f t="shared" si="28"/>
        <v>321.10</v>
      </c>
      <c r="G74" s="6" t="str">
        <f t="shared" si="28"/>
        <v>328.05</v>
      </c>
      <c r="H74" s="7" t="str">
        <f t="shared" si="34"/>
        <v xml:space="preserve">LONG </v>
      </c>
      <c r="I74" s="8">
        <f t="shared" si="35"/>
        <v>324</v>
      </c>
      <c r="J74" s="9">
        <f t="shared" si="36"/>
        <v>319.49450000000002</v>
      </c>
      <c r="K74" s="10">
        <f t="shared" si="37"/>
        <v>1.2500000000000035E-2</v>
      </c>
    </row>
    <row r="75" spans="2:11" x14ac:dyDescent="0.25">
      <c r="B75" t="str">
        <f t="shared" si="33"/>
        <v>"CAIRN","open":"141.50","high":"141.80","low":"137.25","ltP":"138.50","ptsC":"-2.70","per":"-1.91","trdVol":"25.23","trdVolM":"2.52","ntP":"35.05","mVal":"0.35","wkhi":"197.90","wklo":"106.50","wkhicm_adj":"386.00","wklocm_adj":"255.00","xDt":"31-DEC-2999","cAct":"-","yPC":"-27.45","mPC":"-4.81"</v>
      </c>
      <c r="C75" s="14" t="s">
        <v>20</v>
      </c>
      <c r="D75" s="6" t="str">
        <f t="shared" si="28"/>
        <v>141.50</v>
      </c>
      <c r="E75" s="6" t="str">
        <f t="shared" si="28"/>
        <v>141.80</v>
      </c>
      <c r="F75" s="6" t="str">
        <f t="shared" si="28"/>
        <v>137.25</v>
      </c>
      <c r="G75" s="6" t="str">
        <f t="shared" si="28"/>
        <v>138.50</v>
      </c>
      <c r="H75" s="7" t="str">
        <f t="shared" si="34"/>
        <v xml:space="preserve">   </v>
      </c>
      <c r="I75" s="8" t="str">
        <f t="shared" si="35"/>
        <v xml:space="preserve">   </v>
      </c>
      <c r="J75" s="9" t="str">
        <f t="shared" si="36"/>
        <v xml:space="preserve">   </v>
      </c>
      <c r="K75" s="10" t="str">
        <f t="shared" si="37"/>
        <v xml:space="preserve">   </v>
      </c>
    </row>
    <row r="76" spans="2:11" x14ac:dyDescent="0.25">
      <c r="B76" t="str">
        <f t="shared" si="33"/>
        <v>"CASTROLIND","open":"376.15","high":"382.85","low":"375.00","ltP":"376.70","ptsC":"1.00","per":"0.27","trdVol":"13.76","trdVolM":"1.38","ntP":"52.06","mVal":"0.52","wkhi":"513.80","wklo":"360.85","wkhicm_adj":"523.50","wklocm_adj":"283.10","xDt":"27-APR-2016","cAct":"ANNUAL GENERAL MEETING\/ DIVIDEND - RS 5\/- PER SHARE","yPC":"-19.64","mPC":"-4.61"</v>
      </c>
      <c r="C76" s="14" t="s">
        <v>79</v>
      </c>
      <c r="D76" s="6" t="str">
        <f t="shared" si="28"/>
        <v>376.15</v>
      </c>
      <c r="E76" s="6" t="str">
        <f t="shared" si="28"/>
        <v>382.85</v>
      </c>
      <c r="F76" s="6" t="str">
        <f t="shared" si="28"/>
        <v>375.00</v>
      </c>
      <c r="G76" s="6" t="str">
        <f t="shared" si="28"/>
        <v>376.70</v>
      </c>
      <c r="H76" s="7" t="str">
        <f t="shared" si="34"/>
        <v xml:space="preserve">   </v>
      </c>
      <c r="I76" s="8" t="str">
        <f t="shared" si="35"/>
        <v xml:space="preserve">   </v>
      </c>
      <c r="J76" s="9" t="str">
        <f t="shared" si="36"/>
        <v xml:space="preserve">   </v>
      </c>
      <c r="K76" s="10" t="str">
        <f t="shared" si="37"/>
        <v xml:space="preserve">   </v>
      </c>
    </row>
    <row r="77" spans="2:11" x14ac:dyDescent="0.25">
      <c r="B77" t="str">
        <f t="shared" si="33"/>
        <v>"COLPAL","open":"838.00","high":"846.75","low":"830.10","ltP":"840.00","ptsC":"4.50","per":"0.54","trdVol":"1.42","trdVolM":"0.14","ntP":"11.93","mVal":"0.12","wkhi":"1,050.00","wklo":"787.20","wkhicm_adj":"2,049.00","wklocm_adj":"1,235.20","xDt":"06-APR-2016","cAct":"INTERIM DIVIDEND - RS 3\/- PER SHARE (PURPOSE REVISED)","yPC":"-14.18","mPC":"-0.46"</v>
      </c>
      <c r="C77" s="14" t="s">
        <v>80</v>
      </c>
      <c r="D77" s="6" t="str">
        <f t="shared" si="28"/>
        <v>838.00</v>
      </c>
      <c r="E77" s="6" t="str">
        <f t="shared" si="28"/>
        <v>846.75</v>
      </c>
      <c r="F77" s="6" t="str">
        <f t="shared" si="28"/>
        <v>830.10</v>
      </c>
      <c r="G77" s="6" t="str">
        <f t="shared" si="28"/>
        <v>840.00</v>
      </c>
      <c r="H77" s="7" t="str">
        <f t="shared" si="34"/>
        <v xml:space="preserve">   </v>
      </c>
      <c r="I77" s="8" t="str">
        <f t="shared" si="35"/>
        <v xml:space="preserve">   </v>
      </c>
      <c r="J77" s="9" t="str">
        <f t="shared" si="36"/>
        <v xml:space="preserve">   </v>
      </c>
      <c r="K77" s="10" t="str">
        <f t="shared" si="37"/>
        <v xml:space="preserve">   </v>
      </c>
    </row>
    <row r="78" spans="2:11" x14ac:dyDescent="0.25">
      <c r="B78" t="str">
        <f t="shared" si="33"/>
        <v>"CONCOR","open":"1,366.75","high":"1,387.00","low":"1,350.30","ltP":"1,380.00","ptsC":"17.90","per":"1.31","trdVol":"2.10","trdVolM":"0.21","ntP":"28.96","mVal":"0.29","wkhi":"1,947.70","wklo":"1,051.00","wkhicm_adj":"1,504.70","wklocm_adj":"697.55","xDt":"31-DEC-2999","cAct":"-","yPC":"-20.54","mPC":"1.71"</v>
      </c>
      <c r="C78" s="14" t="s">
        <v>81</v>
      </c>
      <c r="D78" s="6" t="str">
        <f t="shared" si="28"/>
        <v>1,366.75</v>
      </c>
      <c r="E78" s="6" t="str">
        <f t="shared" si="28"/>
        <v>1,387.00</v>
      </c>
      <c r="F78" s="6" t="str">
        <f t="shared" si="28"/>
        <v>1,350.30</v>
      </c>
      <c r="G78" s="6" t="str">
        <f t="shared" si="28"/>
        <v>1,380.00</v>
      </c>
      <c r="H78" s="7" t="str">
        <f t="shared" si="34"/>
        <v xml:space="preserve">   </v>
      </c>
      <c r="I78" s="8" t="str">
        <f t="shared" si="35"/>
        <v xml:space="preserve">   </v>
      </c>
      <c r="J78" s="9" t="str">
        <f t="shared" si="36"/>
        <v xml:space="preserve">   </v>
      </c>
      <c r="K78" s="10" t="str">
        <f t="shared" si="37"/>
        <v xml:space="preserve">   </v>
      </c>
    </row>
    <row r="79" spans="2:11" x14ac:dyDescent="0.25">
      <c r="B79" t="str">
        <f t="shared" si="33"/>
        <v>"CUMMINSIND","open":"807.00","high":"807.65","low":"759.05","ltP":"781.10","ptsC":"-26.55","per":"-3.29","trdVol":"27.20","trdVolM":"2.72","ntP":"212.79","mVal":"2.13","wkhi":"1,247.65","wklo":"746.15","wkhicm_adj":"955.60","wklocm_adj":"417.70","xDt":"31-DEC-2999","cAct":"-","yPC":"-7.98","mPC":"-11.43"</v>
      </c>
      <c r="C79" s="14" t="s">
        <v>82</v>
      </c>
      <c r="D79" s="6" t="str">
        <f t="shared" si="28"/>
        <v>807.00</v>
      </c>
      <c r="E79" s="6" t="str">
        <f t="shared" si="28"/>
        <v>807.65</v>
      </c>
      <c r="F79" s="6" t="str">
        <f t="shared" si="28"/>
        <v>759.05</v>
      </c>
      <c r="G79" s="6" t="str">
        <f t="shared" si="28"/>
        <v>781.10</v>
      </c>
      <c r="H79" s="7" t="str">
        <f t="shared" si="34"/>
        <v xml:space="preserve">   </v>
      </c>
      <c r="I79" s="8" t="str">
        <f t="shared" si="35"/>
        <v xml:space="preserve">   </v>
      </c>
      <c r="J79" s="9" t="str">
        <f t="shared" si="36"/>
        <v xml:space="preserve">   </v>
      </c>
      <c r="K79" s="10" t="str">
        <f t="shared" si="37"/>
        <v xml:space="preserve">   </v>
      </c>
    </row>
    <row r="80" spans="2:11" x14ac:dyDescent="0.25">
      <c r="B80" t="str">
        <f t="shared" si="33"/>
        <v>"DABUR","open":"295.70","high":"300.90","low":"292.50","ltP":"294.75","ptsC":"0.35","per":"0.12","trdVol":"13.33","trdVolM":"1.33","ntP":"39.65","mVal":"0.40","wkhi":"316.40","wklo":"231.50","wkhicm_adj":"249.15","wklocm_adj":"159.50","xDt":"31-DEC-2999","cAct":"-","yPC":"9.43","mPC":"10.58"</v>
      </c>
      <c r="C80" s="14" t="s">
        <v>83</v>
      </c>
      <c r="D80" s="6" t="str">
        <f t="shared" si="28"/>
        <v>295.70</v>
      </c>
      <c r="E80" s="6" t="str">
        <f t="shared" si="28"/>
        <v>300.90</v>
      </c>
      <c r="F80" s="6" t="str">
        <f t="shared" si="28"/>
        <v>292.50</v>
      </c>
      <c r="G80" s="6" t="str">
        <f t="shared" si="28"/>
        <v>294.75</v>
      </c>
      <c r="H80" s="7" t="str">
        <f t="shared" si="34"/>
        <v xml:space="preserve">   </v>
      </c>
      <c r="I80" s="8" t="str">
        <f t="shared" si="35"/>
        <v xml:space="preserve">   </v>
      </c>
      <c r="J80" s="9" t="str">
        <f t="shared" si="36"/>
        <v xml:space="preserve">   </v>
      </c>
      <c r="K80" s="10" t="str">
        <f t="shared" si="37"/>
        <v xml:space="preserve">   </v>
      </c>
    </row>
    <row r="81" spans="2:11" x14ac:dyDescent="0.25">
      <c r="B81" t="str">
        <f t="shared" si="33"/>
        <v>"DIVISLAB","open":"1,043.00","high":"1,089.00","low":"1,043.00","ltP":"1,082.00","ptsC":"40.50","per":"3.89","trdVol":"2.25","trdVolM":"0.22","ntP":"24.24","mVal":"0.24","wkhi":"1,242.35","wklo":"863.90","wkhicm_adj":"1,888.05","wklocm_adj":"1,097.00","xDt":"17-MAR-2016","cAct":"INTERIM DIVIDEND - RS 10\/- PER SHARE (PURPOSE REVISED)","yPC":"-40.72","mPC":"2.22"</v>
      </c>
      <c r="C81" s="14" t="s">
        <v>84</v>
      </c>
      <c r="D81" s="6" t="str">
        <f t="shared" si="28"/>
        <v>1,043.00</v>
      </c>
      <c r="E81" s="6" t="str">
        <f t="shared" si="28"/>
        <v>1,089.00</v>
      </c>
      <c r="F81" s="6" t="str">
        <f t="shared" si="28"/>
        <v>1,043.00</v>
      </c>
      <c r="G81" s="6" t="str">
        <f t="shared" si="28"/>
        <v>1,082.00</v>
      </c>
      <c r="H81" s="7" t="str">
        <f t="shared" si="34"/>
        <v xml:space="preserve">LONG </v>
      </c>
      <c r="I81" s="8">
        <f t="shared" si="35"/>
        <v>1048</v>
      </c>
      <c r="J81" s="9">
        <f t="shared" si="36"/>
        <v>1037.7850000000001</v>
      </c>
      <c r="K81" s="10">
        <f t="shared" si="37"/>
        <v>3.2442748091603052E-2</v>
      </c>
    </row>
    <row r="82" spans="2:11" x14ac:dyDescent="0.25">
      <c r="B82" t="str">
        <f t="shared" si="33"/>
        <v>"DLF","open":"128.30","high":"130.95","low":"127.25","ltP":"129.00","ptsC":"1.00","per":"0.78","trdVol":"93.94","trdVolM":"9.39","ntP":"121.30","mVal":"1.21","wkhi":"142.90","wklo":"72.35","wkhicm_adj":"242.95","wklocm_adj":"100.10","xDt":"28-MAR-2016","cAct":"INTERIM DIVIDEND - RS 2\/- PER SHARE (PURPOSE REVISED)","yPC":"8.04","mPC":"3.86"</v>
      </c>
      <c r="C82" s="14" t="s">
        <v>85</v>
      </c>
      <c r="D82" s="6" t="str">
        <f t="shared" si="28"/>
        <v>128.30</v>
      </c>
      <c r="E82" s="6" t="str">
        <f t="shared" si="28"/>
        <v>130.95</v>
      </c>
      <c r="F82" s="6" t="str">
        <f t="shared" si="28"/>
        <v>127.25</v>
      </c>
      <c r="G82" s="6" t="str">
        <f t="shared" si="28"/>
        <v>129.00</v>
      </c>
      <c r="H82" s="7" t="str">
        <f t="shared" si="34"/>
        <v xml:space="preserve">   </v>
      </c>
      <c r="I82" s="8" t="str">
        <f t="shared" si="35"/>
        <v xml:space="preserve">   </v>
      </c>
      <c r="J82" s="9" t="str">
        <f t="shared" si="36"/>
        <v xml:space="preserve">   </v>
      </c>
      <c r="K82" s="10" t="str">
        <f t="shared" si="37"/>
        <v xml:space="preserve">   </v>
      </c>
    </row>
    <row r="83" spans="2:11" x14ac:dyDescent="0.25">
      <c r="B83" t="str">
        <f t="shared" si="33"/>
        <v>"EMAMILTD","open":"1,025.90","high":"1,025.90","low":"1,012.05","ltP":"1,014.50","ptsC":"-10.60","per":"-1.03","trdVol":"0.83","trdVolM":"0.08","ntP":"8.46","mVal":"0.08","wkhi":"1,365.00","wklo":"901.00","wkhicm_adj":"824.70","wklocm_adj":"420.00","xDt":"31-DEC-2999","cAct":"-","yPC":"-6.16","mPC":"2.08"</v>
      </c>
      <c r="C83" s="14" t="s">
        <v>86</v>
      </c>
      <c r="D83" s="6" t="str">
        <f t="shared" si="28"/>
        <v>1,025.90</v>
      </c>
      <c r="E83" s="6" t="str">
        <f t="shared" si="28"/>
        <v>1,025.90</v>
      </c>
      <c r="F83" s="6" t="str">
        <f t="shared" si="28"/>
        <v>1,012.05</v>
      </c>
      <c r="G83" s="6" t="str">
        <f t="shared" si="28"/>
        <v>1,014.50</v>
      </c>
      <c r="H83" s="7" t="str">
        <f t="shared" si="34"/>
        <v xml:space="preserve">SHORT </v>
      </c>
      <c r="I83" s="8">
        <f t="shared" si="35"/>
        <v>1021</v>
      </c>
      <c r="J83" s="9">
        <f t="shared" si="36"/>
        <v>1031.0295000000001</v>
      </c>
      <c r="K83" s="10">
        <f t="shared" si="37"/>
        <v>6.3663075416258569E-3</v>
      </c>
    </row>
    <row r="84" spans="2:11" x14ac:dyDescent="0.25">
      <c r="B84" t="str">
        <f t="shared" si="33"/>
        <v>"GLAXO","open":"3,455.00","high":"3,620.00","low":"3,436.20","ltP":"3,560.00","ptsC":"54.30","per":"1.55","trdVol":"0.09","trdVolM":"0.01","ntP":"3.27","mVal":"0.03","wkhi":"3,872.00","wklo":"3,032.05","wkhicm_adj":"3,054.50","wklocm_adj":"2,365.00","xDt":"31-DEC-2999","cAct":"-","yPC":"12.39","mPC":"-4.94"</v>
      </c>
      <c r="C84" s="14" t="s">
        <v>87</v>
      </c>
      <c r="D84" s="6" t="str">
        <f t="shared" si="28"/>
        <v>3,455.00</v>
      </c>
      <c r="E84" s="6" t="str">
        <f t="shared" si="28"/>
        <v>3,620.00</v>
      </c>
      <c r="F84" s="6" t="str">
        <f t="shared" si="28"/>
        <v>3,436.20</v>
      </c>
      <c r="G84" s="6" t="str">
        <f t="shared" si="28"/>
        <v>3,560.00</v>
      </c>
      <c r="H84" s="7" t="str">
        <f t="shared" si="34"/>
        <v xml:space="preserve">   </v>
      </c>
      <c r="I84" s="8" t="str">
        <f t="shared" si="35"/>
        <v xml:space="preserve">   </v>
      </c>
      <c r="J84" s="9" t="str">
        <f t="shared" si="36"/>
        <v xml:space="preserve">   </v>
      </c>
      <c r="K84" s="10" t="str">
        <f t="shared" si="37"/>
        <v xml:space="preserve">   </v>
      </c>
    </row>
    <row r="85" spans="2:11" x14ac:dyDescent="0.25">
      <c r="B85" t="str">
        <f t="shared" si="33"/>
        <v>"GLENMARK","open":"869.80","high":"892.70","low":"868.15","ltP":"876.50","ptsC":"11.35","per":"1.31","trdVol":"7.54","trdVolM":"0.75","ntP":"66.44","mVal":"0.66","wkhi":"1,262.90","wklo":"671.10","wkhicm_adj":"841.00","wklocm_adj":"493.00","xDt":"31-DEC-2999","cAct":"-","yPC":"1.67","mPC":"5.67"</v>
      </c>
      <c r="C85" s="14" t="s">
        <v>88</v>
      </c>
      <c r="D85" s="6" t="str">
        <f t="shared" si="28"/>
        <v>869.80</v>
      </c>
      <c r="E85" s="6" t="str">
        <f t="shared" si="28"/>
        <v>892.70</v>
      </c>
      <c r="F85" s="6" t="str">
        <f t="shared" si="28"/>
        <v>868.15</v>
      </c>
      <c r="G85" s="6" t="str">
        <f t="shared" si="28"/>
        <v>876.50</v>
      </c>
      <c r="H85" s="7" t="str">
        <f t="shared" si="34"/>
        <v xml:space="preserve">   </v>
      </c>
      <c r="I85" s="8" t="str">
        <f t="shared" si="35"/>
        <v xml:space="preserve">   </v>
      </c>
      <c r="J85" s="9" t="str">
        <f t="shared" si="36"/>
        <v xml:space="preserve">   </v>
      </c>
      <c r="K85" s="10" t="str">
        <f t="shared" si="37"/>
        <v xml:space="preserve">   </v>
      </c>
    </row>
    <row r="86" spans="2:11" x14ac:dyDescent="0.25">
      <c r="B86" t="str">
        <f t="shared" si="33"/>
        <v>"GODREJCP","open":"1,475.00","high":"1,530.00","low":"1,475.00","ltP":"1,522.40","ptsC":"37.90","per":"2.55","trdVol":"2.54","trdVolM":"0.25","ntP":"38.28","mVal":"0.38","wkhi":"1,530.00","wklo":"1,037.00","wkhicm_adj":"1,119.00","wklocm_adj":"667.00","xDt":"10-MAY-2016","cAct":"INTERIM DIVIDEND - RS 2.75\/- PER SHARE (PURPOSE REVISED)","yPC":"34.29","mPC":"12.33"</v>
      </c>
      <c r="C86" s="14" t="s">
        <v>89</v>
      </c>
      <c r="D86" s="6" t="str">
        <f t="shared" ref="D86:G105" si="38">MID($B86,FIND(D$9,$B86)+LEN(D$9)+3,FIND(CHAR(34),$B86,FIND(D$9,$B86)+LEN(D$9)+3)-(FIND(D$9,$B86)+LEN(D$9)+3))</f>
        <v>1,475.00</v>
      </c>
      <c r="E86" s="6" t="str">
        <f t="shared" si="38"/>
        <v>1,530.00</v>
      </c>
      <c r="F86" s="6" t="str">
        <f t="shared" si="38"/>
        <v>1,475.00</v>
      </c>
      <c r="G86" s="6" t="str">
        <f t="shared" si="38"/>
        <v>1,522.40</v>
      </c>
      <c r="H86" s="7" t="str">
        <f t="shared" si="34"/>
        <v xml:space="preserve">LONG </v>
      </c>
      <c r="I86" s="8">
        <f t="shared" si="35"/>
        <v>1481</v>
      </c>
      <c r="J86" s="9">
        <f t="shared" si="36"/>
        <v>1467.625</v>
      </c>
      <c r="K86" s="10">
        <f t="shared" si="37"/>
        <v>2.7954085077650299E-2</v>
      </c>
    </row>
    <row r="87" spans="2:11" x14ac:dyDescent="0.25">
      <c r="B87" t="str">
        <f t="shared" si="33"/>
        <v>"GSKCONS","open":"5,791.95","high":"5,950.00","low":"5,746.85","ltP":"5,914.00","ptsC":"121.15","per":"2.09","trdVol":"0.09","trdVolM":"0.01","ntP":"5.25","mVal":"0.05","wkhi":"6,800.00","wklo":"5,405.00","wkhicm_adj":"5,999.00","wklocm_adj":"4,011.00","xDt":"31-DEC-2999","cAct":"-","yPC":"-7.79","mPC":"-0.87"</v>
      </c>
      <c r="C87" s="14" t="s">
        <v>90</v>
      </c>
      <c r="D87" s="6" t="str">
        <f t="shared" si="38"/>
        <v>5,791.95</v>
      </c>
      <c r="E87" s="6" t="str">
        <f t="shared" si="38"/>
        <v>5,950.00</v>
      </c>
      <c r="F87" s="6" t="str">
        <f t="shared" si="38"/>
        <v>5,746.85</v>
      </c>
      <c r="G87" s="6" t="str">
        <f t="shared" si="38"/>
        <v>5,914.00</v>
      </c>
      <c r="H87" s="7" t="str">
        <f t="shared" si="34"/>
        <v xml:space="preserve">   </v>
      </c>
      <c r="I87" s="8" t="str">
        <f t="shared" si="35"/>
        <v xml:space="preserve">   </v>
      </c>
      <c r="J87" s="9" t="str">
        <f t="shared" si="36"/>
        <v xml:space="preserve">   </v>
      </c>
      <c r="K87" s="10" t="str">
        <f t="shared" si="37"/>
        <v xml:space="preserve">   </v>
      </c>
    </row>
    <row r="88" spans="2:11" x14ac:dyDescent="0.25">
      <c r="B88" t="str">
        <f t="shared" si="33"/>
        <v>"HINDPETRO","open":"865.00","high":"953.95","low":"863.00","ltP":"925.30","ptsC":"75.65","per":"8.90","trdVol":"62.99","trdVolM":"6.30","ntP":"577.23","mVal":"5.77","wkhi":"990.95","wklo":"616.00","wkhicm_adj":"627.80","wklocm_adj":"205.05","xDt":"17-MAR-2016","cAct":"INTERIM DIVIDEND - RS 7\/- PER SHARE (PURPOSE REVISED)","yPC":"46.87","mPC":"7.98"</v>
      </c>
      <c r="C88" s="14" t="s">
        <v>69</v>
      </c>
      <c r="D88" s="6" t="str">
        <f t="shared" si="38"/>
        <v>865.00</v>
      </c>
      <c r="E88" s="6" t="str">
        <f t="shared" si="38"/>
        <v>953.95</v>
      </c>
      <c r="F88" s="6" t="str">
        <f t="shared" si="38"/>
        <v>863.00</v>
      </c>
      <c r="G88" s="6" t="str">
        <f t="shared" si="38"/>
        <v>925.30</v>
      </c>
      <c r="H88" s="7" t="str">
        <f t="shared" si="34"/>
        <v xml:space="preserve">   </v>
      </c>
      <c r="I88" s="8" t="str">
        <f t="shared" si="35"/>
        <v xml:space="preserve">   </v>
      </c>
      <c r="J88" s="9" t="str">
        <f t="shared" si="36"/>
        <v xml:space="preserve">   </v>
      </c>
      <c r="K88" s="10" t="str">
        <f t="shared" si="37"/>
        <v xml:space="preserve">   </v>
      </c>
    </row>
    <row r="89" spans="2:11" x14ac:dyDescent="0.25">
      <c r="B89" t="str">
        <f t="shared" si="33"/>
        <v>"HINDZINC","open":"167.10","high":"170.40","low":"165.85","ltP":"168.85","ptsC":"1.90","per":"1.14","trdVol":"11.17","trdVolM":"1.12","ntP":"18.74","mVal":"0.19","wkhi":"196.80","wklo":"117.05","wkhicm_adj":"184.00","wklocm_adj":"114.80","xDt":"31-DEC-2999","cAct":"-","yPC":"-2.54","mPC":"-2.12"</v>
      </c>
      <c r="C89" s="14" t="s">
        <v>91</v>
      </c>
      <c r="D89" s="6" t="str">
        <f t="shared" si="38"/>
        <v>167.10</v>
      </c>
      <c r="E89" s="6" t="str">
        <f t="shared" si="38"/>
        <v>170.40</v>
      </c>
      <c r="F89" s="6" t="str">
        <f t="shared" si="38"/>
        <v>165.85</v>
      </c>
      <c r="G89" s="6" t="str">
        <f t="shared" si="38"/>
        <v>168.85</v>
      </c>
      <c r="H89" s="7" t="str">
        <f t="shared" si="34"/>
        <v xml:space="preserve">   </v>
      </c>
      <c r="I89" s="8" t="str">
        <f t="shared" si="35"/>
        <v xml:space="preserve">   </v>
      </c>
      <c r="J89" s="9" t="str">
        <f t="shared" si="36"/>
        <v xml:space="preserve">   </v>
      </c>
      <c r="K89" s="10" t="str">
        <f t="shared" si="37"/>
        <v xml:space="preserve">   </v>
      </c>
    </row>
    <row r="90" spans="2:11" x14ac:dyDescent="0.25">
      <c r="B90" t="str">
        <f t="shared" si="33"/>
        <v>"IBULHSGFIN","open":"719.90","high":"759.20","low":"715.25","ltP":"745.00","ptsC":"26.05","per":"3.62","trdVol":"20.67","trdVolM":"2.07","ntP":"153.87","mVal":"1.54","wkhi":"820.85","wklo":"541.50","wkhicm_adj":"484.95","wklocm_adj":"187.05","xDt":"18-MAR-2016","cAct":"INTERIM DIVIDEND - RS 9\/- PER SHARE","yPC":"26.08","mPC":"9.54"</v>
      </c>
      <c r="C90" s="14" t="s">
        <v>92</v>
      </c>
      <c r="D90" s="6" t="str">
        <f t="shared" si="38"/>
        <v>719.90</v>
      </c>
      <c r="E90" s="6" t="str">
        <f t="shared" si="38"/>
        <v>759.20</v>
      </c>
      <c r="F90" s="6" t="str">
        <f t="shared" si="38"/>
        <v>715.25</v>
      </c>
      <c r="G90" s="6" t="str">
        <f t="shared" si="38"/>
        <v>745.00</v>
      </c>
      <c r="H90" s="7" t="str">
        <f t="shared" si="34"/>
        <v xml:space="preserve">   </v>
      </c>
      <c r="I90" s="8" t="str">
        <f t="shared" si="35"/>
        <v xml:space="preserve">   </v>
      </c>
      <c r="J90" s="9" t="str">
        <f t="shared" si="36"/>
        <v xml:space="preserve">   </v>
      </c>
      <c r="K90" s="10" t="str">
        <f t="shared" si="37"/>
        <v xml:space="preserve">   </v>
      </c>
    </row>
    <row r="91" spans="2:11" x14ac:dyDescent="0.25">
      <c r="B91" t="str">
        <f t="shared" si="33"/>
        <v>"IOC","open":"408.00","high":"435.90","low":"405.35","ltP":"407.00","ptsC":"4.85","per":"1.21","trdVol":"81.22","trdVolM":"8.12","ntP":"342.59","mVal":"3.43","wkhi":"465.90","wklo":"336.20","wkhicm_adj":"411.20","wklocm_adj":"193.75","xDt":"31-DEC-2999","cAct":"-","yPC":"13.48","mPC":"-6.25"</v>
      </c>
      <c r="C91" s="14" t="s">
        <v>93</v>
      </c>
      <c r="D91" s="6" t="str">
        <f t="shared" si="38"/>
        <v>408.00</v>
      </c>
      <c r="E91" s="6" t="str">
        <f t="shared" si="38"/>
        <v>435.90</v>
      </c>
      <c r="F91" s="6" t="str">
        <f t="shared" si="38"/>
        <v>405.35</v>
      </c>
      <c r="G91" s="6" t="str">
        <f t="shared" si="38"/>
        <v>407.00</v>
      </c>
      <c r="H91" s="7" t="str">
        <f t="shared" si="34"/>
        <v xml:space="preserve">   </v>
      </c>
      <c r="I91" s="8" t="str">
        <f t="shared" si="35"/>
        <v xml:space="preserve">   </v>
      </c>
      <c r="J91" s="9" t="str">
        <f t="shared" si="36"/>
        <v xml:space="preserve">   </v>
      </c>
      <c r="K91" s="10" t="str">
        <f t="shared" si="37"/>
        <v xml:space="preserve">   </v>
      </c>
    </row>
    <row r="92" spans="2:11" x14ac:dyDescent="0.25">
      <c r="B92" t="str">
        <f t="shared" si="33"/>
        <v>"JSWSTEEL","open":"1,323.00","high":"1,380.00","low":"1,313.10","ltP":"1,372.50","ptsC":"53.55","per":"4.06","trdVol":"8.75","trdVolM":"0.88","ntP":"118.05","mVal":"1.18","wkhi":"1,380.00","wklo":"800.00","wkhicm_adj":"1,366.50","wklocm_adj":"804.00","xDt":"31-DEC-2999","cAct":"-","yPC":"49.19","mPC":"0.33"</v>
      </c>
      <c r="C92" s="14" t="s">
        <v>94</v>
      </c>
      <c r="D92" s="6" t="str">
        <f t="shared" si="38"/>
        <v>1,323.00</v>
      </c>
      <c r="E92" s="6" t="str">
        <f t="shared" si="38"/>
        <v>1,380.00</v>
      </c>
      <c r="F92" s="6" t="str">
        <f t="shared" si="38"/>
        <v>1,313.10</v>
      </c>
      <c r="G92" s="6" t="str">
        <f t="shared" si="38"/>
        <v>1,372.50</v>
      </c>
      <c r="H92" s="7" t="str">
        <f t="shared" si="34"/>
        <v xml:space="preserve">   </v>
      </c>
      <c r="I92" s="8" t="str">
        <f t="shared" si="35"/>
        <v xml:space="preserve">   </v>
      </c>
      <c r="J92" s="9" t="str">
        <f t="shared" si="36"/>
        <v xml:space="preserve">   </v>
      </c>
      <c r="K92" s="10" t="str">
        <f t="shared" si="37"/>
        <v xml:space="preserve">   </v>
      </c>
    </row>
    <row r="93" spans="2:11" x14ac:dyDescent="0.25">
      <c r="B93" t="str">
        <f t="shared" si="33"/>
        <v>"LICHSGFIN","open":"459.40","high":"465.00","low":"453.60","ltP":"461.15","ptsC":"3.75","per":"0.82","trdVol":"27.78","trdVolM":"2.78","ntP":"128.14","mVal":"1.28","wkhi":"523.95","wklo":"388.65","wkhicm_adj":"429.50","wklocm_adj":"187.05","xDt":"31-DEC-2999","cAct":"-","yPC":"11.42","mPC":"0.03"</v>
      </c>
      <c r="C93" s="14" t="s">
        <v>95</v>
      </c>
      <c r="D93" s="6" t="str">
        <f t="shared" si="38"/>
        <v>459.40</v>
      </c>
      <c r="E93" s="6" t="str">
        <f t="shared" si="38"/>
        <v>465.00</v>
      </c>
      <c r="F93" s="6" t="str">
        <f t="shared" si="38"/>
        <v>453.60</v>
      </c>
      <c r="G93" s="6" t="str">
        <f t="shared" si="38"/>
        <v>461.15</v>
      </c>
      <c r="H93" s="7" t="str">
        <f t="shared" si="34"/>
        <v xml:space="preserve">   </v>
      </c>
      <c r="I93" s="8" t="str">
        <f t="shared" si="35"/>
        <v xml:space="preserve">   </v>
      </c>
      <c r="J93" s="9" t="str">
        <f t="shared" si="36"/>
        <v xml:space="preserve">   </v>
      </c>
      <c r="K93" s="10" t="str">
        <f t="shared" si="37"/>
        <v xml:space="preserve">   </v>
      </c>
    </row>
    <row r="94" spans="2:11" x14ac:dyDescent="0.25">
      <c r="B94" t="str">
        <f t="shared" si="33"/>
        <v>"MARICO","open":"253.00","high":"258.40","low":"252.50","ltP":"257.50","ptsC":"3.75","per":"1.48","trdVol":"8.72","trdVolM":"0.87","ntP":"22.34","mVal":"0.22","wkhi":"269.25","wklo":"189.30","wkhicm_adj":"350.20","wklocm_adj":"200.05","xDt":"17-MAR-2016","cAct":"INTERIM DIVIDEND - RE 1\/- PER SHARE (PURPOSE REVISED)","yPC":"-37.39","mPC":"2.37"</v>
      </c>
      <c r="C94" s="14" t="s">
        <v>96</v>
      </c>
      <c r="D94" s="6" t="str">
        <f t="shared" si="38"/>
        <v>253.00</v>
      </c>
      <c r="E94" s="6" t="str">
        <f t="shared" si="38"/>
        <v>258.40</v>
      </c>
      <c r="F94" s="6" t="str">
        <f t="shared" si="38"/>
        <v>252.50</v>
      </c>
      <c r="G94" s="6" t="str">
        <f t="shared" si="38"/>
        <v>257.50</v>
      </c>
      <c r="H94" s="7" t="str">
        <f t="shared" si="34"/>
        <v xml:space="preserve">   </v>
      </c>
      <c r="I94" s="8" t="str">
        <f t="shared" si="35"/>
        <v xml:space="preserve">   </v>
      </c>
      <c r="J94" s="9" t="str">
        <f t="shared" si="36"/>
        <v xml:space="preserve">   </v>
      </c>
      <c r="K94" s="10" t="str">
        <f t="shared" si="37"/>
        <v xml:space="preserve">   </v>
      </c>
    </row>
    <row r="95" spans="2:11" x14ac:dyDescent="0.25">
      <c r="B95" t="str">
        <f t="shared" si="33"/>
        <v>"MCDOWELL-N","open":"2,435.00","high":"2,524.10","low":"2,365.00","ltP":"2,488.00","ptsC":"23.35","per":"0.95","trdVol":"8.43","trdVolM":"0.84","ntP":"206.78","mVal":"2.07","wkhi":"3,837.90","wklo":"2,225.45","wkhicm_adj":"2,940.80","wklocm_adj":"2,225.00","xDt":"31-DEC-2999","cAct":"-","yPC":"-28.93","mPC":"3.46"</v>
      </c>
      <c r="C95" s="14" t="s">
        <v>97</v>
      </c>
      <c r="D95" s="6" t="str">
        <f t="shared" si="38"/>
        <v>2,435.00</v>
      </c>
      <c r="E95" s="6" t="str">
        <f t="shared" si="38"/>
        <v>2,524.10</v>
      </c>
      <c r="F95" s="6" t="str">
        <f t="shared" si="38"/>
        <v>2,365.00</v>
      </c>
      <c r="G95" s="6" t="str">
        <f t="shared" si="38"/>
        <v>2,488.00</v>
      </c>
      <c r="H95" s="7" t="str">
        <f t="shared" si="34"/>
        <v xml:space="preserve">   </v>
      </c>
      <c r="I95" s="8" t="str">
        <f t="shared" si="35"/>
        <v xml:space="preserve">   </v>
      </c>
      <c r="J95" s="9" t="str">
        <f t="shared" si="36"/>
        <v xml:space="preserve">   </v>
      </c>
      <c r="K95" s="10" t="str">
        <f t="shared" si="37"/>
        <v xml:space="preserve">   </v>
      </c>
    </row>
    <row r="96" spans="2:11" x14ac:dyDescent="0.25">
      <c r="B96" t="str">
        <f t="shared" si="33"/>
        <v>"MOTHERSUMI","open":"276.10","high":"280.30","low":"274.85","ltP":"279.50","ptsC":"5.90","per":"2.16","trdVol":"29.54","trdVolM":"2.95","ntP":"82.31","mVal":"0.82","wkhi":"396.00","wklo":"205.90","wkhicm_adj":"450.70","wklocm_adj":"178.25","xDt":"22-MAR-2016","cAct":"INTERIM DIVIDEND - RS 2.50\/- PER SHARE (PURPOSE REVISED)","yPC":"-41.00","mPC":"6.09"</v>
      </c>
      <c r="C96" s="14" t="s">
        <v>98</v>
      </c>
      <c r="D96" s="6" t="str">
        <f t="shared" si="38"/>
        <v>276.10</v>
      </c>
      <c r="E96" s="6" t="str">
        <f t="shared" si="38"/>
        <v>280.30</v>
      </c>
      <c r="F96" s="6" t="str">
        <f t="shared" si="38"/>
        <v>274.85</v>
      </c>
      <c r="G96" s="6" t="str">
        <f t="shared" si="38"/>
        <v>279.50</v>
      </c>
      <c r="H96" s="7" t="str">
        <f t="shared" si="34"/>
        <v xml:space="preserve">   </v>
      </c>
      <c r="I96" s="8" t="str">
        <f t="shared" si="35"/>
        <v xml:space="preserve">   </v>
      </c>
      <c r="J96" s="9" t="str">
        <f t="shared" si="36"/>
        <v xml:space="preserve">   </v>
      </c>
      <c r="K96" s="10" t="str">
        <f t="shared" si="37"/>
        <v xml:space="preserve">   </v>
      </c>
    </row>
    <row r="97" spans="2:11" x14ac:dyDescent="0.25">
      <c r="B97" t="str">
        <f t="shared" si="33"/>
        <v>"NHPC","open":"22.45","high":"23.20","low":"22.45","ltP":"23.15","ptsC":"0.50","per":"2.21","trdVol":"79.03","trdVolM":"7.90","ntP":"18.13","mVal":"0.18","wkhi":"24.45","wklo":"15.55","wkhicm_adj":"29.60","wklocm_adj":"17.35","xDt":"31-DEC-2999","cAct":"-","yPC":"18.72","mPC":"0.22"</v>
      </c>
      <c r="C97" s="14" t="s">
        <v>99</v>
      </c>
      <c r="D97" s="6" t="str">
        <f t="shared" si="38"/>
        <v>22.45</v>
      </c>
      <c r="E97" s="6" t="str">
        <f t="shared" si="38"/>
        <v>23.20</v>
      </c>
      <c r="F97" s="6" t="str">
        <f t="shared" si="38"/>
        <v>22.45</v>
      </c>
      <c r="G97" s="6" t="str">
        <f t="shared" si="38"/>
        <v>23.15</v>
      </c>
      <c r="H97" s="7" t="str">
        <f t="shared" si="34"/>
        <v xml:space="preserve">LONG </v>
      </c>
      <c r="I97" s="8">
        <f t="shared" si="35"/>
        <v>23</v>
      </c>
      <c r="J97" s="9">
        <f t="shared" si="36"/>
        <v>22.33775</v>
      </c>
      <c r="K97" s="10">
        <f t="shared" si="37"/>
        <v>6.5217391304347207E-3</v>
      </c>
    </row>
    <row r="98" spans="2:11" x14ac:dyDescent="0.25">
      <c r="B98" t="str">
        <f t="shared" si="33"/>
        <v>"NMDC","open":"91.70","high":"93.20","low":"91.45","ltP":"92.60","ptsC":"1.20","per":"1.31","trdVol":"13.94","trdVolM":"1.39","ntP":"12.88","mVal":"0.13","wkhi":"133.50","wklo":"75.15","wkhicm_adj":"196.00","wklocm_adj":"123.10","xDt":"30-MAR-2016","cAct":"INTERIM DIVIDEND - RS 1.50\/- PER SHARE (PURPOSE REVISED)","yPC":"-30.09","mPC":"-5.46"</v>
      </c>
      <c r="C98" s="14" t="s">
        <v>60</v>
      </c>
      <c r="D98" s="6" t="str">
        <f t="shared" si="38"/>
        <v>91.70</v>
      </c>
      <c r="E98" s="6" t="str">
        <f t="shared" si="38"/>
        <v>93.20</v>
      </c>
      <c r="F98" s="6" t="str">
        <f t="shared" si="38"/>
        <v>91.45</v>
      </c>
      <c r="G98" s="6" t="str">
        <f t="shared" si="38"/>
        <v>92.60</v>
      </c>
      <c r="H98" s="7" t="str">
        <f t="shared" si="34"/>
        <v xml:space="preserve">   </v>
      </c>
      <c r="I98" s="8" t="str">
        <f t="shared" si="35"/>
        <v xml:space="preserve">   </v>
      </c>
      <c r="J98" s="9" t="str">
        <f t="shared" si="36"/>
        <v xml:space="preserve">   </v>
      </c>
      <c r="K98" s="10" t="str">
        <f t="shared" si="37"/>
        <v xml:space="preserve">   </v>
      </c>
    </row>
    <row r="99" spans="2:11" x14ac:dyDescent="0.25">
      <c r="B99" t="str">
        <f t="shared" si="33"/>
        <v>"OFSS","open":"3,465.00","high":"3,498.00","low":"3,450.00","ltP":"3,478.50","ptsC":"12.85","per":"0.37","trdVol":"0.43","trdVolM":"0.04","ntP":"14.82","mVal":"0.15","wkhi":"4,444.00","wklo":"3,100.00","wkhicm_adj":"4,180.00","wklocm_adj":"2,770.00","xDt":"31-DEC-2999","cAct":"-","yPC":"-3.20","mPC":"-2.06"</v>
      </c>
      <c r="C99" s="14" t="s">
        <v>100</v>
      </c>
      <c r="D99" s="6" t="str">
        <f t="shared" si="38"/>
        <v>3,465.00</v>
      </c>
      <c r="E99" s="6" t="str">
        <f t="shared" si="38"/>
        <v>3,498.00</v>
      </c>
      <c r="F99" s="6" t="str">
        <f t="shared" si="38"/>
        <v>3,450.00</v>
      </c>
      <c r="G99" s="6" t="str">
        <f t="shared" si="38"/>
        <v>3,478.50</v>
      </c>
      <c r="H99" s="7" t="str">
        <f t="shared" si="34"/>
        <v xml:space="preserve">   </v>
      </c>
      <c r="I99" s="8" t="str">
        <f t="shared" si="35"/>
        <v xml:space="preserve">   </v>
      </c>
      <c r="J99" s="9" t="str">
        <f t="shared" si="36"/>
        <v xml:space="preserve">   </v>
      </c>
      <c r="K99" s="10" t="str">
        <f t="shared" si="37"/>
        <v xml:space="preserve">   </v>
      </c>
    </row>
    <row r="100" spans="2:11" x14ac:dyDescent="0.25">
      <c r="B100" t="str">
        <f t="shared" si="33"/>
        <v>"OIL","open":"348.25","high":"354.40","low":"346.00","ltP":"346.80","ptsC":"-0.90","per":"-0.26","trdVol":"4.23","trdVolM":"0.42","ntP":"14.84","mVal":"0.15","wkhi":"487.55","wklo":"300.35","wkhicm_adj":"669.95","wklocm_adj":"438.00","xDt":"31-DEC-2999","cAct":"-","yPC":"-26.82","mPC":"8.75"</v>
      </c>
      <c r="C100" s="14" t="s">
        <v>101</v>
      </c>
      <c r="D100" s="6" t="str">
        <f t="shared" si="38"/>
        <v>348.25</v>
      </c>
      <c r="E100" s="6" t="str">
        <f t="shared" si="38"/>
        <v>354.40</v>
      </c>
      <c r="F100" s="6" t="str">
        <f t="shared" si="38"/>
        <v>346.00</v>
      </c>
      <c r="G100" s="6" t="str">
        <f t="shared" si="38"/>
        <v>346.80</v>
      </c>
      <c r="H100" s="7" t="str">
        <f t="shared" si="34"/>
        <v xml:space="preserve">   </v>
      </c>
      <c r="I100" s="8" t="str">
        <f t="shared" si="35"/>
        <v xml:space="preserve">   </v>
      </c>
      <c r="J100" s="9" t="str">
        <f t="shared" si="36"/>
        <v xml:space="preserve">   </v>
      </c>
      <c r="K100" s="10" t="str">
        <f t="shared" si="37"/>
        <v xml:space="preserve">   </v>
      </c>
    </row>
    <row r="101" spans="2:11" x14ac:dyDescent="0.25">
      <c r="B101" t="str">
        <f t="shared" si="33"/>
        <v>"PFC","open":"167.50","high":"170.00","low":"165.20","ltP":"166.90","ptsC":"-0.45","per":"-0.27","trdVol":"14.90","trdVolM":"1.49","ntP":"24.89","mVal":"0.25","wkhi":"283.40","wklo":"140.25","wkhicm_adj":"344.75","wklocm_adj":"128.75","xDt":"31-DEC-2999","cAct":"-","yPC":"-39.80","mPC":"-8.30"</v>
      </c>
      <c r="C101" s="14" t="s">
        <v>102</v>
      </c>
      <c r="D101" s="6" t="str">
        <f t="shared" si="38"/>
        <v>167.50</v>
      </c>
      <c r="E101" s="6" t="str">
        <f t="shared" si="38"/>
        <v>170.00</v>
      </c>
      <c r="F101" s="6" t="str">
        <f t="shared" si="38"/>
        <v>165.20</v>
      </c>
      <c r="G101" s="6" t="str">
        <f t="shared" si="38"/>
        <v>166.90</v>
      </c>
      <c r="H101" s="7" t="str">
        <f t="shared" si="34"/>
        <v xml:space="preserve">   </v>
      </c>
      <c r="I101" s="8" t="str">
        <f t="shared" si="35"/>
        <v xml:space="preserve">   </v>
      </c>
      <c r="J101" s="9" t="str">
        <f t="shared" si="36"/>
        <v xml:space="preserve">   </v>
      </c>
      <c r="K101" s="10" t="str">
        <f t="shared" si="37"/>
        <v xml:space="preserve">   </v>
      </c>
    </row>
    <row r="102" spans="2:11" x14ac:dyDescent="0.25">
      <c r="B102" t="str">
        <f t="shared" si="33"/>
        <v>"PGHH","open":"6,301.00","high":"6,338.90","low":"6,250.00","ltP":"6,280.00","ptsC":"-21.20","per":"-0.34","trdVol":"0.01","trdVolM":"0.00","ntP":"0.75","mVal":"0.01","wkhi":"6,995.00","wklo":"5,178.65","wkhicm_adj":"5,949.00","wklocm_adj":"2,752.00","xDt":"31-DEC-2999","cAct":"-","yPC":"-3.92","mPC":"-2.31"</v>
      </c>
      <c r="C102" s="14" t="s">
        <v>103</v>
      </c>
      <c r="D102" s="6" t="str">
        <f t="shared" si="38"/>
        <v>6,301.00</v>
      </c>
      <c r="E102" s="6" t="str">
        <f t="shared" si="38"/>
        <v>6,338.90</v>
      </c>
      <c r="F102" s="6" t="str">
        <f t="shared" si="38"/>
        <v>6,250.00</v>
      </c>
      <c r="G102" s="6" t="str">
        <f t="shared" si="38"/>
        <v>6,280.00</v>
      </c>
      <c r="H102" s="7" t="str">
        <f t="shared" si="34"/>
        <v xml:space="preserve">   </v>
      </c>
      <c r="I102" s="8" t="str">
        <f t="shared" si="35"/>
        <v xml:space="preserve">   </v>
      </c>
      <c r="J102" s="9" t="str">
        <f t="shared" si="36"/>
        <v xml:space="preserve">   </v>
      </c>
      <c r="K102" s="10" t="str">
        <f t="shared" si="37"/>
        <v xml:space="preserve">   </v>
      </c>
    </row>
    <row r="103" spans="2:11" x14ac:dyDescent="0.25">
      <c r="B103" t="str">
        <f t="shared" si="33"/>
        <v>"PIDILITIND","open":"681.50","high":"709.00","low":"680.00","ltP":"693.00","ptsC":"12.35","per":"1.81","trdVol":"8.32","trdVolM":"0.83","ntP":"57.93","mVal":"0.58","wkhi":"709.00","wklo":"507.30","wkhicm_adj":"505.90","wklocm_adj":"269.60","xDt":"18-MAR-2016","cAct":"INTERIM DIVIDEND - RS 3.65\/- PER SHARE (PURPOSE REVISED)","yPC":"25.94","mPC":"14.38"</v>
      </c>
      <c r="C103" s="14" t="s">
        <v>104</v>
      </c>
      <c r="D103" s="6" t="str">
        <f t="shared" si="38"/>
        <v>681.50</v>
      </c>
      <c r="E103" s="6" t="str">
        <f t="shared" si="38"/>
        <v>709.00</v>
      </c>
      <c r="F103" s="6" t="str">
        <f t="shared" si="38"/>
        <v>680.00</v>
      </c>
      <c r="G103" s="6" t="str">
        <f t="shared" si="38"/>
        <v>693.00</v>
      </c>
      <c r="H103" s="7" t="str">
        <f t="shared" si="34"/>
        <v xml:space="preserve">   </v>
      </c>
      <c r="I103" s="8" t="str">
        <f t="shared" si="35"/>
        <v xml:space="preserve">   </v>
      </c>
      <c r="J103" s="9" t="str">
        <f t="shared" si="36"/>
        <v xml:space="preserve">   </v>
      </c>
      <c r="K103" s="10" t="str">
        <f t="shared" si="37"/>
        <v xml:space="preserve">   </v>
      </c>
    </row>
    <row r="104" spans="2:11" x14ac:dyDescent="0.25">
      <c r="B104" t="str">
        <f t="shared" si="33"/>
        <v>"PNB","open":"75.30","high":"77.70","low":"74.80","ltP":"77.45","ptsC":"2.90","per":"3.89","trdVol":"86.06","trdVolM":"8.61","ntP":"65.24","mVal":"0.65","wkhi":"180.55","wklo":"69.25","wkhicm_adj":"1,096.50","wklocm_adj":"509.15","xDt":"31-DEC-2999","cAct":"-","yPC":"-49.46","mPC":"-14.09"</v>
      </c>
      <c r="C104" s="14" t="s">
        <v>44</v>
      </c>
      <c r="D104" s="6" t="str">
        <f t="shared" si="38"/>
        <v>75.30</v>
      </c>
      <c r="E104" s="6" t="str">
        <f t="shared" si="38"/>
        <v>77.70</v>
      </c>
      <c r="F104" s="6" t="str">
        <f t="shared" si="38"/>
        <v>74.80</v>
      </c>
      <c r="G104" s="6" t="str">
        <f t="shared" si="38"/>
        <v>77.45</v>
      </c>
      <c r="H104" s="7" t="str">
        <f t="shared" si="34"/>
        <v xml:space="preserve">   </v>
      </c>
      <c r="I104" s="8" t="str">
        <f t="shared" si="35"/>
        <v xml:space="preserve">   </v>
      </c>
      <c r="J104" s="9" t="str">
        <f t="shared" si="36"/>
        <v xml:space="preserve">   </v>
      </c>
      <c r="K104" s="10" t="str">
        <f t="shared" si="37"/>
        <v xml:space="preserve">   </v>
      </c>
    </row>
    <row r="105" spans="2:11" x14ac:dyDescent="0.25">
      <c r="B105" t="str">
        <f t="shared" si="33"/>
        <v>"RCOM","open":"47.70","high":"50.40","low":"47.65","ltP":"49.10","ptsC":"1.60","per":"3.37","trdVol":"204.61","trdVolM":"20.46","ntP":"100.75","mVal":"1.01","wkhi":"91.75","wklo":"45.50","wkhicm_adj":"157.25","wklocm_adj":"93.05","xDt":"31-DEC-2999","cAct":"-","yPC":"-22.06","mPC":"-14.68"</v>
      </c>
      <c r="C105" s="14" t="s">
        <v>105</v>
      </c>
      <c r="D105" s="6" t="str">
        <f t="shared" si="38"/>
        <v>47.70</v>
      </c>
      <c r="E105" s="6" t="str">
        <f t="shared" si="38"/>
        <v>50.40</v>
      </c>
      <c r="F105" s="6" t="str">
        <f t="shared" si="38"/>
        <v>47.65</v>
      </c>
      <c r="G105" s="6" t="str">
        <f t="shared" si="38"/>
        <v>49.10</v>
      </c>
      <c r="H105" s="7" t="str">
        <f t="shared" si="34"/>
        <v xml:space="preserve">   </v>
      </c>
      <c r="I105" s="8" t="str">
        <f t="shared" si="35"/>
        <v xml:space="preserve">   </v>
      </c>
      <c r="J105" s="9" t="str">
        <f t="shared" si="36"/>
        <v xml:space="preserve">   </v>
      </c>
      <c r="K105" s="10" t="str">
        <f t="shared" si="37"/>
        <v xml:space="preserve">   </v>
      </c>
    </row>
    <row r="106" spans="2:11" x14ac:dyDescent="0.25">
      <c r="B106" t="str">
        <f t="shared" si="33"/>
        <v>"RECLTD","open":"156.00","high":"158.35","low":"154.75","ltP":"156.50","ptsC":"1.45","per":"0.94","trdVol":"57.94","trdVolM":"5.79","ntP":"90.43","mVal":"0.90","wkhi":"304.90","wklo":"152.25","wkhicm_adj":"383.40","wklocm_adj":"166.50","xDt":"31-DEC-2999","cAct":"-","yPC":"-48.11","mPC":"-14.71"</v>
      </c>
      <c r="C106" s="14" t="s">
        <v>106</v>
      </c>
      <c r="D106" s="6" t="str">
        <f t="shared" ref="D106:G115" si="39">MID($B106,FIND(D$9,$B106)+LEN(D$9)+3,FIND(CHAR(34),$B106,FIND(D$9,$B106)+LEN(D$9)+3)-(FIND(D$9,$B106)+LEN(D$9)+3))</f>
        <v>156.00</v>
      </c>
      <c r="E106" s="6" t="str">
        <f t="shared" si="39"/>
        <v>158.35</v>
      </c>
      <c r="F106" s="6" t="str">
        <f t="shared" si="39"/>
        <v>154.75</v>
      </c>
      <c r="G106" s="6" t="str">
        <f t="shared" si="39"/>
        <v>156.50</v>
      </c>
      <c r="H106" s="7" t="str">
        <f t="shared" si="34"/>
        <v xml:space="preserve">   </v>
      </c>
      <c r="I106" s="8" t="str">
        <f t="shared" si="35"/>
        <v xml:space="preserve">   </v>
      </c>
      <c r="J106" s="9" t="str">
        <f t="shared" si="36"/>
        <v xml:space="preserve">   </v>
      </c>
      <c r="K106" s="10" t="str">
        <f t="shared" si="37"/>
        <v xml:space="preserve">   </v>
      </c>
    </row>
    <row r="107" spans="2:11" x14ac:dyDescent="0.25">
      <c r="B107" t="str">
        <f t="shared" si="33"/>
        <v>"SAIL","open":"40.70","high":"43.15","low":"40.70","ltP":"42.75","ptsC":"2.05","per":"5.04","trdVol":"58.26","trdVolM":"5.83","ntP":"24.52","mVal":"0.25","wkhi":"67.30","wklo":"33.50","wkhicm_adj":"112.95","wklocm_adj":"54.05","xDt":"31-DEC-2999","cAct":"-","yPC":"-35.52","mPC":"-7.47"</v>
      </c>
      <c r="C107" s="14" t="s">
        <v>107</v>
      </c>
      <c r="D107" s="6" t="str">
        <f t="shared" si="39"/>
        <v>40.70</v>
      </c>
      <c r="E107" s="6" t="str">
        <f t="shared" si="39"/>
        <v>43.15</v>
      </c>
      <c r="F107" s="6" t="str">
        <f t="shared" si="39"/>
        <v>40.70</v>
      </c>
      <c r="G107" s="6" t="str">
        <f t="shared" si="39"/>
        <v>42.75</v>
      </c>
      <c r="H107" s="7" t="str">
        <f t="shared" si="34"/>
        <v xml:space="preserve">LONG </v>
      </c>
      <c r="I107" s="8">
        <f t="shared" si="35"/>
        <v>42</v>
      </c>
      <c r="J107" s="9">
        <f t="shared" si="36"/>
        <v>40.496500000000005</v>
      </c>
      <c r="K107" s="10">
        <f t="shared" si="37"/>
        <v>1.7857142857142856E-2</v>
      </c>
    </row>
    <row r="108" spans="2:11" x14ac:dyDescent="0.25">
      <c r="B108" t="str">
        <f t="shared" si="33"/>
        <v>"SHREECEM","open":"13,178.00","high":"13,300.00","low":"12,915.00","ltP":"13,100.05","ptsC":"153.40","per":"1.18","trdVol":"0.14","trdVolM":"0.01","ntP":"17.83","mVal":"0.18","wkhi":"13,888.00","wklo":"9,399.95","wkhicm_adj":"9,297.70","wklocm_adj":"4,100.10","xDt":"17-MAR-2016","cAct":"INTERIM DIVIDEND - RS 12\/- PER SHARE (PUPOSE REVISED)","yPC":"14.65","mPC":"4.49"</v>
      </c>
      <c r="C108" s="14" t="s">
        <v>108</v>
      </c>
      <c r="D108" s="6" t="str">
        <f t="shared" si="39"/>
        <v>13,178.00</v>
      </c>
      <c r="E108" s="6" t="str">
        <f t="shared" si="39"/>
        <v>13,300.00</v>
      </c>
      <c r="F108" s="6" t="str">
        <f t="shared" si="39"/>
        <v>12,915.00</v>
      </c>
      <c r="G108" s="6" t="str">
        <f t="shared" si="39"/>
        <v>13,100.05</v>
      </c>
      <c r="H108" s="7" t="str">
        <f t="shared" si="34"/>
        <v xml:space="preserve">   </v>
      </c>
      <c r="I108" s="8" t="str">
        <f t="shared" si="35"/>
        <v xml:space="preserve">   </v>
      </c>
      <c r="J108" s="9" t="str">
        <f t="shared" si="36"/>
        <v xml:space="preserve">   </v>
      </c>
      <c r="K108" s="10" t="str">
        <f t="shared" si="37"/>
        <v xml:space="preserve">   </v>
      </c>
    </row>
    <row r="109" spans="2:11" x14ac:dyDescent="0.25">
      <c r="B109" t="str">
        <f t="shared" si="33"/>
        <v>"SIEMENS","open":"1,191.00","high":"1,220.95","low":"1,190.00","ltP":"1,199.80","ptsC":"13.65","per":"1.15","trdVol":"2.76","trdVolM":"0.28","ntP":"33.32","mVal":"0.33","wkhi":"1,559.70","wklo":"968.60","wkhicm_adj":"1,010.00","wklocm_adj":"513.00","xDt":"31-DEC-2999","cAct":"-","yPC":"-11.88","mPC":"2.12"</v>
      </c>
      <c r="C109" s="14" t="s">
        <v>109</v>
      </c>
      <c r="D109" s="6" t="str">
        <f t="shared" si="39"/>
        <v>1,191.00</v>
      </c>
      <c r="E109" s="6" t="str">
        <f t="shared" si="39"/>
        <v>1,220.95</v>
      </c>
      <c r="F109" s="6" t="str">
        <f t="shared" si="39"/>
        <v>1,190.00</v>
      </c>
      <c r="G109" s="6" t="str">
        <f t="shared" si="39"/>
        <v>1,199.80</v>
      </c>
      <c r="H109" s="7" t="str">
        <f t="shared" si="34"/>
        <v xml:space="preserve">   </v>
      </c>
      <c r="I109" s="8" t="str">
        <f t="shared" si="35"/>
        <v xml:space="preserve">   </v>
      </c>
      <c r="J109" s="9" t="str">
        <f t="shared" si="36"/>
        <v xml:space="preserve">   </v>
      </c>
      <c r="K109" s="10" t="str">
        <f t="shared" si="37"/>
        <v xml:space="preserve">   </v>
      </c>
    </row>
    <row r="110" spans="2:11" x14ac:dyDescent="0.25">
      <c r="B110" t="str">
        <f t="shared" si="33"/>
        <v>"SRTRANSFIN","open":"1,195.00","high":"1,219.80","low":"1,172.50","ltP":"1,192.00","ptsC":"-4.60","per":"-0.38","trdVol":"7.46","trdVolM":"0.75","ntP":"89.26","mVal":"0.89","wkhi":"1,219.80","wklo":"736.95","wkhicm_adj":"1,139.00","wklocm_adj":"548.70","xDt":"31-DEC-2999","cAct":"-","yPC":"42.88","mPC":"20.60"</v>
      </c>
      <c r="C110" s="14" t="s">
        <v>110</v>
      </c>
      <c r="D110" s="6" t="str">
        <f t="shared" si="39"/>
        <v>1,195.00</v>
      </c>
      <c r="E110" s="6" t="str">
        <f t="shared" si="39"/>
        <v>1,219.80</v>
      </c>
      <c r="F110" s="6" t="str">
        <f t="shared" si="39"/>
        <v>1,172.50</v>
      </c>
      <c r="G110" s="6" t="str">
        <f t="shared" si="39"/>
        <v>1,192.00</v>
      </c>
      <c r="H110" s="7" t="str">
        <f t="shared" si="34"/>
        <v xml:space="preserve">   </v>
      </c>
      <c r="I110" s="8" t="str">
        <f t="shared" si="35"/>
        <v xml:space="preserve">   </v>
      </c>
      <c r="J110" s="9" t="str">
        <f t="shared" si="36"/>
        <v xml:space="preserve">   </v>
      </c>
      <c r="K110" s="10" t="str">
        <f t="shared" si="37"/>
        <v xml:space="preserve">   </v>
      </c>
    </row>
    <row r="111" spans="2:11" x14ac:dyDescent="0.25">
      <c r="B111" t="str">
        <f t="shared" si="33"/>
        <v>"TITAN","open":"363.90","high":"363.90","low":"359.10","ltP":"359.10","ptsC":"-2.80","per":"-0.77","trdVol":"8.05","trdVolM":"0.80","ntP":"29.07","mVal":"0.29","wkhi":"392.40","wklo":"301.70","wkhicm_adj":"425.00","wklocm_adj":"202.45","xDt":"22-MAR-2016","cAct":"INTERIM DIVIDEND - RS 2.20\/- PER SHARE (PURPOSE REVISED)","yPC":"-3.52","mPC":"-3.43"</v>
      </c>
      <c r="C111" s="14" t="s">
        <v>111</v>
      </c>
      <c r="D111" s="6" t="str">
        <f t="shared" si="39"/>
        <v>363.90</v>
      </c>
      <c r="E111" s="6" t="str">
        <f t="shared" si="39"/>
        <v>363.90</v>
      </c>
      <c r="F111" s="6" t="str">
        <f t="shared" si="39"/>
        <v>359.10</v>
      </c>
      <c r="G111" s="6" t="str">
        <f t="shared" si="39"/>
        <v>359.10</v>
      </c>
      <c r="H111" s="7" t="str">
        <f t="shared" si="34"/>
        <v xml:space="preserve">SHORT </v>
      </c>
      <c r="I111" s="8">
        <f t="shared" si="35"/>
        <v>361</v>
      </c>
      <c r="J111" s="9">
        <f t="shared" si="36"/>
        <v>365.71949999999998</v>
      </c>
      <c r="K111" s="10">
        <f t="shared" si="37"/>
        <v>5.2631578947367795E-3</v>
      </c>
    </row>
    <row r="112" spans="2:11" x14ac:dyDescent="0.25">
      <c r="B112" t="str">
        <f t="shared" si="33"/>
        <v>"TORNTPHARM","open":"1,383.90","high":"1,406.00","low":"1,360.00","ltP":"1,372.00","ptsC":"-10.40","per":"-0.75","trdVol":"1.40","trdVolM":"0.14","ntP":"19.41","mVal":"0.19","wkhi":"1,718.40","wklo":"1,169.05","wkhicm_adj":"1,135.00","wklocm_adj":"458.00","xDt":"16-MAR-2016","cAct":"INTERIM DIVIDEND - RS 15\/- PER SHARE (PURPOSE REVISED)","yPC":"10.71","mPC":"-4.07"</v>
      </c>
      <c r="C112" s="14" t="s">
        <v>112</v>
      </c>
      <c r="D112" s="6" t="str">
        <f t="shared" si="39"/>
        <v>1,383.90</v>
      </c>
      <c r="E112" s="6" t="str">
        <f t="shared" si="39"/>
        <v>1,406.00</v>
      </c>
      <c r="F112" s="6" t="str">
        <f t="shared" si="39"/>
        <v>1,360.00</v>
      </c>
      <c r="G112" s="6" t="str">
        <f t="shared" si="39"/>
        <v>1,372.00</v>
      </c>
      <c r="H112" s="7" t="str">
        <f t="shared" si="34"/>
        <v xml:space="preserve">   </v>
      </c>
      <c r="I112" s="8" t="str">
        <f t="shared" si="35"/>
        <v xml:space="preserve">   </v>
      </c>
      <c r="J112" s="9" t="str">
        <f t="shared" si="36"/>
        <v xml:space="preserve">   </v>
      </c>
      <c r="K112" s="10" t="str">
        <f t="shared" si="37"/>
        <v xml:space="preserve">   </v>
      </c>
    </row>
    <row r="113" spans="2:11" x14ac:dyDescent="0.25">
      <c r="B113" t="str">
        <f t="shared" si="33"/>
        <v>"UBL","open":"720.70","high":"735.00","low":"712.25","ltP":"723.00","ptsC":"6.80","per":"0.95","trdVol":"2.83","trdVolM":"0.28","ntP":"20.52","mVal":"0.21","wkhi":"1,074.95","wklo":"690.00","wkhicm_adj":"859.00","wklocm_adj":"615.65","xDt":"31-DEC-2999","cAct":"-","yPC":"-24.77","mPC":"-4.50"</v>
      </c>
      <c r="C113" s="14" t="s">
        <v>113</v>
      </c>
      <c r="D113" s="6" t="str">
        <f t="shared" si="39"/>
        <v>720.70</v>
      </c>
      <c r="E113" s="6" t="str">
        <f t="shared" si="39"/>
        <v>735.00</v>
      </c>
      <c r="F113" s="6" t="str">
        <f t="shared" si="39"/>
        <v>712.25</v>
      </c>
      <c r="G113" s="6" t="str">
        <f t="shared" si="39"/>
        <v>723.00</v>
      </c>
      <c r="H113" s="7" t="str">
        <f t="shared" si="34"/>
        <v xml:space="preserve">   </v>
      </c>
      <c r="I113" s="8" t="str">
        <f t="shared" si="35"/>
        <v xml:space="preserve">   </v>
      </c>
      <c r="J113" s="9" t="str">
        <f t="shared" si="36"/>
        <v xml:space="preserve">   </v>
      </c>
      <c r="K113" s="10" t="str">
        <f t="shared" si="37"/>
        <v xml:space="preserve">   </v>
      </c>
    </row>
    <row r="114" spans="2:11" x14ac:dyDescent="0.25">
      <c r="B114" t="str">
        <f t="shared" si="33"/>
        <v>"UPL","open":"594.70","high":"603.70","low":"591.20","ltP":"594.50","ptsC":"1.55","per":"0.26","trdVol":"14.37","trdVolM":"1.44","ntP":"85.73","mVal":"0.86","wkhi":"612.95","wklo":"367.25","wkhicm_adj":"388.70","wklocm_adj":"161.10","xDt":"31-DEC-2999","cAct":"-","yPC":"10.69","mPC":"16.44"</v>
      </c>
      <c r="C114" s="14" t="s">
        <v>114</v>
      </c>
      <c r="D114" s="6" t="str">
        <f t="shared" si="39"/>
        <v>594.70</v>
      </c>
      <c r="E114" s="6" t="str">
        <f t="shared" si="39"/>
        <v>603.70</v>
      </c>
      <c r="F114" s="6" t="str">
        <f t="shared" si="39"/>
        <v>591.20</v>
      </c>
      <c r="G114" s="6" t="str">
        <f t="shared" si="39"/>
        <v>594.50</v>
      </c>
      <c r="H114" s="7" t="str">
        <f t="shared" si="34"/>
        <v xml:space="preserve">   </v>
      </c>
      <c r="I114" s="8" t="str">
        <f t="shared" si="35"/>
        <v xml:space="preserve">   </v>
      </c>
      <c r="J114" s="9" t="str">
        <f t="shared" si="36"/>
        <v xml:space="preserve">   </v>
      </c>
      <c r="K114" s="10" t="str">
        <f t="shared" si="37"/>
        <v xml:space="preserve">   </v>
      </c>
    </row>
    <row r="115" spans="2:11" x14ac:dyDescent="0.25">
      <c r="B115" t="str">
        <f t="shared" si="33"/>
        <v>"VEDL","open":"104.40","high":"105.90","low":"102.10","ltP":"103.20","ptsC":"-0.85","per":"-0.82","trdVol":"97.23","trdVolM":"9.72","ntP":"101.10","mVal":"1.01","wkhi":"204.00","wklo":"58.15","wkhicm_adj":"318.30","wklocm_adj":"168.85","xDt":"31-DEC-2999","cAct":"-","yPC":"-46.14","mPC":"-3.05"</v>
      </c>
      <c r="C115" s="14" t="s">
        <v>55</v>
      </c>
      <c r="D115" s="6" t="str">
        <f t="shared" si="39"/>
        <v>104.40</v>
      </c>
      <c r="E115" s="6" t="str">
        <f t="shared" si="39"/>
        <v>105.90</v>
      </c>
      <c r="F115" s="6" t="str">
        <f t="shared" si="39"/>
        <v>102.10</v>
      </c>
      <c r="G115" s="6" t="str">
        <f t="shared" si="39"/>
        <v>103.20</v>
      </c>
      <c r="H115" s="7" t="str">
        <f t="shared" si="34"/>
        <v xml:space="preserve">   </v>
      </c>
      <c r="I115" s="8" t="str">
        <f t="shared" si="35"/>
        <v xml:space="preserve">   </v>
      </c>
      <c r="J115" s="9" t="str">
        <f t="shared" si="36"/>
        <v xml:space="preserve">   </v>
      </c>
      <c r="K115" s="10" t="str">
        <f t="shared" si="37"/>
        <v xml:space="preserve">   </v>
      </c>
    </row>
    <row r="119" spans="2:11" x14ac:dyDescent="0.25">
      <c r="C119" s="15" t="s">
        <v>115</v>
      </c>
    </row>
    <row r="120" spans="2:11" x14ac:dyDescent="0.25">
      <c r="B120" t="s">
        <v>1</v>
      </c>
      <c r="C120" s="4" t="s">
        <v>2</v>
      </c>
      <c r="D120" s="4" t="s">
        <v>3</v>
      </c>
      <c r="E120" s="4" t="s">
        <v>4</v>
      </c>
      <c r="F120" s="4" t="s">
        <v>5</v>
      </c>
      <c r="G120" s="4" t="s">
        <v>6</v>
      </c>
      <c r="H120" s="4" t="s">
        <v>7</v>
      </c>
      <c r="I120" s="4" t="s">
        <v>8</v>
      </c>
      <c r="J120" s="4" t="s">
        <v>9</v>
      </c>
      <c r="K120" s="4" t="s">
        <v>59</v>
      </c>
    </row>
    <row r="121" spans="2:11" x14ac:dyDescent="0.25">
      <c r="B121" t="str">
        <f>MID($E$6,FIND(C121,$E$6)-1,FIND("}",$E$6,FIND(C121,$E$6))-FIND(C121,$E$6)+1)</f>
        <v>"ADANIENT","open":"74.20","high":"76.00","low":"72.60","ltP":"73.20","ptsC":"-0.90","per":"-1.21","trdVol":"18.81","trdVolM":"1.88","ntP":"13.90","mVal":"0.14","wkhi":"794.00","wklo":"58.20","wkhicm_adj":"585.00","wklocm_adj":"210.10","xDt":"22-MAR-2016","cAct":"INTERIM DIVIDEND - RE 0.40\/- PER SHARE (PURPOSE REVISED)","yPC":"-90.74","mPC":"-13.12"</v>
      </c>
      <c r="C121" s="14" t="s">
        <v>117</v>
      </c>
      <c r="D121" s="6" t="str">
        <f>MID($B121,FIND(D$9,$B121)+LEN(D$9)+3,FIND(CHAR(34),$B121,FIND(D$9,$B121)+LEN(D$9)+3)-(FIND(D$9,$B121)+LEN(D$9)+3))</f>
        <v>74.20</v>
      </c>
      <c r="E121" s="6" t="str">
        <f>MID($B121,FIND(E$9,$B121)+LEN(E$9)+3,FIND(CHAR(34),$B121,FIND(E$9,$B121)+LEN(E$9)+3)-(FIND(E$9,$B121)+LEN(E$9)+3))</f>
        <v>76.00</v>
      </c>
      <c r="F121" s="6" t="str">
        <f>MID($B121,FIND(F$9,$B121)+LEN(F$9)+3,FIND(CHAR(34),$B121,FIND(F$9,$B121)+LEN(F$9)+3)-(FIND(F$9,$B121)+LEN(F$9)+3))</f>
        <v>72.60</v>
      </c>
      <c r="G121" s="6" t="str">
        <f>MID($B121,FIND(G$9,$B121)+LEN(G$9)+3,FIND(CHAR(34),$B121,FIND(G$9,$B121)+LEN(G$9)+3)-(FIND(G$9,$B121)+LEN(G$9)+3))</f>
        <v>73.20</v>
      </c>
      <c r="H121" s="7" t="str">
        <f t="shared" ref="H121" si="40">IF(AND(E121=0, F121=0, D121=0),"  ",IF(E121= D121,"SHORT ",IF(F121= D121,"LONG ",IF(E121&lt;&gt; F121&lt;&gt; D121,"   "))))</f>
        <v xml:space="preserve">   </v>
      </c>
      <c r="I121" s="8" t="str">
        <f t="shared" ref="I121" si="41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42">IF(AND(E121=0, F121=0, D121=0),"  ",IF(E121= D121,D121+0.005*D121,IF(F121= D121,D121-0.005*D121,IF(E121&lt;&gt; F121&lt;&gt; D121,"   "))))</f>
        <v xml:space="preserve">   </v>
      </c>
      <c r="K121" s="10" t="str">
        <f t="shared" ref="K121" si="43">IF(AND(E121=0, F121=0, D121=0),"  ",IF(E121= D121,(I121-G121)/I121,IF(F121= D121,(G121-I121)/I121,IF(E121&lt;&gt; F121&lt;&gt; D121,"   "))))</f>
        <v xml:space="preserve">   </v>
      </c>
    </row>
    <row r="122" spans="2:11" x14ac:dyDescent="0.25">
      <c r="B122" t="str">
        <f t="shared" ref="B122:B170" si="44">MID($E$6,FIND(C122,$E$6)-1,FIND("}",$E$6,FIND(C122,$E$6))-FIND(C122,$E$6)+1)</f>
        <v>"ADANIPOWER","open":"30.85","high":"31.05","low":"29.80","ltP":"30.05","ptsC":"-0.80","per":"-2.59","trdVol":"157.01","trdVolM":"15.70","ntP":"47.40","mVal":"0.47","wkhi":"40.80","wklo":"19.60","wkhicm_adj":"68.35","wklocm_adj":"31.80","xDt":"31-DEC-2999","cAct":"-","yPC":"-24.69","mPC":"-8.24"</v>
      </c>
      <c r="C122" s="14" t="s">
        <v>118</v>
      </c>
      <c r="D122" s="6" t="str">
        <f t="shared" ref="D122:G158" si="45">MID($B122,FIND(D$9,$B122)+LEN(D$9)+3,FIND(CHAR(34),$B122,FIND(D$9,$B122)+LEN(D$9)+3)-(FIND(D$9,$B122)+LEN(D$9)+3))</f>
        <v>30.85</v>
      </c>
      <c r="E122" s="6" t="str">
        <f t="shared" si="45"/>
        <v>31.05</v>
      </c>
      <c r="F122" s="6" t="str">
        <f t="shared" si="45"/>
        <v>29.80</v>
      </c>
      <c r="G122" s="6" t="str">
        <f t="shared" si="45"/>
        <v>30.05</v>
      </c>
      <c r="H122" s="7" t="str">
        <f t="shared" ref="H122:H157" si="46">IF(AND(E122=0, F122=0, D122=0),"  ",IF(E122= D122,"SHORT ",IF(F122= D122,"LONG ",IF(E122&lt;&gt; F122&lt;&gt; D122,"   "))))</f>
        <v xml:space="preserve">   </v>
      </c>
      <c r="I122" s="8" t="str">
        <f t="shared" ref="I122:I157" si="47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8">IF(AND(E122=0, F122=0, D122=0),"  ",IF(E122= D122,D122+0.005*D122,IF(F122= D122,D122-0.005*D122,IF(E122&lt;&gt; F122&lt;&gt; D122,"   "))))</f>
        <v xml:space="preserve">   </v>
      </c>
      <c r="K122" s="10" t="str">
        <f t="shared" ref="K122:K157" si="49">IF(AND(E122=0, F122=0, D122=0),"  ",IF(E122= D122,(I122-G122)/I122,IF(F122= D122,(G122-I122)/I122,IF(E122&lt;&gt; F122&lt;&gt; D122,"   "))))</f>
        <v xml:space="preserve">   </v>
      </c>
    </row>
    <row r="123" spans="2:11" x14ac:dyDescent="0.25">
      <c r="B123" t="str">
        <f t="shared" si="44"/>
        <v>"AJANTPHARM","open":"1,511.50","high":"1,547.00","low":"1,511.50","ltP":"1,533.00","ptsC":"31.50","per":"2.10","trdVol":"0.85","trdVolM":"0.08","ntP":"13.01","mVal":"0.13","wkhi":"1,720.00","wklo":"1,101.05","wkhicm_adj":"2,526.95","wklocm_adj":"776.65","xDt":"31-DEC-2999","cAct":"-","yPC":"5.40","mPC":"-0.65"</v>
      </c>
      <c r="C123" s="14" t="s">
        <v>119</v>
      </c>
      <c r="D123" s="6" t="str">
        <f t="shared" si="45"/>
        <v>1,511.50</v>
      </c>
      <c r="E123" s="6" t="str">
        <f t="shared" si="45"/>
        <v>1,547.00</v>
      </c>
      <c r="F123" s="6" t="str">
        <f t="shared" si="45"/>
        <v>1,511.50</v>
      </c>
      <c r="G123" s="6" t="str">
        <f t="shared" si="45"/>
        <v>1,533.00</v>
      </c>
      <c r="H123" s="7" t="str">
        <f t="shared" si="46"/>
        <v xml:space="preserve">LONG </v>
      </c>
      <c r="I123" s="8">
        <f t="shared" si="47"/>
        <v>1518</v>
      </c>
      <c r="J123" s="9">
        <f t="shared" si="48"/>
        <v>1503.9425000000001</v>
      </c>
      <c r="K123" s="10">
        <f t="shared" si="49"/>
        <v>9.881422924901186E-3</v>
      </c>
    </row>
    <row r="124" spans="2:11" x14ac:dyDescent="0.25">
      <c r="B124" t="str">
        <f t="shared" si="44"/>
        <v>"ALBK","open":"50.90","high":"54.00","low":"50.70","ltP":"53.35","ptsC":"2.45","per":"4.81","trdVol":"28.81","trdVolM":"2.88","ntP":"14.95","mVal":"0.15","wkhi":"108.25","wklo":"39.40","wkhicm_adj":"150.00","wklocm_adj":"72.20","xDt":"31-DEC-2999","cAct":"-","yPC":"-48.35","mPC":"-11.16"</v>
      </c>
      <c r="C124" s="14" t="s">
        <v>120</v>
      </c>
      <c r="D124" s="6" t="str">
        <f t="shared" si="45"/>
        <v>50.90</v>
      </c>
      <c r="E124" s="6" t="str">
        <f t="shared" si="45"/>
        <v>54.00</v>
      </c>
      <c r="F124" s="6" t="str">
        <f t="shared" si="45"/>
        <v>50.70</v>
      </c>
      <c r="G124" s="6" t="str">
        <f t="shared" si="45"/>
        <v>53.35</v>
      </c>
      <c r="H124" s="7" t="str">
        <f t="shared" si="46"/>
        <v xml:space="preserve">   </v>
      </c>
      <c r="I124" s="8" t="str">
        <f t="shared" si="47"/>
        <v xml:space="preserve">   </v>
      </c>
      <c r="J124" s="9" t="str">
        <f t="shared" si="48"/>
        <v xml:space="preserve">   </v>
      </c>
      <c r="K124" s="10" t="str">
        <f t="shared" si="49"/>
        <v xml:space="preserve">   </v>
      </c>
    </row>
    <row r="125" spans="2:11" x14ac:dyDescent="0.25">
      <c r="B125" t="str">
        <f t="shared" si="44"/>
        <v>"AMARAJABAT","open":"863.80","high":"872.00","low":"859.00","ltP":"861.75","ptsC":"4.90","per":"0.57","trdVol":"3.34","trdVolM":"0.33","ntP":"28.97","mVal":"0.29","wkhi":"1,128.00","wklo":"774.15","wkhicm_adj":"794.00","wklocm_adj":"315.05","xDt":"22-MAR-2016","cAct":"INTERIM DIVIDEND - RS 4.25\/- PER SHARE (PURPOSE REVISED)","yPC":"-0.61","mPC":"-9.21"</v>
      </c>
      <c r="C125" s="14" t="s">
        <v>121</v>
      </c>
      <c r="D125" s="6" t="str">
        <f t="shared" si="45"/>
        <v>863.80</v>
      </c>
      <c r="E125" s="6" t="str">
        <f t="shared" si="45"/>
        <v>872.00</v>
      </c>
      <c r="F125" s="6" t="str">
        <f t="shared" si="45"/>
        <v>859.00</v>
      </c>
      <c r="G125" s="6" t="str">
        <f t="shared" si="45"/>
        <v>861.75</v>
      </c>
      <c r="H125" s="7" t="str">
        <f t="shared" si="46"/>
        <v xml:space="preserve">   </v>
      </c>
      <c r="I125" s="8" t="str">
        <f t="shared" si="47"/>
        <v xml:space="preserve">   </v>
      </c>
      <c r="J125" s="9" t="str">
        <f t="shared" si="48"/>
        <v xml:space="preserve">   </v>
      </c>
      <c r="K125" s="10" t="str">
        <f t="shared" si="49"/>
        <v xml:space="preserve">   </v>
      </c>
    </row>
    <row r="126" spans="2:11" x14ac:dyDescent="0.25">
      <c r="B126" t="str">
        <f t="shared" si="44"/>
        <v>"APOLLOTYRE","open":"153.00","high":"157.25","low":"152.80","ltP":"156.60","ptsC":"3.75","per":"2.45","trdVol":"12.37","trdVolM":"1.24","ntP":"19.29","mVal":"0.19","wkhi":"223.40","wklo":"127.05","wkhicm_adj":"242.95","wklocm_adj":"77.50","xDt":"31-DEC-2999","cAct":"-","yPC":"-14.66","mPC":"-3.81"</v>
      </c>
      <c r="C126" s="14" t="s">
        <v>122</v>
      </c>
      <c r="D126" s="6" t="str">
        <f t="shared" si="45"/>
        <v>153.00</v>
      </c>
      <c r="E126" s="6" t="str">
        <f t="shared" si="45"/>
        <v>157.25</v>
      </c>
      <c r="F126" s="6" t="str">
        <f t="shared" si="45"/>
        <v>152.80</v>
      </c>
      <c r="G126" s="6" t="str">
        <f t="shared" si="45"/>
        <v>156.60</v>
      </c>
      <c r="H126" s="7" t="str">
        <f t="shared" si="46"/>
        <v xml:space="preserve">   </v>
      </c>
      <c r="I126" s="8" t="str">
        <f t="shared" si="47"/>
        <v xml:space="preserve">   </v>
      </c>
      <c r="J126" s="9" t="str">
        <f t="shared" si="48"/>
        <v xml:space="preserve">   </v>
      </c>
      <c r="K126" s="10" t="str">
        <f t="shared" si="49"/>
        <v xml:space="preserve">   </v>
      </c>
    </row>
    <row r="127" spans="2:11" x14ac:dyDescent="0.25">
      <c r="B127" t="str">
        <f t="shared" si="44"/>
        <v>"ARVIND","open":"313.00","high":"317.90","low":"310.05","ltP":"314.60","ptsC":"2.10","per":"0.67","trdVol":"11.01","trdVolM":"1.10","ntP":"34.72","mVal":"0.35","wkhi":"365.70","wklo":"216.30","wkhicm_adj":"341.50","wklocm_adj":"119.00","xDt":"31-DEC-2999","cAct":"-","yPC":"40.42","mPC":"10.41"</v>
      </c>
      <c r="C127" s="14" t="s">
        <v>123</v>
      </c>
      <c r="D127" s="6" t="str">
        <f t="shared" si="45"/>
        <v>313.00</v>
      </c>
      <c r="E127" s="6" t="str">
        <f t="shared" si="45"/>
        <v>317.90</v>
      </c>
      <c r="F127" s="6" t="str">
        <f t="shared" si="45"/>
        <v>310.05</v>
      </c>
      <c r="G127" s="6" t="str">
        <f t="shared" si="45"/>
        <v>314.60</v>
      </c>
      <c r="H127" s="7" t="str">
        <f t="shared" si="46"/>
        <v xml:space="preserve">   </v>
      </c>
      <c r="I127" s="8" t="str">
        <f t="shared" si="47"/>
        <v xml:space="preserve">   </v>
      </c>
      <c r="J127" s="9" t="str">
        <f t="shared" si="48"/>
        <v xml:space="preserve">   </v>
      </c>
      <c r="K127" s="10" t="str">
        <f t="shared" si="49"/>
        <v xml:space="preserve">   </v>
      </c>
    </row>
    <row r="128" spans="2:11" x14ac:dyDescent="0.25">
      <c r="B128" t="str">
        <f t="shared" si="44"/>
        <v>"BANKINDIA","open":"85.00","high":"88.30","low":"85.00","ltP":"87.55","ptsC":"2.30","per":"2.70","trdVol":"33.92","trdVolM":"3.39","ntP":"29.28","mVal":"0.29","wkhi":"208.00","wklo":"78.40","wkhicm_adj":"357.00","wklocm_adj":"165.55","xDt":"31-DEC-2999","cAct":"-","yPC":"-57.05","mPC":"-10.11"</v>
      </c>
      <c r="C128" s="14" t="s">
        <v>124</v>
      </c>
      <c r="D128" s="6" t="str">
        <f t="shared" si="45"/>
        <v>85.00</v>
      </c>
      <c r="E128" s="6" t="str">
        <f t="shared" si="45"/>
        <v>88.30</v>
      </c>
      <c r="F128" s="6" t="str">
        <f t="shared" si="45"/>
        <v>85.00</v>
      </c>
      <c r="G128" s="6" t="str">
        <f t="shared" si="45"/>
        <v>87.55</v>
      </c>
      <c r="H128" s="7" t="str">
        <f t="shared" si="46"/>
        <v xml:space="preserve">LONG </v>
      </c>
      <c r="I128" s="8">
        <f t="shared" si="47"/>
        <v>87</v>
      </c>
      <c r="J128" s="9">
        <f t="shared" si="48"/>
        <v>84.575000000000003</v>
      </c>
      <c r="K128" s="10">
        <f t="shared" si="49"/>
        <v>6.3218390804597371E-3</v>
      </c>
    </row>
    <row r="129" spans="2:11" x14ac:dyDescent="0.25">
      <c r="B129" t="str">
        <f t="shared" si="44"/>
        <v>"BATAINDIA","open":"544.00","high":"559.95","low":"530.05","ltP":"558.90","ptsC":"14.85","per":"2.73","trdVol":"13.60","trdVolM":"1.36","ntP":"74.39","mVal":"0.74","wkhi":"622.00","wklo":"438.00","wkhicm_adj":"1,413.40","wklocm_adj":"894.55","xDt":"31-DEC-2999","cAct":"-","yPC":"-46.20","mPC":"-1.18"</v>
      </c>
      <c r="C129" s="14" t="s">
        <v>125</v>
      </c>
      <c r="D129" s="6" t="str">
        <f t="shared" si="45"/>
        <v>544.00</v>
      </c>
      <c r="E129" s="6" t="str">
        <f t="shared" si="45"/>
        <v>559.95</v>
      </c>
      <c r="F129" s="6" t="str">
        <f t="shared" si="45"/>
        <v>530.05</v>
      </c>
      <c r="G129" s="6" t="str">
        <f t="shared" si="45"/>
        <v>558.90</v>
      </c>
      <c r="H129" s="7" t="str">
        <f t="shared" si="46"/>
        <v xml:space="preserve">   </v>
      </c>
      <c r="I129" s="8" t="str">
        <f t="shared" si="47"/>
        <v xml:space="preserve">   </v>
      </c>
      <c r="J129" s="9" t="str">
        <f t="shared" si="48"/>
        <v xml:space="preserve">   </v>
      </c>
      <c r="K129" s="10" t="str">
        <f t="shared" si="49"/>
        <v xml:space="preserve">   </v>
      </c>
    </row>
    <row r="130" spans="2:11" x14ac:dyDescent="0.25">
      <c r="B130" t="str">
        <f t="shared" si="44"/>
        <v>"BIOCON","open":"660.60","high":"717.00","low":"658.40","ltP":"700.80","ptsC":"43.50","per":"6.62","trdVol":"23.79","trdVolM":"2.38","ntP":"165.87","mVal":"1.66","wkhi":"717.00","wklo":"395.30","wkhicm_adj":"553.60","wklocm_adj":"378.65","xDt":"17-MAR-2016","cAct":"INTERIM DIVIDEND - RS 5\/- PER SHARE (PURPOSE REVISED)","yPC":"55.80","mPC":"23.96"</v>
      </c>
      <c r="C130" s="14" t="s">
        <v>126</v>
      </c>
      <c r="D130" s="6" t="str">
        <f t="shared" si="45"/>
        <v>660.60</v>
      </c>
      <c r="E130" s="6" t="str">
        <f t="shared" si="45"/>
        <v>717.00</v>
      </c>
      <c r="F130" s="6" t="str">
        <f t="shared" si="45"/>
        <v>658.40</v>
      </c>
      <c r="G130" s="6" t="str">
        <f t="shared" si="45"/>
        <v>700.80</v>
      </c>
      <c r="H130" s="7" t="str">
        <f t="shared" si="46"/>
        <v xml:space="preserve">   </v>
      </c>
      <c r="I130" s="8" t="str">
        <f t="shared" si="47"/>
        <v xml:space="preserve">   </v>
      </c>
      <c r="J130" s="9" t="str">
        <f t="shared" si="48"/>
        <v xml:space="preserve">   </v>
      </c>
      <c r="K130" s="10" t="str">
        <f t="shared" si="49"/>
        <v xml:space="preserve">   </v>
      </c>
    </row>
    <row r="131" spans="2:11" x14ac:dyDescent="0.25">
      <c r="B131" t="str">
        <f t="shared" si="44"/>
        <v>"CANBK","open":"198.00","high":"203.20","low":"185.30","ltP":"194.80","ptsC":"-4.60","per":"-2.31","trdVol":"90.49","trdVolM":"9.05","ntP":"175.24","mVal":"1.75","wkhi":"360.45","wklo":"156.00","wkhicm_adj":"498.00","wklocm_adj":"209.00","xDt":"31-DEC-2999","cAct":"-","yPC":"-42.94","mPC":"-8.97"</v>
      </c>
      <c r="C131" s="14" t="s">
        <v>127</v>
      </c>
      <c r="D131" s="6" t="str">
        <f t="shared" si="45"/>
        <v>198.00</v>
      </c>
      <c r="E131" s="6" t="str">
        <f t="shared" si="45"/>
        <v>203.20</v>
      </c>
      <c r="F131" s="6" t="str">
        <f t="shared" si="45"/>
        <v>185.30</v>
      </c>
      <c r="G131" s="6" t="str">
        <f t="shared" si="45"/>
        <v>194.80</v>
      </c>
      <c r="H131" s="7" t="str">
        <f t="shared" si="46"/>
        <v xml:space="preserve">   </v>
      </c>
      <c r="I131" s="8" t="str">
        <f t="shared" si="47"/>
        <v xml:space="preserve">   </v>
      </c>
      <c r="J131" s="9" t="str">
        <f t="shared" si="48"/>
        <v xml:space="preserve">   </v>
      </c>
      <c r="K131" s="10" t="str">
        <f t="shared" si="49"/>
        <v xml:space="preserve">   </v>
      </c>
    </row>
    <row r="132" spans="2:11" x14ac:dyDescent="0.25">
      <c r="B132" t="str">
        <f t="shared" si="44"/>
        <v>"CENTURYTEX","open":"622.70","high":"627.00","low":"614.00","ltP":"621.50","ptsC":"2.00","per":"0.32","trdVol":"10.56","trdVolM":"1.06","ntP":"65.53","mVal":"0.66","wkhi":"748.60","wklo":"403.00","wkhicm_adj":"664.40","wklocm_adj":"248.25","xDt":"31-DEC-2999","cAct":"-","yPC":"-6.99","mPC":"-0.99"</v>
      </c>
      <c r="C132" s="14" t="s">
        <v>128</v>
      </c>
      <c r="D132" s="6" t="str">
        <f t="shared" si="45"/>
        <v>622.70</v>
      </c>
      <c r="E132" s="6" t="str">
        <f t="shared" si="45"/>
        <v>627.00</v>
      </c>
      <c r="F132" s="6" t="str">
        <f t="shared" si="45"/>
        <v>614.00</v>
      </c>
      <c r="G132" s="6" t="str">
        <f t="shared" si="45"/>
        <v>621.50</v>
      </c>
      <c r="H132" s="7" t="str">
        <f t="shared" si="46"/>
        <v xml:space="preserve">   </v>
      </c>
      <c r="I132" s="8" t="str">
        <f t="shared" si="47"/>
        <v xml:space="preserve">   </v>
      </c>
      <c r="J132" s="9" t="str">
        <f t="shared" si="48"/>
        <v xml:space="preserve">   </v>
      </c>
      <c r="K132" s="10" t="str">
        <f t="shared" si="49"/>
        <v xml:space="preserve">   </v>
      </c>
    </row>
    <row r="133" spans="2:11" x14ac:dyDescent="0.25">
      <c r="B133" t="str">
        <f t="shared" si="44"/>
        <v>"CESC","open":"559.00","high":"567.00","low":"555.45","ltP":"560.10","ptsC":"1.05","per":"0.19","trdVol":"2.80","trdVolM":"0.28","ntP":"15.72","mVal":"0.16","wkhi":"624.30","wklo":"404.55","wkhicm_adj":"827.45","wklocm_adj":"374.40","xDt":"17-MAR-2016","cAct":"INTERIM DIVIDEND - RS 10\/- PER SHARE (PURPOSE REVISED)","yPC":"2.90","mPC":"2.33"</v>
      </c>
      <c r="C133" s="14" t="s">
        <v>129</v>
      </c>
      <c r="D133" s="6" t="str">
        <f t="shared" si="45"/>
        <v>559.00</v>
      </c>
      <c r="E133" s="6" t="str">
        <f t="shared" si="45"/>
        <v>567.00</v>
      </c>
      <c r="F133" s="6" t="str">
        <f t="shared" si="45"/>
        <v>555.45</v>
      </c>
      <c r="G133" s="6" t="str">
        <f t="shared" si="45"/>
        <v>560.10</v>
      </c>
      <c r="H133" s="7" t="str">
        <f t="shared" si="46"/>
        <v xml:space="preserve">   </v>
      </c>
      <c r="I133" s="8" t="str">
        <f t="shared" si="47"/>
        <v xml:space="preserve">   </v>
      </c>
      <c r="J133" s="9" t="str">
        <f t="shared" si="48"/>
        <v xml:space="preserve">   </v>
      </c>
      <c r="K133" s="10" t="str">
        <f t="shared" si="49"/>
        <v xml:space="preserve">   </v>
      </c>
    </row>
    <row r="134" spans="2:11" x14ac:dyDescent="0.25">
      <c r="B134" t="str">
        <f t="shared" si="44"/>
        <v>"DISHTV","open":"85.90","high":"88.15","low":"85.90","ltP":"86.25","ptsC":"0.60","per":"0.70","trdVol":"41.59","trdVolM":"4.16","ntP":"36.17","mVal":"0.36","wkhi":"121.65","wklo":"65.20","wkhicm_adj":"65.90","wklocm_adj":"43.15","xDt":"31-DEC-2999","cAct":"-","yPC":"-12.53","mPC":"-5.63"</v>
      </c>
      <c r="C134" s="14" t="s">
        <v>130</v>
      </c>
      <c r="D134" s="6" t="str">
        <f t="shared" si="45"/>
        <v>85.90</v>
      </c>
      <c r="E134" s="6" t="str">
        <f t="shared" si="45"/>
        <v>88.15</v>
      </c>
      <c r="F134" s="6" t="str">
        <f t="shared" si="45"/>
        <v>85.90</v>
      </c>
      <c r="G134" s="6" t="str">
        <f t="shared" si="45"/>
        <v>86.25</v>
      </c>
      <c r="H134" s="7" t="str">
        <f t="shared" si="46"/>
        <v xml:space="preserve">LONG </v>
      </c>
      <c r="I134" s="8">
        <f t="shared" si="47"/>
        <v>87</v>
      </c>
      <c r="J134" s="9">
        <f t="shared" si="48"/>
        <v>85.470500000000001</v>
      </c>
      <c r="K134" s="10">
        <f t="shared" si="49"/>
        <v>-8.6206896551724137E-3</v>
      </c>
    </row>
    <row r="135" spans="2:11" x14ac:dyDescent="0.25">
      <c r="B135" t="str">
        <f t="shared" si="44"/>
        <v>"ENGINERSIN","open":"181.30","high":"182.15","low":"178.70","ltP":"180.50","ptsC":"-1.60","per":"-0.88","trdVol":"3.80","trdVolM":"0.38","ntP":"6.84","mVal":"0.07","wkhi":"252.20","wklo":"143.10","wkhicm_adj":"331.70","wklocm_adj":"142.50","xDt":"08-MAR-2016","cAct":"INTERIM DIVIDEND - RS 2\/- PER SHARE (PURPOSE REVISED)","yPC":"-8.38","mPC":"-1.29"</v>
      </c>
      <c r="C135" s="14" t="s">
        <v>131</v>
      </c>
      <c r="D135" s="6" t="str">
        <f t="shared" si="45"/>
        <v>181.30</v>
      </c>
      <c r="E135" s="6" t="str">
        <f t="shared" si="45"/>
        <v>182.15</v>
      </c>
      <c r="F135" s="6" t="str">
        <f t="shared" si="45"/>
        <v>178.70</v>
      </c>
      <c r="G135" s="6" t="str">
        <f t="shared" si="45"/>
        <v>180.50</v>
      </c>
      <c r="H135" s="7" t="str">
        <f t="shared" si="46"/>
        <v xml:space="preserve">   </v>
      </c>
      <c r="I135" s="8" t="str">
        <f t="shared" si="47"/>
        <v xml:space="preserve">   </v>
      </c>
      <c r="J135" s="9" t="str">
        <f t="shared" si="48"/>
        <v xml:space="preserve">   </v>
      </c>
      <c r="K135" s="10" t="str">
        <f t="shared" si="49"/>
        <v xml:space="preserve">   </v>
      </c>
    </row>
    <row r="136" spans="2:11" x14ac:dyDescent="0.25">
      <c r="B136" t="str">
        <f t="shared" si="44"/>
        <v>"EXIDEIND","open":"156.05","high":"158.30","low":"155.80","ltP":"157.45","ptsC":"1.40","per":"0.90","trdVol":"5.41","trdVolM":"0.54","ntP":"8.50","mVal":"0.09","wkhi":"168.60","wklo":"116.00","wkhicm_adj":"183.40","wklocm_adj":"99.00","xDt":"31-DEC-2999","cAct":"-","yPC":"1.58","mPC":"6.67"</v>
      </c>
      <c r="C136" s="14" t="s">
        <v>132</v>
      </c>
      <c r="D136" s="6" t="str">
        <f t="shared" si="45"/>
        <v>156.05</v>
      </c>
      <c r="E136" s="6" t="str">
        <f t="shared" si="45"/>
        <v>158.30</v>
      </c>
      <c r="F136" s="6" t="str">
        <f t="shared" si="45"/>
        <v>155.80</v>
      </c>
      <c r="G136" s="6" t="str">
        <f t="shared" si="45"/>
        <v>157.45</v>
      </c>
      <c r="H136" s="7" t="str">
        <f t="shared" si="46"/>
        <v xml:space="preserve">   </v>
      </c>
      <c r="I136" s="8" t="str">
        <f t="shared" si="47"/>
        <v xml:space="preserve">   </v>
      </c>
      <c r="J136" s="9" t="str">
        <f t="shared" si="48"/>
        <v xml:space="preserve">   </v>
      </c>
      <c r="K136" s="10" t="str">
        <f t="shared" si="49"/>
        <v xml:space="preserve">   </v>
      </c>
    </row>
    <row r="137" spans="2:11" x14ac:dyDescent="0.25">
      <c r="B137" t="str">
        <f t="shared" si="44"/>
        <v>"FEDERALBNK","open":"53.10","high":"53.70","low":"52.10","ltP":"52.70","ptsC":"-0.05","per":"-0.09","trdVol":"82.18","trdVolM":"8.22","ntP":"43.46","mVal":"0.43","wkhi":"79.80","wklo":"41.35","wkhicm_adj":"152.95","wklocm_adj":"72.35","xDt":"31-DEC-2999","cAct":"-","yPC":"-27.03","mPC":"8.88"</v>
      </c>
      <c r="C137" s="14" t="s">
        <v>133</v>
      </c>
      <c r="D137" s="6" t="str">
        <f t="shared" si="45"/>
        <v>53.10</v>
      </c>
      <c r="E137" s="6" t="str">
        <f t="shared" si="45"/>
        <v>53.70</v>
      </c>
      <c r="F137" s="6" t="str">
        <f t="shared" si="45"/>
        <v>52.10</v>
      </c>
      <c r="G137" s="6" t="str">
        <f t="shared" si="45"/>
        <v>52.70</v>
      </c>
      <c r="H137" s="7" t="str">
        <f t="shared" si="46"/>
        <v xml:space="preserve">   </v>
      </c>
      <c r="I137" s="8" t="str">
        <f t="shared" si="47"/>
        <v xml:space="preserve">   </v>
      </c>
      <c r="J137" s="9" t="str">
        <f t="shared" si="48"/>
        <v xml:space="preserve">   </v>
      </c>
      <c r="K137" s="10" t="str">
        <f t="shared" si="49"/>
        <v xml:space="preserve">   </v>
      </c>
    </row>
    <row r="138" spans="2:11" x14ac:dyDescent="0.25">
      <c r="B138" t="str">
        <f t="shared" si="44"/>
        <v>"GMRINFRA","open":"11.40","high":"11.65","low":"11.20","ltP":"11.45","ptsC":"0.10","per":"0.88","trdVol":"94.99","trdVolM":"9.50","ntP":"10.87","mVal":"0.11","wkhi":"18.55","wklo":"9.75","wkhicm_adj":"38.25","wklocm_adj":"17.15","xDt":"31-DEC-2999","cAct":"-","yPC":"-19.93","mPC":"-7.29"</v>
      </c>
      <c r="C138" s="14" t="s">
        <v>134</v>
      </c>
      <c r="D138" s="6" t="str">
        <f t="shared" si="45"/>
        <v>11.40</v>
      </c>
      <c r="E138" s="6" t="str">
        <f t="shared" si="45"/>
        <v>11.65</v>
      </c>
      <c r="F138" s="6" t="str">
        <f t="shared" si="45"/>
        <v>11.20</v>
      </c>
      <c r="G138" s="6" t="str">
        <f t="shared" si="45"/>
        <v>11.45</v>
      </c>
      <c r="H138" s="7" t="str">
        <f t="shared" si="46"/>
        <v xml:space="preserve">   </v>
      </c>
      <c r="I138" s="8" t="str">
        <f t="shared" si="47"/>
        <v xml:space="preserve">   </v>
      </c>
      <c r="J138" s="9" t="str">
        <f t="shared" si="48"/>
        <v xml:space="preserve">   </v>
      </c>
      <c r="K138" s="10" t="str">
        <f t="shared" si="49"/>
        <v xml:space="preserve">   </v>
      </c>
    </row>
    <row r="139" spans="2:11" x14ac:dyDescent="0.25">
      <c r="B139" t="str">
        <f t="shared" si="44"/>
        <v>"GODREJIND","open":"344.30","high":"350.80","low":"344.30","ltP":"347.30","ptsC":"3.45","per":"1.00","trdVol":"1.82","trdVolM":"0.18","ntP":"6.32","mVal":"0.06","wkhi":"412.00","wklo":"290.00","wkhicm_adj":"372.80","wklocm_adj":"248.50","xDt":"15-MAR-2016","cAct":"INTERIM DIVIDEND - RE 1.75 PER SHARE (PURPOSE REVISED)","yPC":"-4.38","mPC":"-1.73"</v>
      </c>
      <c r="C139" s="14" t="s">
        <v>135</v>
      </c>
      <c r="D139" s="6" t="str">
        <f t="shared" si="45"/>
        <v>344.30</v>
      </c>
      <c r="E139" s="6" t="str">
        <f t="shared" si="45"/>
        <v>350.80</v>
      </c>
      <c r="F139" s="6" t="str">
        <f t="shared" si="45"/>
        <v>344.30</v>
      </c>
      <c r="G139" s="6" t="str">
        <f t="shared" si="45"/>
        <v>347.30</v>
      </c>
      <c r="H139" s="7" t="str">
        <f t="shared" si="46"/>
        <v xml:space="preserve">LONG </v>
      </c>
      <c r="I139" s="8">
        <f t="shared" si="47"/>
        <v>347</v>
      </c>
      <c r="J139" s="9">
        <f t="shared" si="48"/>
        <v>342.57850000000002</v>
      </c>
      <c r="K139" s="10">
        <f t="shared" si="49"/>
        <v>8.6455331412107019E-4</v>
      </c>
    </row>
    <row r="140" spans="2:11" x14ac:dyDescent="0.25">
      <c r="B140" t="str">
        <f t="shared" si="44"/>
        <v>"HAVELLS","open":"375.00","high":"377.70","low":"372.00","ltP":"374.25","ptsC":"-2.60","per":"-0.69","trdVol":"13.17","trdVolM":"1.32","ntP":"49.48","mVal":"0.49","wkhi":"378.40","wklo":"235.30","wkhicm_adj":"326.50","wklocm_adj":"143.57","xDt":"31-DEC-2999","cAct":"-","yPC":"38.13","mPC":"8.13"</v>
      </c>
      <c r="C140" s="14" t="s">
        <v>136</v>
      </c>
      <c r="D140" s="6" t="str">
        <f t="shared" si="45"/>
        <v>375.00</v>
      </c>
      <c r="E140" s="6" t="str">
        <f t="shared" si="45"/>
        <v>377.70</v>
      </c>
      <c r="F140" s="6" t="str">
        <f t="shared" si="45"/>
        <v>372.00</v>
      </c>
      <c r="G140" s="6" t="str">
        <f t="shared" si="45"/>
        <v>374.25</v>
      </c>
      <c r="H140" s="7" t="str">
        <f t="shared" si="46"/>
        <v xml:space="preserve">   </v>
      </c>
      <c r="I140" s="8" t="str">
        <f t="shared" si="47"/>
        <v xml:space="preserve">   </v>
      </c>
      <c r="J140" s="9" t="str">
        <f t="shared" si="48"/>
        <v xml:space="preserve">   </v>
      </c>
      <c r="K140" s="10" t="str">
        <f t="shared" si="49"/>
        <v xml:space="preserve">   </v>
      </c>
    </row>
    <row r="141" spans="2:11" x14ac:dyDescent="0.25">
      <c r="B141" t="str">
        <f t="shared" si="44"/>
        <v>"HEXAWARE","open":"213.25","high":"217.55","low":"213.05","ltP":"215.50","ptsC":"2.95","per":"1.39","trdVol":"9.66","trdVolM":"0.97","ntP":"20.82","mVal":"0.21","wkhi":"298.50","wklo":"201.50","wkhicm_adj":"226.25","wklocm_adj":"111.90","xDt":"13-MAY-2016","cAct":"INTERIM DIVIDEND - RS 2.50\/- PER SHARE","yPC":"-24.25","mPC":"-12.08"</v>
      </c>
      <c r="C141" s="14" t="s">
        <v>137</v>
      </c>
      <c r="D141" s="6" t="str">
        <f t="shared" si="45"/>
        <v>213.25</v>
      </c>
      <c r="E141" s="6" t="str">
        <f t="shared" si="45"/>
        <v>217.55</v>
      </c>
      <c r="F141" s="6" t="str">
        <f t="shared" si="45"/>
        <v>213.05</v>
      </c>
      <c r="G141" s="6" t="str">
        <f t="shared" si="45"/>
        <v>215.50</v>
      </c>
      <c r="H141" s="7" t="str">
        <f t="shared" si="46"/>
        <v xml:space="preserve">   </v>
      </c>
      <c r="I141" s="8" t="str">
        <f t="shared" si="47"/>
        <v xml:space="preserve">   </v>
      </c>
      <c r="J141" s="9" t="str">
        <f t="shared" si="48"/>
        <v xml:space="preserve">   </v>
      </c>
      <c r="K141" s="10" t="str">
        <f t="shared" si="49"/>
        <v xml:space="preserve">   </v>
      </c>
    </row>
    <row r="142" spans="2:11" x14ac:dyDescent="0.25">
      <c r="B142" t="str">
        <f t="shared" si="44"/>
        <v>"IDBI","open":"65.85","high":"68.35","low":"65.75","ltP":"68.00","ptsC":"2.40","per":"3.66","trdVol":"43.61","trdVolM":"4.36","ntP":"29.14","mVal":"0.29","wkhi":"95.70","wklo":"47.25","wkhicm_adj":"116.40","wklocm_adj":"52.90","xDt":"31-DEC-2999","cAct":"-","yPC":"-3.68","mPC":"-4.29"</v>
      </c>
      <c r="C142" s="14" t="s">
        <v>138</v>
      </c>
      <c r="D142" s="6" t="str">
        <f t="shared" si="45"/>
        <v>65.85</v>
      </c>
      <c r="E142" s="6" t="str">
        <f t="shared" si="45"/>
        <v>68.35</v>
      </c>
      <c r="F142" s="6" t="str">
        <f t="shared" si="45"/>
        <v>65.75</v>
      </c>
      <c r="G142" s="6" t="str">
        <f t="shared" si="45"/>
        <v>68.00</v>
      </c>
      <c r="H142" s="7" t="str">
        <f t="shared" si="46"/>
        <v xml:space="preserve">   </v>
      </c>
      <c r="I142" s="8" t="str">
        <f t="shared" si="47"/>
        <v xml:space="preserve">   </v>
      </c>
      <c r="J142" s="9" t="str">
        <f t="shared" si="48"/>
        <v xml:space="preserve">   </v>
      </c>
      <c r="K142" s="10" t="str">
        <f t="shared" si="49"/>
        <v xml:space="preserve">   </v>
      </c>
    </row>
    <row r="143" spans="2:11" x14ac:dyDescent="0.25">
      <c r="B143" t="str">
        <f t="shared" si="44"/>
        <v>"IDFC","open":"47.65","high":"51.40","low":"47.65","ltP":"49.65","ptsC":"2.35","per":"4.97","trdVol":"85.54","trdVolM":"8.55","ntP":"42.85","mVal":"0.43","wkhi":"163.60","wklo":"34.80","wkhicm_adj":"166.65","wklocm_adj":"88.05","xDt":"31-DEC-2999","cAct":"-","yPC":"-67.71","mPC":"9.12"</v>
      </c>
      <c r="C143" s="14" t="s">
        <v>139</v>
      </c>
      <c r="D143" s="6" t="str">
        <f t="shared" si="45"/>
        <v>47.65</v>
      </c>
      <c r="E143" s="6" t="str">
        <f t="shared" si="45"/>
        <v>51.40</v>
      </c>
      <c r="F143" s="6" t="str">
        <f t="shared" si="45"/>
        <v>47.65</v>
      </c>
      <c r="G143" s="6" t="str">
        <f t="shared" si="45"/>
        <v>49.65</v>
      </c>
      <c r="H143" s="7" t="str">
        <f t="shared" si="46"/>
        <v xml:space="preserve">LONG </v>
      </c>
      <c r="I143" s="8">
        <f t="shared" si="47"/>
        <v>49</v>
      </c>
      <c r="J143" s="9">
        <f t="shared" si="48"/>
        <v>47.411749999999998</v>
      </c>
      <c r="K143" s="10">
        <f t="shared" si="49"/>
        <v>1.3265306122448951E-2</v>
      </c>
    </row>
    <row r="144" spans="2:11" x14ac:dyDescent="0.25">
      <c r="B144" t="str">
        <f t="shared" si="44"/>
        <v>"IGL","open":"568.35","high":"579.45","low":"567.80","ltP":"575.00","ptsC":"5.90","per":"1.04","trdVol":"2.42","trdVolM":"0.24","ntP":"13.91","mVal":"0.14","wkhi":"608.00","wklo":"375.35","wkhicm_adj":"458.80","wklocm_adj":"238.05","xDt":"31-DEC-2999","cAct":"-","yPC":"41.29","mPC":"0.43"</v>
      </c>
      <c r="C144" s="14" t="s">
        <v>140</v>
      </c>
      <c r="D144" s="6" t="str">
        <f t="shared" si="45"/>
        <v>568.35</v>
      </c>
      <c r="E144" s="6" t="str">
        <f t="shared" si="45"/>
        <v>579.45</v>
      </c>
      <c r="F144" s="6" t="str">
        <f t="shared" si="45"/>
        <v>567.80</v>
      </c>
      <c r="G144" s="6" t="str">
        <f t="shared" si="45"/>
        <v>575.00</v>
      </c>
      <c r="H144" s="7" t="str">
        <f t="shared" si="46"/>
        <v xml:space="preserve">   </v>
      </c>
      <c r="I144" s="8" t="str">
        <f t="shared" si="47"/>
        <v xml:space="preserve">   </v>
      </c>
      <c r="J144" s="9" t="str">
        <f t="shared" si="48"/>
        <v xml:space="preserve">   </v>
      </c>
      <c r="K144" s="10" t="str">
        <f t="shared" si="49"/>
        <v xml:space="preserve">   </v>
      </c>
    </row>
    <row r="145" spans="2:11" x14ac:dyDescent="0.25">
      <c r="B145" t="str">
        <f t="shared" si="44"/>
        <v>"IRB","open":"215.00","high":"220.40","low":"213.50","ltP":"218.05","ptsC":"4.20","per":"1.96","trdVol":"17.07","trdVolM":"1.71","ntP":"37.08","mVal":"0.37","wkhi":"272.00","wklo":"197.10","wkhicm_adj":"289.65","wklocm_adj":"67.20","xDt":"16-MAR-2016","cAct":"INTERIM DIVIDEND - RS 2\/- PER SHARE (PURPOSE REVISED)","yPC":"-10.51","mPC":"1.68"</v>
      </c>
      <c r="C145" s="14" t="s">
        <v>141</v>
      </c>
      <c r="D145" s="6" t="str">
        <f t="shared" si="45"/>
        <v>215.00</v>
      </c>
      <c r="E145" s="6" t="str">
        <f t="shared" si="45"/>
        <v>220.40</v>
      </c>
      <c r="F145" s="6" t="str">
        <f t="shared" si="45"/>
        <v>213.50</v>
      </c>
      <c r="G145" s="6" t="str">
        <f t="shared" si="45"/>
        <v>218.05</v>
      </c>
      <c r="H145" s="7" t="str">
        <f t="shared" si="46"/>
        <v xml:space="preserve">   </v>
      </c>
      <c r="I145" s="8" t="str">
        <f t="shared" si="47"/>
        <v xml:space="preserve">   </v>
      </c>
      <c r="J145" s="9" t="str">
        <f t="shared" si="48"/>
        <v xml:space="preserve">   </v>
      </c>
      <c r="K145" s="10" t="str">
        <f t="shared" si="49"/>
        <v xml:space="preserve">   </v>
      </c>
    </row>
    <row r="146" spans="2:11" x14ac:dyDescent="0.25">
      <c r="B146" t="str">
        <f t="shared" si="44"/>
        <v>"JINDALSTEL","open":"60.70","high":"62.50","low":"60.60","ltP":"61.60","ptsC":"0.90","per":"1.48","trdVol":"57.13","trdVolM":"5.71","ntP":"35.27","mVal":"0.35","wkhi":"133.75","wklo":"48.10","wkhicm_adj":"351.00","wklocm_adj":"127.70","xDt":"31-DEC-2999","cAct":"-","yPC":"-52.47","mPC":"-17.04"</v>
      </c>
      <c r="C146" s="14" t="s">
        <v>142</v>
      </c>
      <c r="D146" s="6" t="str">
        <f t="shared" si="45"/>
        <v>60.70</v>
      </c>
      <c r="E146" s="6" t="str">
        <f t="shared" si="45"/>
        <v>62.50</v>
      </c>
      <c r="F146" s="6" t="str">
        <f t="shared" si="45"/>
        <v>60.60</v>
      </c>
      <c r="G146" s="6" t="str">
        <f t="shared" si="45"/>
        <v>61.60</v>
      </c>
      <c r="H146" s="7" t="str">
        <f t="shared" si="46"/>
        <v xml:space="preserve">   </v>
      </c>
      <c r="I146" s="8" t="str">
        <f t="shared" si="47"/>
        <v xml:space="preserve">   </v>
      </c>
      <c r="J146" s="9" t="str">
        <f t="shared" si="48"/>
        <v xml:space="preserve">   </v>
      </c>
      <c r="K146" s="10" t="str">
        <f t="shared" si="49"/>
        <v xml:space="preserve">   </v>
      </c>
    </row>
    <row r="147" spans="2:11" x14ac:dyDescent="0.25">
      <c r="B147" t="str">
        <f t="shared" si="44"/>
        <v>"JSWENERGY","open":"68.90","high":"72.00","low":"68.60","ltP":"71.80","ptsC":"3.30","per":"4.82","trdVol":"25.22","trdVolM":"2.52","ntP":"17.90","mVal":"0.18","wkhi":"114.30","wklo":"59.00","wkhicm_adj":"97.40","wklocm_adj":"39.85","xDt":"31-DEC-2999","cAct":"-","yPC":"-34.49","mPC":"5.36"</v>
      </c>
      <c r="C147" s="14" t="s">
        <v>143</v>
      </c>
      <c r="D147" s="6" t="str">
        <f t="shared" si="45"/>
        <v>68.90</v>
      </c>
      <c r="E147" s="6" t="str">
        <f t="shared" si="45"/>
        <v>72.00</v>
      </c>
      <c r="F147" s="6" t="str">
        <f t="shared" si="45"/>
        <v>68.60</v>
      </c>
      <c r="G147" s="6" t="str">
        <f t="shared" si="45"/>
        <v>71.80</v>
      </c>
      <c r="H147" s="7" t="str">
        <f t="shared" si="46"/>
        <v xml:space="preserve">   </v>
      </c>
      <c r="I147" s="8" t="str">
        <f t="shared" si="47"/>
        <v xml:space="preserve">   </v>
      </c>
      <c r="J147" s="9" t="str">
        <f t="shared" si="48"/>
        <v xml:space="preserve">   </v>
      </c>
      <c r="K147" s="10" t="str">
        <f t="shared" si="49"/>
        <v xml:space="preserve">   </v>
      </c>
    </row>
    <row r="148" spans="2:11" x14ac:dyDescent="0.25">
      <c r="B148" t="str">
        <f t="shared" si="44"/>
        <v>"JUBLFOOD","open":"1,153.00","high":"1,172.95","low":"1,080.00","ltP":"1,101.25","ptsC":"-51.75","per":"-4.49","trdVol":"11.22","trdVolM":"1.12","ntP":"125.35","mVal":"1.25","wkhi":"1,959.50","wklo":"887.35","wkhicm_adj":"1,497.40","wklocm_adj":"937.70","xDt":"31-DEC-2999","cAct":"-","yPC":"-37.36","mPC":"-16.56"</v>
      </c>
      <c r="C148" s="14" t="s">
        <v>144</v>
      </c>
      <c r="D148" s="6" t="str">
        <f t="shared" si="45"/>
        <v>1,153.00</v>
      </c>
      <c r="E148" s="6" t="str">
        <f t="shared" si="45"/>
        <v>1,172.95</v>
      </c>
      <c r="F148" s="6" t="str">
        <f t="shared" si="45"/>
        <v>1,080.00</v>
      </c>
      <c r="G148" s="6" t="str">
        <f t="shared" si="45"/>
        <v>1,101.25</v>
      </c>
      <c r="H148" s="7" t="str">
        <f t="shared" si="46"/>
        <v xml:space="preserve">   </v>
      </c>
      <c r="I148" s="8" t="str">
        <f t="shared" si="47"/>
        <v xml:space="preserve">   </v>
      </c>
      <c r="J148" s="9" t="str">
        <f t="shared" si="48"/>
        <v xml:space="preserve">   </v>
      </c>
      <c r="K148" s="10" t="str">
        <f t="shared" si="49"/>
        <v xml:space="preserve">   </v>
      </c>
    </row>
    <row r="149" spans="2:11" x14ac:dyDescent="0.25">
      <c r="B149" t="str">
        <f t="shared" si="44"/>
        <v>"JUSTDIAL","open":"663.00","high":"669.70","low":"650.00","ltP":"652.40","ptsC":"-13.30","per":"-2.00","trdVol":"12.99","trdVolM":"1.30","ntP":"85.79","mVal":"0.86","wkhi":"1,290.00","wklo":"375.70","wkhicm_adj":"1,894.40","wklocm_adj":"982.60","xDt":"31-DEC-2999","cAct":"-","yPC":"-42.68","mPC":"-24.20"</v>
      </c>
      <c r="C149" s="14" t="s">
        <v>145</v>
      </c>
      <c r="D149" s="6" t="str">
        <f t="shared" si="45"/>
        <v>663.00</v>
      </c>
      <c r="E149" s="6" t="str">
        <f t="shared" si="45"/>
        <v>669.70</v>
      </c>
      <c r="F149" s="6" t="str">
        <f t="shared" si="45"/>
        <v>650.00</v>
      </c>
      <c r="G149" s="6" t="str">
        <f t="shared" si="45"/>
        <v>652.40</v>
      </c>
      <c r="H149" s="7" t="str">
        <f t="shared" si="46"/>
        <v xml:space="preserve">   </v>
      </c>
      <c r="I149" s="8" t="str">
        <f t="shared" si="47"/>
        <v xml:space="preserve">   </v>
      </c>
      <c r="J149" s="9" t="str">
        <f t="shared" si="48"/>
        <v xml:space="preserve">   </v>
      </c>
      <c r="K149" s="10" t="str">
        <f t="shared" si="49"/>
        <v xml:space="preserve">   </v>
      </c>
    </row>
    <row r="150" spans="2:11" x14ac:dyDescent="0.25">
      <c r="B150" t="str">
        <f t="shared" si="44"/>
        <v>"L&amp;TFH","open":"74.00","high":"74.95","low":"73.50","ltP":"73.75","ptsC":"0.00","per":"0.00","trdVol":"31.11","trdVolM":"3.11","ntP":"23.06","mVal":"0.23","wkhi":"77.00","wklo":"48.25","wkhicm_adj":"88.25","wklocm_adj":"62.30","xDt":"31-DEC-2999","cAct":"-","yPC":"15.78","mPC":"3.73"</v>
      </c>
      <c r="C150" s="14" t="s">
        <v>146</v>
      </c>
      <c r="D150" s="6" t="str">
        <f t="shared" si="45"/>
        <v>74.00</v>
      </c>
      <c r="E150" s="6" t="str">
        <f t="shared" si="45"/>
        <v>74.95</v>
      </c>
      <c r="F150" s="6" t="str">
        <f t="shared" si="45"/>
        <v>73.50</v>
      </c>
      <c r="G150" s="6" t="str">
        <f t="shared" si="45"/>
        <v>73.75</v>
      </c>
      <c r="H150" s="7" t="str">
        <f t="shared" si="46"/>
        <v xml:space="preserve">   </v>
      </c>
      <c r="I150" s="8" t="str">
        <f t="shared" si="47"/>
        <v xml:space="preserve">   </v>
      </c>
      <c r="J150" s="9" t="str">
        <f t="shared" si="48"/>
        <v xml:space="preserve">   </v>
      </c>
      <c r="K150" s="10" t="str">
        <f t="shared" si="49"/>
        <v xml:space="preserve">   </v>
      </c>
    </row>
    <row r="151" spans="2:11" x14ac:dyDescent="0.25">
      <c r="B151" t="str">
        <f t="shared" si="44"/>
        <v>"M&amp;MFIN","open":"321.50","high":"328.65","low":"320.55","ltP":"324.10","ptsC":"4.75","per":"1.49","trdVol":"12.01","trdVolM":"1.20","ntP":"39.06","mVal":"0.39","wkhi":"328.65","wklo":"173.10","wkhicm_adj":"356.50","wklocm_adj":"229.25","xDt":"31-DEC-2999","cAct":"-","yPC":"23.47","mPC":"7.02"</v>
      </c>
      <c r="C151" s="14" t="s">
        <v>147</v>
      </c>
      <c r="D151" s="6" t="str">
        <f t="shared" si="45"/>
        <v>321.50</v>
      </c>
      <c r="E151" s="6" t="str">
        <f t="shared" si="45"/>
        <v>328.65</v>
      </c>
      <c r="F151" s="6" t="str">
        <f t="shared" si="45"/>
        <v>320.55</v>
      </c>
      <c r="G151" s="6" t="str">
        <f t="shared" si="45"/>
        <v>324.10</v>
      </c>
      <c r="H151" s="7" t="str">
        <f t="shared" si="46"/>
        <v xml:space="preserve">   </v>
      </c>
      <c r="I151" s="8" t="str">
        <f t="shared" si="47"/>
        <v xml:space="preserve">   </v>
      </c>
      <c r="J151" s="9" t="str">
        <f t="shared" si="48"/>
        <v xml:space="preserve">   </v>
      </c>
      <c r="K151" s="10" t="str">
        <f t="shared" si="49"/>
        <v xml:space="preserve">   </v>
      </c>
    </row>
    <row r="152" spans="2:11" x14ac:dyDescent="0.25">
      <c r="B152" t="str">
        <f t="shared" si="44"/>
        <v>"MINDTREE","open":"664.50","high":"674.45","low":"656.80","ltP":"666.80","ptsC":"1.45","per":"0.22","trdVol":"2.92","trdVolM":"0.29","ntP":"19.47","mVal":"0.19","wkhi":"804.50","wklo":"594.03","wkhicm_adj":"1,268.30","wklocm_adj":"648.75","xDt":"11-APR-2016","cAct":"INTERIM DIVIDEND - RS 2\/- PER SHARE (PURPOSE REVISED)","yPC":"-7.96","mPC":"-5.73"</v>
      </c>
      <c r="C152" s="14" t="s">
        <v>148</v>
      </c>
      <c r="D152" s="6" t="str">
        <f t="shared" si="45"/>
        <v>664.50</v>
      </c>
      <c r="E152" s="6" t="str">
        <f t="shared" si="45"/>
        <v>674.45</v>
      </c>
      <c r="F152" s="6" t="str">
        <f t="shared" si="45"/>
        <v>656.80</v>
      </c>
      <c r="G152" s="6" t="str">
        <f t="shared" si="45"/>
        <v>666.80</v>
      </c>
      <c r="H152" s="7" t="str">
        <f t="shared" si="46"/>
        <v xml:space="preserve">   </v>
      </c>
      <c r="I152" s="8" t="str">
        <f t="shared" si="47"/>
        <v xml:space="preserve">   </v>
      </c>
      <c r="J152" s="9" t="str">
        <f t="shared" si="48"/>
        <v xml:space="preserve">   </v>
      </c>
      <c r="K152" s="10" t="str">
        <f t="shared" si="49"/>
        <v xml:space="preserve">   </v>
      </c>
    </row>
    <row r="153" spans="2:11" x14ac:dyDescent="0.25">
      <c r="B153" t="str">
        <f t="shared" si="44"/>
        <v>"MRF","open":"32,700.00","high":"33,725.00","low":"32,652.05","ltP":"33,430.00","ptsC":"876.95","per":"2.69","trdVol":"0.08","trdVolM":"0.01","ntP":"26.48","mVal":"0.26","wkhi":"46,399.00","wklo":"31,002.00","wkhicm_adj":"33,980.00","wklocm_adj":"17,070.00","xDt":"31-DEC-2999","cAct":"-","yPC":"-6.47","mPC":"-6.41"</v>
      </c>
      <c r="C153" s="14" t="s">
        <v>149</v>
      </c>
      <c r="D153" s="6" t="str">
        <f t="shared" si="45"/>
        <v>32,700.00</v>
      </c>
      <c r="E153" s="6" t="str">
        <f t="shared" si="45"/>
        <v>33,725.00</v>
      </c>
      <c r="F153" s="6" t="str">
        <f t="shared" si="45"/>
        <v>32,652.05</v>
      </c>
      <c r="G153" s="6" t="str">
        <f t="shared" si="45"/>
        <v>33,430.00</v>
      </c>
      <c r="H153" s="7" t="str">
        <f t="shared" si="46"/>
        <v xml:space="preserve">   </v>
      </c>
      <c r="I153" s="8" t="str">
        <f t="shared" si="47"/>
        <v xml:space="preserve">   </v>
      </c>
      <c r="J153" s="9" t="str">
        <f t="shared" si="48"/>
        <v xml:space="preserve">   </v>
      </c>
      <c r="K153" s="10" t="str">
        <f t="shared" si="49"/>
        <v xml:space="preserve">   </v>
      </c>
    </row>
    <row r="154" spans="2:11" x14ac:dyDescent="0.25">
      <c r="B154" t="str">
        <f t="shared" si="44"/>
        <v>"PAGEIND","open":"13,349.95","high":"13,572.90","low":"13,126.85","ltP":"13,441.80","ptsC":"121.75","per":"0.91","trdVol":"0.11","trdVolM":"0.01","ntP":"14.23","mVal":"0.14","wkhi":"17,000.00","wklo":"9,752.35","wkhicm_adj":"10,390.00","wklocm_adj":"5,010.00","xDt":"31-DEC-2999","cAct":"-","yPC":"-7.38","mPC":"4.57"</v>
      </c>
      <c r="C154" s="14" t="s">
        <v>150</v>
      </c>
      <c r="D154" s="6" t="str">
        <f t="shared" si="45"/>
        <v>13,349.95</v>
      </c>
      <c r="E154" s="6" t="str">
        <f t="shared" si="45"/>
        <v>13,572.90</v>
      </c>
      <c r="F154" s="6" t="str">
        <f t="shared" si="45"/>
        <v>13,126.85</v>
      </c>
      <c r="G154" s="6" t="str">
        <f t="shared" si="45"/>
        <v>13,441.80</v>
      </c>
      <c r="H154" s="7" t="str">
        <f t="shared" si="46"/>
        <v xml:space="preserve">   </v>
      </c>
      <c r="I154" s="8" t="str">
        <f t="shared" si="47"/>
        <v xml:space="preserve">   </v>
      </c>
      <c r="J154" s="9" t="str">
        <f t="shared" si="48"/>
        <v xml:space="preserve">   </v>
      </c>
      <c r="K154" s="10" t="str">
        <f t="shared" si="49"/>
        <v xml:space="preserve">   </v>
      </c>
    </row>
    <row r="155" spans="2:11" x14ac:dyDescent="0.25">
      <c r="B155" t="str">
        <f t="shared" si="44"/>
        <v>"PCJEWELLER","open":"371.90","high":"371.90","low":"365.00","ltP":"368.00","ptsC":"-1.75","per":"-0.47","trdVol":"1.53","trdVolM":"0.15","ntP":"5.63","mVal":"0.06","wkhi":"493.40","wklo":"295.80","wkhicm_adj":"278.00","wklocm_adj":"72.00","xDt":"31-DEC-2999","cAct":"-","yPC":"0.49","mPC":"3.05"</v>
      </c>
      <c r="C155" s="14" t="s">
        <v>151</v>
      </c>
      <c r="D155" s="6" t="str">
        <f t="shared" si="45"/>
        <v>371.90</v>
      </c>
      <c r="E155" s="6" t="str">
        <f t="shared" si="45"/>
        <v>371.90</v>
      </c>
      <c r="F155" s="6" t="str">
        <f t="shared" si="45"/>
        <v>365.00</v>
      </c>
      <c r="G155" s="6" t="str">
        <f t="shared" si="45"/>
        <v>368.00</v>
      </c>
      <c r="H155" s="7" t="str">
        <f t="shared" si="46"/>
        <v xml:space="preserve">SHORT </v>
      </c>
      <c r="I155" s="8">
        <f t="shared" si="47"/>
        <v>369</v>
      </c>
      <c r="J155" s="9">
        <f t="shared" si="48"/>
        <v>373.7595</v>
      </c>
      <c r="K155" s="10">
        <f t="shared" si="49"/>
        <v>2.7100271002710027E-3</v>
      </c>
    </row>
    <row r="156" spans="2:11" x14ac:dyDescent="0.25">
      <c r="B156" t="str">
        <f t="shared" si="44"/>
        <v>"PETRONET","open":"269.35","high":"276.75","low":"268.75","ltP":"272.40","ptsC":"2.75","per":"1.02","trdVol":"7.44","trdVolM":"0.74","ntP":"20.33","mVal":"0.20","wkhi":"284.80","wklo":"163.55","wkhicm_adj":"208.80","wklocm_adj":"102.60","xDt":"31-DEC-2999","cAct":"-","yPC":"51.80","mPC":"3.75"</v>
      </c>
      <c r="C156" s="14" t="s">
        <v>152</v>
      </c>
      <c r="D156" s="6" t="str">
        <f t="shared" si="45"/>
        <v>269.35</v>
      </c>
      <c r="E156" s="6" t="str">
        <f t="shared" si="45"/>
        <v>276.75</v>
      </c>
      <c r="F156" s="6" t="str">
        <f t="shared" si="45"/>
        <v>268.75</v>
      </c>
      <c r="G156" s="6" t="str">
        <f t="shared" si="45"/>
        <v>272.40</v>
      </c>
      <c r="H156" s="7" t="str">
        <f t="shared" si="46"/>
        <v xml:space="preserve">   </v>
      </c>
      <c r="I156" s="8" t="str">
        <f t="shared" si="47"/>
        <v xml:space="preserve">   </v>
      </c>
      <c r="J156" s="9" t="str">
        <f t="shared" si="48"/>
        <v xml:space="preserve">   </v>
      </c>
      <c r="K156" s="10" t="str">
        <f t="shared" si="49"/>
        <v xml:space="preserve">   </v>
      </c>
    </row>
    <row r="157" spans="2:11" x14ac:dyDescent="0.25">
      <c r="B157" t="str">
        <f>MID($E$6,FIND(C157,$E$6)-1,FIND("}",$E$6,FIND(C157,$E$6))-FIND(C157,$E$6)+1)</f>
        <v>"RELCAPITAL","open":"401.50","high":"422.00","low":"399.35","ltP":"414.00","ptsC":"12.45","per":"3.10","trdVol":"45.66","trdVolM":"4.57","ntP":"189.39","mVal":"1.89","wkhi":"471.00","wklo":"246.35","wkhicm_adj":"669.90","wklocm_adj":"304.50","xDt":"31-DEC-2999","cAct":"-","yPC":"5.53","mPC":"1.42"</v>
      </c>
      <c r="C157" s="14" t="s">
        <v>153</v>
      </c>
      <c r="D157" s="6" t="str">
        <f>MID($B157,FIND(D$9,$B157)+LEN(D$9)+3,FIND(CHAR(34),$B157,FIND(D$9,$B157)+LEN(D$9)+3)-(FIND(D$9,$B157)+LEN(D$9)+3))</f>
        <v>401.50</v>
      </c>
      <c r="E157" s="6" t="str">
        <f>MID($B157,FIND(E$9,$B157)+LEN(E$9)+3,FIND(CHAR(34),$B157,FIND(E$9,$B157)+LEN(E$9)+3)-(FIND(E$9,$B157)+LEN(E$9)+3))</f>
        <v>422.00</v>
      </c>
      <c r="F157" s="6" t="str">
        <f>MID($B157,FIND(F$9,$B157)+LEN(F$9)+3,FIND(CHAR(34),$B157,FIND(F$9,$B157)+LEN(F$9)+3)-(FIND(F$9,$B157)+LEN(F$9)+3))</f>
        <v>399.35</v>
      </c>
      <c r="G157" s="6" t="str">
        <f>MID($B157,FIND(G$9,$B157)+LEN(G$9)+3,FIND(CHAR(34),$B157,FIND(G$9,$B157)+LEN(G$9)+3)-(FIND(G$9,$B157)+LEN(G$9)+3))</f>
        <v>414.00</v>
      </c>
      <c r="H157" s="7" t="str">
        <f t="shared" si="46"/>
        <v xml:space="preserve">   </v>
      </c>
      <c r="I157" s="8" t="str">
        <f t="shared" si="47"/>
        <v xml:space="preserve">   </v>
      </c>
      <c r="J157" s="9" t="str">
        <f t="shared" si="48"/>
        <v xml:space="preserve">   </v>
      </c>
      <c r="K157" s="10" t="str">
        <f t="shared" si="49"/>
        <v xml:space="preserve">   </v>
      </c>
    </row>
    <row r="158" spans="2:11" x14ac:dyDescent="0.25">
      <c r="B158" t="str">
        <f t="shared" si="44"/>
        <v>"RELINFRA","open":"518.40","high":"553.50","low":"518.10","ltP":"540.95","ptsC":"24.30","per":"4.70","trdVol":"48.33","trdVolM":"4.83","ntP":"261.94","mVal":"2.62","wkhi":"621.90","wklo":"281.55","wkhicm_adj":"819.90","wklocm_adj":"350.30","xDt":"31-DEC-2999","cAct":"-","yPC":"28.40","mPC":"-2.18"</v>
      </c>
      <c r="C158" s="14" t="s">
        <v>154</v>
      </c>
      <c r="D158" s="6" t="str">
        <f t="shared" si="45"/>
        <v>518.40</v>
      </c>
      <c r="E158" s="6" t="str">
        <f t="shared" si="45"/>
        <v>553.50</v>
      </c>
      <c r="F158" s="6" t="str">
        <f t="shared" si="45"/>
        <v>518.10</v>
      </c>
      <c r="G158" s="6" t="str">
        <f t="shared" si="45"/>
        <v>540.95</v>
      </c>
      <c r="H158" s="7" t="str">
        <f t="shared" ref="H158:H170" si="50">IF(AND(E158=0, F158=0, D158=0),"  ",IF(E158= D158,"SHORT ",IF(F158= D158,"LONG ",IF(E158&lt;&gt; F158&lt;&gt; D158,"   "))))</f>
        <v xml:space="preserve">   </v>
      </c>
      <c r="I158" s="8" t="str">
        <f t="shared" ref="I158:I170" si="51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52">IF(AND(E158=0, F158=0, D158=0),"  ",IF(E158= D158,D158+0.005*D158,IF(F158= D158,D158-0.005*D158,IF(E158&lt;&gt; F158&lt;&gt; D158,"   "))))</f>
        <v xml:space="preserve">   </v>
      </c>
      <c r="K158" s="10" t="str">
        <f t="shared" ref="K158:K170" si="53">IF(AND(E158=0, F158=0, D158=0),"  ",IF(E158= D158,(I158-G158)/I158,IF(F158= D158,(G158-I158)/I158,IF(E158&lt;&gt; F158&lt;&gt; D158,"   "))))</f>
        <v xml:space="preserve">   </v>
      </c>
    </row>
    <row r="159" spans="2:11" x14ac:dyDescent="0.25">
      <c r="B159" t="str">
        <f t="shared" si="44"/>
        <v>"RPOWER","open":"48.70","high":"53.90","low":"48.65","ltP":"52.20","ptsC":"3.55","per":"7.30","trdVol":"143.95","trdVolM":"14.39","ntP":"75.40","mVal":"0.75","wkhi":"61.25","wklo":"33.10","wkhicm_adj":"113.30","wklocm_adj":"60.00","xDt":"31-DEC-2999","cAct":"-","yPC":"-3.69","mPC":"-2.43"</v>
      </c>
      <c r="C159" s="14" t="s">
        <v>155</v>
      </c>
      <c r="D159" s="6" t="str">
        <f t="shared" ref="D159:G163" si="54">MID($B159,FIND(D$9,$B159)+LEN(D$9)+3,FIND(CHAR(34),$B159,FIND(D$9,$B159)+LEN(D$9)+3)-(FIND(D$9,$B159)+LEN(D$9)+3))</f>
        <v>48.70</v>
      </c>
      <c r="E159" s="6" t="str">
        <f t="shared" si="54"/>
        <v>53.90</v>
      </c>
      <c r="F159" s="6" t="str">
        <f t="shared" si="54"/>
        <v>48.65</v>
      </c>
      <c r="G159" s="6" t="str">
        <f t="shared" si="54"/>
        <v>52.20</v>
      </c>
      <c r="H159" s="7" t="str">
        <f t="shared" si="50"/>
        <v xml:space="preserve">   </v>
      </c>
      <c r="I159" s="8" t="str">
        <f t="shared" si="51"/>
        <v xml:space="preserve">   </v>
      </c>
      <c r="J159" s="9" t="str">
        <f t="shared" si="52"/>
        <v xml:space="preserve">   </v>
      </c>
      <c r="K159" s="10" t="str">
        <f t="shared" si="53"/>
        <v xml:space="preserve">   </v>
      </c>
    </row>
    <row r="160" spans="2:11" x14ac:dyDescent="0.25">
      <c r="B160" t="str">
        <f t="shared" si="44"/>
        <v>"SRF","open":"1,239.90","high":"1,270.00","low":"1,229.40","ltP":"1,262.00","ptsC":"26.35","per":"2.13","trdVol":"1.45","trdVolM":"0.14","ntP":"18.18","mVal":"0.18","wkhi":"1,498.85","wklo":"970.60","wkhicm_adj":"958.80","wklocm_adj":"170.00","xDt":"31-DEC-2999","cAct":"-","yPC":"26.52","mPC":"-6.45"</v>
      </c>
      <c r="C160" s="14" t="s">
        <v>156</v>
      </c>
      <c r="D160" s="6" t="str">
        <f t="shared" si="54"/>
        <v>1,239.90</v>
      </c>
      <c r="E160" s="6" t="str">
        <f t="shared" si="54"/>
        <v>1,270.00</v>
      </c>
      <c r="F160" s="6" t="str">
        <f t="shared" si="54"/>
        <v>1,229.40</v>
      </c>
      <c r="G160" s="6" t="str">
        <f t="shared" si="54"/>
        <v>1,262.00</v>
      </c>
      <c r="H160" s="7" t="str">
        <f t="shared" si="50"/>
        <v xml:space="preserve">   </v>
      </c>
      <c r="I160" s="8" t="str">
        <f t="shared" si="51"/>
        <v xml:space="preserve">   </v>
      </c>
      <c r="J160" s="9" t="str">
        <f t="shared" si="52"/>
        <v xml:space="preserve">   </v>
      </c>
      <c r="K160" s="10" t="str">
        <f t="shared" si="53"/>
        <v xml:space="preserve">   </v>
      </c>
    </row>
    <row r="161" spans="2:11" x14ac:dyDescent="0.25">
      <c r="B161" t="str">
        <f t="shared" si="44"/>
        <v>"STAR","open":"1,112.15","high":"1,141.75","low":"1,109.00","ltP":"1,114.55","ptsC":"2.40","per":"0.22","trdVol":"3.22","trdVolM":"0.32","ntP":"36.34","mVal":"0.36","wkhi":"1,414.00","wklo":"847.00","wkhicm_adj":"1,045.00","wklocm_adj":"310.15","xDt":"31-DEC-2999","cAct":"-","yPC":"-9.01","mPC":"-0.41"</v>
      </c>
      <c r="C161" s="14" t="s">
        <v>157</v>
      </c>
      <c r="D161" s="6" t="str">
        <f t="shared" si="54"/>
        <v>1,112.15</v>
      </c>
      <c r="E161" s="6" t="str">
        <f t="shared" si="54"/>
        <v>1,141.75</v>
      </c>
      <c r="F161" s="6" t="str">
        <f t="shared" si="54"/>
        <v>1,109.00</v>
      </c>
      <c r="G161" s="6" t="str">
        <f t="shared" si="54"/>
        <v>1,114.55</v>
      </c>
      <c r="H161" s="7" t="str">
        <f t="shared" si="50"/>
        <v xml:space="preserve">   </v>
      </c>
      <c r="I161" s="8" t="str">
        <f t="shared" si="51"/>
        <v xml:space="preserve">   </v>
      </c>
      <c r="J161" s="9" t="str">
        <f t="shared" si="52"/>
        <v xml:space="preserve">   </v>
      </c>
      <c r="K161" s="10" t="str">
        <f t="shared" si="53"/>
        <v xml:space="preserve">   </v>
      </c>
    </row>
    <row r="162" spans="2:11" x14ac:dyDescent="0.25">
      <c r="B162" t="str">
        <f t="shared" si="44"/>
        <v>"SUNTV","open":"385.10","high":"388.00","low":"378.10","ltP":"384.00","ptsC":"5.90","per":"1.56","trdVol":"11.29","trdVolM":"1.13","ntP":"43.20","mVal":"0.43","wkhi":"436.80","wklo":"255.80","wkhicm_adj":"477.00","wklocm_adj":"300.00","xDt":"21-MAR-2016","cAct":"INTERIM DIVIDEND - RS 7.50\/- PER SHARE (PURPOSE REVISED)","yPC":"1.11","mPC":"7.67"</v>
      </c>
      <c r="C162" s="14" t="s">
        <v>158</v>
      </c>
      <c r="D162" s="6" t="str">
        <f t="shared" si="54"/>
        <v>385.10</v>
      </c>
      <c r="E162" s="6" t="str">
        <f t="shared" si="54"/>
        <v>388.00</v>
      </c>
      <c r="F162" s="6" t="str">
        <f t="shared" si="54"/>
        <v>378.10</v>
      </c>
      <c r="G162" s="6" t="str">
        <f t="shared" si="54"/>
        <v>384.00</v>
      </c>
      <c r="H162" s="7" t="str">
        <f t="shared" si="50"/>
        <v xml:space="preserve">   </v>
      </c>
      <c r="I162" s="8" t="str">
        <f t="shared" si="51"/>
        <v xml:space="preserve">   </v>
      </c>
      <c r="J162" s="9" t="str">
        <f t="shared" si="52"/>
        <v xml:space="preserve">   </v>
      </c>
      <c r="K162" s="10" t="str">
        <f t="shared" si="53"/>
        <v xml:space="preserve">   </v>
      </c>
    </row>
    <row r="163" spans="2:11" x14ac:dyDescent="0.25">
      <c r="B163" t="str">
        <f t="shared" si="44"/>
        <v>"SYNDIBANK","open":"61.90","high":"66.20","low":"61.80","ltP":"66.15","ptsC":"4.55","per":"7.39","trdVol":"41.31","trdVolM":"4.13","ntP":"26.14","mVal":"0.26","wkhi":"118.30","wklo":"49.40","wkhicm_adj":"180.00","wklocm_adj":"77.60","xDt":"31-DEC-2999","cAct":"-","yPC":"-41.12","mPC":"-6.10"</v>
      </c>
      <c r="C163" s="14" t="s">
        <v>159</v>
      </c>
      <c r="D163" s="6" t="str">
        <f t="shared" si="54"/>
        <v>61.90</v>
      </c>
      <c r="E163" s="6" t="str">
        <f t="shared" si="54"/>
        <v>66.20</v>
      </c>
      <c r="F163" s="6" t="str">
        <f t="shared" si="54"/>
        <v>61.80</v>
      </c>
      <c r="G163" s="6" t="str">
        <f t="shared" si="54"/>
        <v>66.15</v>
      </c>
      <c r="H163" s="7" t="str">
        <f t="shared" si="50"/>
        <v xml:space="preserve">   </v>
      </c>
      <c r="I163" s="8" t="str">
        <f t="shared" si="51"/>
        <v xml:space="preserve">   </v>
      </c>
      <c r="J163" s="9" t="str">
        <f t="shared" si="52"/>
        <v xml:space="preserve">   </v>
      </c>
      <c r="K163" s="10" t="str">
        <f t="shared" si="53"/>
        <v xml:space="preserve">   </v>
      </c>
    </row>
    <row r="164" spans="2:11" x14ac:dyDescent="0.25">
      <c r="B164" t="str">
        <f>MID($E$6,FIND(C164,$E$6)-1,FIND("}",$E$6,FIND(C164,$E$6))-FIND(C164,$E$6)+1)</f>
        <v>"TATACHEM","open":"453.00","high":"454.90","low":"431.10","ltP":"431.60","ptsC":"-7.15","per":"-1.63","trdVol":"11.19","trdVolM":"1.12","ntP":"49.25","mVal":"0.49","wkhi":"526.00","wklo":"309.60","wkhicm_adj":"442.75","wklocm_adj":"244.20","xDt":"31-DEC-2999","cAct":"-","yPC":"0.76","mPC":"1.79"</v>
      </c>
      <c r="C164" s="14" t="s">
        <v>160</v>
      </c>
      <c r="D164" s="6" t="str">
        <f t="shared" ref="D164:G170" si="55">MID($B164,FIND(D$9,$B164)+LEN(D$9)+3,FIND(CHAR(34),$B164,FIND(D$9,$B164)+LEN(D$9)+3)-(FIND(D$9,$B164)+LEN(D$9)+3))</f>
        <v>453.00</v>
      </c>
      <c r="E164" s="6" t="str">
        <f t="shared" si="55"/>
        <v>454.90</v>
      </c>
      <c r="F164" s="6" t="str">
        <f t="shared" si="55"/>
        <v>431.10</v>
      </c>
      <c r="G164" s="6" t="str">
        <f t="shared" si="55"/>
        <v>431.60</v>
      </c>
      <c r="H164" s="7" t="str">
        <f t="shared" si="50"/>
        <v xml:space="preserve">   </v>
      </c>
      <c r="I164" s="8" t="str">
        <f t="shared" si="51"/>
        <v xml:space="preserve">   </v>
      </c>
      <c r="J164" s="9" t="str">
        <f t="shared" si="52"/>
        <v xml:space="preserve">   </v>
      </c>
      <c r="K164" s="10" t="str">
        <f t="shared" si="53"/>
        <v xml:space="preserve">   </v>
      </c>
    </row>
    <row r="165" spans="2:11" x14ac:dyDescent="0.25">
      <c r="B165" t="str">
        <f t="shared" si="44"/>
        <v>"TATACOMM","open":"457.60","high":"464.00","low":"454.00","ltP":"458.65","ptsC":"1.10","per":"0.24","trdVol":"2.12","trdVolM":"0.21","ntP":"9.73","mVal":"0.10","wkhi":"491.35","wklo":"325.00","wkhicm_adj":"462.40","wklocm_adj":"258.50","xDt":"31-DEC-2999","cAct":"-","yPC":"4.68","mPC":"9.16"</v>
      </c>
      <c r="C165" s="14" t="s">
        <v>161</v>
      </c>
      <c r="D165" s="6" t="str">
        <f t="shared" si="55"/>
        <v>457.60</v>
      </c>
      <c r="E165" s="6" t="str">
        <f t="shared" si="55"/>
        <v>464.00</v>
      </c>
      <c r="F165" s="6" t="str">
        <f t="shared" si="55"/>
        <v>454.00</v>
      </c>
      <c r="G165" s="6" t="str">
        <f t="shared" si="55"/>
        <v>458.65</v>
      </c>
      <c r="H165" s="7" t="str">
        <f t="shared" si="50"/>
        <v xml:space="preserve">   </v>
      </c>
      <c r="I165" s="8" t="str">
        <f t="shared" si="51"/>
        <v xml:space="preserve">   </v>
      </c>
      <c r="J165" s="9" t="str">
        <f t="shared" si="52"/>
        <v xml:space="preserve">   </v>
      </c>
      <c r="K165" s="10" t="str">
        <f t="shared" si="53"/>
        <v xml:space="preserve">   </v>
      </c>
    </row>
    <row r="166" spans="2:11" x14ac:dyDescent="0.25">
      <c r="B166" t="str">
        <f t="shared" si="44"/>
        <v>"TATAGLOBAL","open":"118.10","high":"119.40","low":"116.85","ltP":"117.05","ptsC":"-1.55","per":"-1.31","trdVol":"6.76","trdVolM":"0.68","ntP":"7.98","mVal":"0.08","wkhi":"150.30","wklo":"100.00","wkhicm_adj":"177.15","wklocm_adj":"135.25","xDt":"31-DEC-2999","cAct":"-","yPC":"-21.28","mPC":"-3.90"</v>
      </c>
      <c r="C166" s="14" t="s">
        <v>162</v>
      </c>
      <c r="D166" s="6" t="str">
        <f t="shared" si="55"/>
        <v>118.10</v>
      </c>
      <c r="E166" s="6" t="str">
        <f t="shared" si="55"/>
        <v>119.40</v>
      </c>
      <c r="F166" s="6" t="str">
        <f t="shared" si="55"/>
        <v>116.85</v>
      </c>
      <c r="G166" s="6" t="str">
        <f t="shared" si="55"/>
        <v>117.05</v>
      </c>
      <c r="H166" s="7" t="str">
        <f t="shared" si="50"/>
        <v xml:space="preserve">   </v>
      </c>
      <c r="I166" s="8" t="str">
        <f t="shared" si="51"/>
        <v xml:space="preserve">   </v>
      </c>
      <c r="J166" s="9" t="str">
        <f t="shared" si="52"/>
        <v xml:space="preserve">   </v>
      </c>
      <c r="K166" s="10" t="str">
        <f t="shared" si="53"/>
        <v xml:space="preserve">   </v>
      </c>
    </row>
    <row r="167" spans="2:11" x14ac:dyDescent="0.25">
      <c r="B167" t="str">
        <f t="shared" si="44"/>
        <v>"TVSMOTOR","open":"299.00","high":"299.95","low":"289.10","ltP":"290.35","ptsC":"-8.75","per":"-2.93","trdVol":"12.92","trdVolM":"1.29","ntP":"37.87","mVal":"0.38","wkhi":"340.85","wklo":"201.00","wkhicm_adj":"266.70","wklocm_adj":"52.50","xDt":"17-MAR-2016","cAct":"INTERIM DIVIDEND - RS 1.50 PER SHARE (PURPOSE REVISED)","yPC":"22.93","mPC":"-12.07"</v>
      </c>
      <c r="C167" s="14" t="s">
        <v>163</v>
      </c>
      <c r="D167" s="6" t="str">
        <f t="shared" si="55"/>
        <v>299.00</v>
      </c>
      <c r="E167" s="6" t="str">
        <f t="shared" si="55"/>
        <v>299.95</v>
      </c>
      <c r="F167" s="6" t="str">
        <f t="shared" si="55"/>
        <v>289.10</v>
      </c>
      <c r="G167" s="6" t="str">
        <f t="shared" si="55"/>
        <v>290.35</v>
      </c>
      <c r="H167" s="7" t="str">
        <f t="shared" si="50"/>
        <v xml:space="preserve">   </v>
      </c>
      <c r="I167" s="8" t="str">
        <f t="shared" si="51"/>
        <v xml:space="preserve">   </v>
      </c>
      <c r="J167" s="9" t="str">
        <f t="shared" si="52"/>
        <v xml:space="preserve">   </v>
      </c>
      <c r="K167" s="10" t="str">
        <f t="shared" si="53"/>
        <v xml:space="preserve">   </v>
      </c>
    </row>
    <row r="168" spans="2:11" x14ac:dyDescent="0.25">
      <c r="B168" t="str">
        <f t="shared" si="44"/>
        <v>"UNIONBANK","open":"113.00","high":"117.05","low":"111.35","ltP":"116.80","ptsC":"6.00","per":"5.42","trdVol":"56.19","trdVolM":"5.62","ntP":"63.76","mVal":"0.64","wkhi":"222.70","wklo":"104.00","wkhicm_adj":"259.65","wklocm_adj":"100.50","xDt":"31-DEC-2999","cAct":"-","yPC":"-30.83","mPC":"-11.08"</v>
      </c>
      <c r="C168" s="14" t="s">
        <v>164</v>
      </c>
      <c r="D168" s="6" t="str">
        <f t="shared" si="55"/>
        <v>113.00</v>
      </c>
      <c r="E168" s="6" t="str">
        <f t="shared" si="55"/>
        <v>117.05</v>
      </c>
      <c r="F168" s="6" t="str">
        <f t="shared" si="55"/>
        <v>111.35</v>
      </c>
      <c r="G168" s="6" t="str">
        <f t="shared" si="55"/>
        <v>116.80</v>
      </c>
      <c r="H168" s="7" t="str">
        <f t="shared" si="50"/>
        <v xml:space="preserve">   </v>
      </c>
      <c r="I168" s="8" t="str">
        <f t="shared" si="51"/>
        <v xml:space="preserve">   </v>
      </c>
      <c r="J168" s="9" t="str">
        <f t="shared" si="52"/>
        <v xml:space="preserve">   </v>
      </c>
      <c r="K168" s="10" t="str">
        <f t="shared" si="53"/>
        <v xml:space="preserve">   </v>
      </c>
    </row>
    <row r="169" spans="2:11" x14ac:dyDescent="0.25">
      <c r="B169" t="str">
        <f t="shared" si="44"/>
        <v>"VOLTAS","open":"340.45","high":"342.00","low":"334.30","ltP":"337.00","ptsC":"-1.35","per":"-0.40","trdVol":"19.18","trdVolM":"1.92","ntP":"64.88","mVal":"0.65","wkhi":"359.90","wklo":"211.00","wkhicm_adj":"286.45","wklocm_adj":"96.85","xDt":"31-DEC-2999","cAct":"-","yPC":"0.04","mPC":"13.56"</v>
      </c>
      <c r="C169" s="14" t="s">
        <v>165</v>
      </c>
      <c r="D169" s="6" t="str">
        <f t="shared" si="55"/>
        <v>340.45</v>
      </c>
      <c r="E169" s="6" t="str">
        <f t="shared" si="55"/>
        <v>342.00</v>
      </c>
      <c r="F169" s="6" t="str">
        <f t="shared" si="55"/>
        <v>334.30</v>
      </c>
      <c r="G169" s="6" t="str">
        <f t="shared" si="55"/>
        <v>337.00</v>
      </c>
      <c r="H169" s="7" t="str">
        <f t="shared" si="50"/>
        <v xml:space="preserve">   </v>
      </c>
      <c r="I169" s="8" t="str">
        <f t="shared" si="51"/>
        <v xml:space="preserve">   </v>
      </c>
      <c r="J169" s="9" t="str">
        <f t="shared" si="52"/>
        <v xml:space="preserve">   </v>
      </c>
      <c r="K169" s="10" t="str">
        <f t="shared" si="53"/>
        <v xml:space="preserve">   </v>
      </c>
    </row>
    <row r="170" spans="2:11" x14ac:dyDescent="0.25">
      <c r="B170" t="str">
        <f t="shared" si="44"/>
        <v>"WOCKPHARMA","open":"904.90","high":"942.50","low":"904.00","ltP":"926.00","ptsC":"25.65","per":"2.85","trdVol":"7.08","trdVolM":"0.71","ntP":"65.84","mVal":"0.66","wkhi":"1,745.00","wklo":"705.75","wkhicm_adj":"887.00","wklocm_adj":"336.55","xDt":"31-DEC-2999","cAct":"-","yPC":"-41.23","mPC":"-10.69"</v>
      </c>
      <c r="C170" s="14" t="s">
        <v>166</v>
      </c>
      <c r="D170" s="6" t="str">
        <f t="shared" si="55"/>
        <v>904.90</v>
      </c>
      <c r="E170" s="6" t="str">
        <f t="shared" si="55"/>
        <v>942.50</v>
      </c>
      <c r="F170" s="6" t="str">
        <f t="shared" si="55"/>
        <v>904.00</v>
      </c>
      <c r="G170" s="6" t="str">
        <f t="shared" si="55"/>
        <v>926.00</v>
      </c>
      <c r="H170" s="7" t="str">
        <f t="shared" si="50"/>
        <v xml:space="preserve">   </v>
      </c>
      <c r="I170" s="8" t="str">
        <f t="shared" si="51"/>
        <v xml:space="preserve">   </v>
      </c>
      <c r="J170" s="9" t="str">
        <f t="shared" si="52"/>
        <v xml:space="preserve">   </v>
      </c>
      <c r="K170" s="10" t="str">
        <f t="shared" si="53"/>
        <v xml:space="preserve">   </v>
      </c>
    </row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"/>
  <sheetViews>
    <sheetView workbookViewId="0">
      <selection activeCell="B3" sqref="B3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168</v>
      </c>
      <c r="C2" s="4" t="s">
        <v>2</v>
      </c>
      <c r="D2" s="4" t="s">
        <v>7</v>
      </c>
      <c r="E2" s="4" t="s">
        <v>59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</vt:lpstr>
      <vt:lpstr>Intraday_Trading_System!niftyMidcap50StockWatch</vt:lpstr>
      <vt:lpstr>Intraday_Trading_System!niftyStockWatch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Kisha Popo</cp:lastModifiedBy>
  <dcterms:created xsi:type="dcterms:W3CDTF">2016-03-09T20:07:35Z</dcterms:created>
  <dcterms:modified xsi:type="dcterms:W3CDTF">2016-05-29T17:22:27Z</dcterms:modified>
</cp:coreProperties>
</file>