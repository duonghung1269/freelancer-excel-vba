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 activeTab="1"/>
  </bookViews>
  <sheets>
    <sheet name="Intraday_Trading_System" sheetId="1" r:id="rId1"/>
    <sheet name="Sheet1" sheetId="2" r:id="rId2"/>
    <sheet name="Sheet2" sheetId="3" r:id="rId3"/>
  </sheets>
  <definedNames>
    <definedName name="juniorNiftyStockWatch" localSheetId="0">Intraday_Trading_System!$E$3:$E$5</definedName>
    <definedName name="niftyMidcap50StockWatch" localSheetId="0">Intraday_Trading_System!$E$6:$E$7</definedName>
    <definedName name="niftyStockWatch" localSheetId="0">Intraday_Trading_System!$E$1:$E$2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4" i="1" l="1"/>
  <c r="E164" i="1" s="1"/>
  <c r="B165" i="1"/>
  <c r="F165" i="1" s="1"/>
  <c r="B166" i="1"/>
  <c r="E166" i="1" s="1"/>
  <c r="B167" i="1"/>
  <c r="G167" i="1" s="1"/>
  <c r="B168" i="1"/>
  <c r="E168" i="1" s="1"/>
  <c r="B169" i="1"/>
  <c r="F169" i="1" s="1"/>
  <c r="B170" i="1"/>
  <c r="E170" i="1" s="1"/>
  <c r="B157" i="1"/>
  <c r="E157" i="1" s="1"/>
  <c r="F157" i="1"/>
  <c r="B158" i="1"/>
  <c r="F158" i="1" s="1"/>
  <c r="B159" i="1"/>
  <c r="E159" i="1" s="1"/>
  <c r="B160" i="1"/>
  <c r="G160" i="1" s="1"/>
  <c r="B161" i="1"/>
  <c r="E161" i="1" s="1"/>
  <c r="B162" i="1"/>
  <c r="F162" i="1" s="1"/>
  <c r="B163" i="1"/>
  <c r="E163" i="1" s="1"/>
  <c r="B122" i="1"/>
  <c r="G122" i="1" s="1"/>
  <c r="B123" i="1"/>
  <c r="F123" i="1" s="1"/>
  <c r="G123" i="1"/>
  <c r="B124" i="1"/>
  <c r="E124" i="1" s="1"/>
  <c r="B125" i="1"/>
  <c r="D125" i="1" s="1"/>
  <c r="B126" i="1"/>
  <c r="F126" i="1" s="1"/>
  <c r="B127" i="1"/>
  <c r="D127" i="1" s="1"/>
  <c r="B128" i="1"/>
  <c r="E128" i="1" s="1"/>
  <c r="B129" i="1"/>
  <c r="D129" i="1" s="1"/>
  <c r="B130" i="1"/>
  <c r="D130" i="1" s="1"/>
  <c r="F130" i="1"/>
  <c r="B131" i="1"/>
  <c r="F131" i="1" s="1"/>
  <c r="B132" i="1"/>
  <c r="E132" i="1" s="1"/>
  <c r="B133" i="1"/>
  <c r="D133" i="1" s="1"/>
  <c r="B134" i="1"/>
  <c r="F134" i="1" s="1"/>
  <c r="B135" i="1"/>
  <c r="F135" i="1" s="1"/>
  <c r="B136" i="1"/>
  <c r="E136" i="1" s="1"/>
  <c r="B137" i="1"/>
  <c r="D137" i="1" s="1"/>
  <c r="B138" i="1"/>
  <c r="D138" i="1" s="1"/>
  <c r="B139" i="1"/>
  <c r="F139" i="1" s="1"/>
  <c r="B140" i="1"/>
  <c r="E140" i="1" s="1"/>
  <c r="B141" i="1"/>
  <c r="D141" i="1" s="1"/>
  <c r="B142" i="1"/>
  <c r="F142" i="1" s="1"/>
  <c r="B143" i="1"/>
  <c r="F143" i="1" s="1"/>
  <c r="B144" i="1"/>
  <c r="E144" i="1" s="1"/>
  <c r="B145" i="1"/>
  <c r="D145" i="1" s="1"/>
  <c r="B146" i="1"/>
  <c r="D146" i="1" s="1"/>
  <c r="B147" i="1"/>
  <c r="F147" i="1" s="1"/>
  <c r="B148" i="1"/>
  <c r="E148" i="1" s="1"/>
  <c r="B149" i="1"/>
  <c r="D149" i="1" s="1"/>
  <c r="B150" i="1"/>
  <c r="D150" i="1" s="1"/>
  <c r="B151" i="1"/>
  <c r="E151" i="1" s="1"/>
  <c r="B152" i="1"/>
  <c r="E152" i="1" s="1"/>
  <c r="B153" i="1"/>
  <c r="D153" i="1" s="1"/>
  <c r="B154" i="1"/>
  <c r="D154" i="1" s="1"/>
  <c r="B155" i="1"/>
  <c r="D155" i="1" s="1"/>
  <c r="B156" i="1"/>
  <c r="E156" i="1" s="1"/>
  <c r="B121" i="1"/>
  <c r="G121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G72" i="1" s="1"/>
  <c r="B73" i="1"/>
  <c r="F73" i="1" s="1"/>
  <c r="B74" i="1"/>
  <c r="E74" i="1" s="1"/>
  <c r="B75" i="1"/>
  <c r="E75" i="1" s="1"/>
  <c r="B76" i="1"/>
  <c r="B77" i="1"/>
  <c r="D77" i="1" s="1"/>
  <c r="B78" i="1"/>
  <c r="B79" i="1"/>
  <c r="E79" i="1" s="1"/>
  <c r="B80" i="1"/>
  <c r="E80" i="1" s="1"/>
  <c r="B81" i="1"/>
  <c r="D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F89" i="1"/>
  <c r="B90" i="1"/>
  <c r="E90" i="1" s="1"/>
  <c r="B91" i="1"/>
  <c r="E91" i="1" s="1"/>
  <c r="B92" i="1"/>
  <c r="B93" i="1"/>
  <c r="D93" i="1" s="1"/>
  <c r="B94" i="1"/>
  <c r="B95" i="1"/>
  <c r="E95" i="1" s="1"/>
  <c r="B96" i="1"/>
  <c r="E96" i="1" s="1"/>
  <c r="B97" i="1"/>
  <c r="D97" i="1" s="1"/>
  <c r="B98" i="1"/>
  <c r="E98" i="1" s="1"/>
  <c r="B99" i="1"/>
  <c r="E99" i="1" s="1"/>
  <c r="B100" i="1"/>
  <c r="G100" i="1" s="1"/>
  <c r="B101" i="1"/>
  <c r="D101" i="1" s="1"/>
  <c r="B102" i="1"/>
  <c r="E102" i="1" s="1"/>
  <c r="B103" i="1"/>
  <c r="E103" i="1" s="1"/>
  <c r="G103" i="1"/>
  <c r="B104" i="1"/>
  <c r="E104" i="1" s="1"/>
  <c r="B105" i="1"/>
  <c r="E105" i="1" s="1"/>
  <c r="B106" i="1"/>
  <c r="E106" i="1" s="1"/>
  <c r="B107" i="1"/>
  <c r="E107" i="1" s="1"/>
  <c r="B108" i="1"/>
  <c r="D108" i="1" s="1"/>
  <c r="B109" i="1"/>
  <c r="F109" i="1" s="1"/>
  <c r="B110" i="1"/>
  <c r="G110" i="1" s="1"/>
  <c r="B111" i="1"/>
  <c r="D111" i="1" s="1"/>
  <c r="B112" i="1"/>
  <c r="D112" i="1" s="1"/>
  <c r="B113" i="1"/>
  <c r="E113" i="1" s="1"/>
  <c r="B114" i="1"/>
  <c r="F114" i="1" s="1"/>
  <c r="B115" i="1"/>
  <c r="G115" i="1" s="1"/>
  <c r="B66" i="1"/>
  <c r="F66" i="1" s="1"/>
  <c r="B52" i="1"/>
  <c r="E52" i="1" s="1"/>
  <c r="B37" i="1"/>
  <c r="D37" i="1" s="1"/>
  <c r="B25" i="1"/>
  <c r="G25" i="1" s="1"/>
  <c r="B14" i="1"/>
  <c r="G14" i="1" s="1"/>
  <c r="B11" i="1"/>
  <c r="E11" i="1" s="1"/>
  <c r="A6" i="1"/>
  <c r="A9" i="1"/>
  <c r="A2" i="1"/>
  <c r="G102" i="1" l="1"/>
  <c r="E72" i="1"/>
  <c r="F154" i="1"/>
  <c r="G154" i="1"/>
  <c r="G144" i="1"/>
  <c r="G130" i="1"/>
  <c r="E143" i="1"/>
  <c r="J143" i="1" s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J164" i="1" s="1"/>
  <c r="D144" i="1"/>
  <c r="D128" i="1"/>
  <c r="D124" i="1"/>
  <c r="F85" i="1"/>
  <c r="K85" i="1" s="1"/>
  <c r="G74" i="1"/>
  <c r="G155" i="1"/>
  <c r="G148" i="1"/>
  <c r="F146" i="1"/>
  <c r="E135" i="1"/>
  <c r="G128" i="1"/>
  <c r="G158" i="1"/>
  <c r="F168" i="1"/>
  <c r="H168" i="1" s="1"/>
  <c r="G165" i="1"/>
  <c r="D168" i="1"/>
  <c r="D151" i="1"/>
  <c r="D136" i="1"/>
  <c r="D123" i="1"/>
  <c r="I123" i="1" s="1"/>
  <c r="K123" i="1" s="1"/>
  <c r="D156" i="1"/>
  <c r="D152" i="1"/>
  <c r="D140" i="1"/>
  <c r="K140" i="1" s="1"/>
  <c r="D132" i="1"/>
  <c r="D163" i="1"/>
  <c r="D159" i="1"/>
  <c r="J159" i="1" s="1"/>
  <c r="D147" i="1"/>
  <c r="D143" i="1"/>
  <c r="D135" i="1"/>
  <c r="J155" i="1"/>
  <c r="G166" i="1"/>
  <c r="I155" i="1"/>
  <c r="K155" i="1" s="1"/>
  <c r="G147" i="1"/>
  <c r="G142" i="1"/>
  <c r="G140" i="1"/>
  <c r="G134" i="1"/>
  <c r="G132" i="1"/>
  <c r="G127" i="1"/>
  <c r="G126" i="1"/>
  <c r="G163" i="1"/>
  <c r="G161" i="1"/>
  <c r="F166" i="1"/>
  <c r="D170" i="1"/>
  <c r="I170" i="1" s="1"/>
  <c r="D166" i="1"/>
  <c r="D162" i="1"/>
  <c r="D158" i="1"/>
  <c r="D142" i="1"/>
  <c r="D134" i="1"/>
  <c r="D126" i="1"/>
  <c r="D122" i="1"/>
  <c r="E147" i="1"/>
  <c r="J147" i="1" s="1"/>
  <c r="G143" i="1"/>
  <c r="F140" i="1"/>
  <c r="G135" i="1"/>
  <c r="F132" i="1"/>
  <c r="F127" i="1"/>
  <c r="I127" i="1" s="1"/>
  <c r="F163" i="1"/>
  <c r="K163" i="1" s="1"/>
  <c r="F161" i="1"/>
  <c r="G159" i="1"/>
  <c r="G170" i="1"/>
  <c r="G168" i="1"/>
  <c r="G164" i="1"/>
  <c r="D169" i="1"/>
  <c r="D165" i="1"/>
  <c r="D161" i="1"/>
  <c r="D157" i="1"/>
  <c r="H157" i="1" s="1"/>
  <c r="D121" i="1"/>
  <c r="I164" i="1"/>
  <c r="G169" i="1"/>
  <c r="E169" i="1"/>
  <c r="E165" i="1"/>
  <c r="F167" i="1"/>
  <c r="E167" i="1"/>
  <c r="I159" i="1"/>
  <c r="I163" i="1"/>
  <c r="J163" i="1"/>
  <c r="K157" i="1"/>
  <c r="I15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J139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H155" i="1"/>
  <c r="E154" i="1"/>
  <c r="F153" i="1"/>
  <c r="G152" i="1"/>
  <c r="F156" i="1"/>
  <c r="J156" i="1" s="1"/>
  <c r="E153" i="1"/>
  <c r="F152" i="1"/>
  <c r="I152" i="1" s="1"/>
  <c r="E149" i="1"/>
  <c r="F148" i="1"/>
  <c r="E145" i="1"/>
  <c r="F144" i="1"/>
  <c r="K144" i="1" s="1"/>
  <c r="E141" i="1"/>
  <c r="E137" i="1"/>
  <c r="E133" i="1"/>
  <c r="E129" i="1"/>
  <c r="F128" i="1"/>
  <c r="E125" i="1"/>
  <c r="F124" i="1"/>
  <c r="H124" i="1" s="1"/>
  <c r="G149" i="1"/>
  <c r="G137" i="1"/>
  <c r="G125" i="1"/>
  <c r="F121" i="1"/>
  <c r="E121" i="1"/>
  <c r="G113" i="1"/>
  <c r="F113" i="1"/>
  <c r="D113" i="1"/>
  <c r="J113" i="1" s="1"/>
  <c r="G85" i="1"/>
  <c r="G83" i="1"/>
  <c r="G93" i="1"/>
  <c r="G69" i="1"/>
  <c r="D105" i="1"/>
  <c r="F103" i="1"/>
  <c r="D95" i="1"/>
  <c r="F93" i="1"/>
  <c r="D89" i="1"/>
  <c r="H89" i="1" s="1"/>
  <c r="G86" i="1"/>
  <c r="F79" i="1"/>
  <c r="D71" i="1"/>
  <c r="F69" i="1"/>
  <c r="K69" i="1" s="1"/>
  <c r="G67" i="1"/>
  <c r="E112" i="1"/>
  <c r="E100" i="1"/>
  <c r="E93" i="1"/>
  <c r="G75" i="1"/>
  <c r="D69" i="1"/>
  <c r="G97" i="1"/>
  <c r="E109" i="1"/>
  <c r="F107" i="1"/>
  <c r="F105" i="1"/>
  <c r="G104" i="1"/>
  <c r="D103" i="1"/>
  <c r="H103" i="1" s="1"/>
  <c r="E97" i="1"/>
  <c r="D85" i="1"/>
  <c r="D83" i="1"/>
  <c r="D75" i="1"/>
  <c r="E73" i="1"/>
  <c r="G71" i="1"/>
  <c r="D67" i="1"/>
  <c r="J103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K112" i="1" s="1"/>
  <c r="G108" i="1"/>
  <c r="G107" i="1"/>
  <c r="G106" i="1"/>
  <c r="D99" i="1"/>
  <c r="I99" i="1" s="1"/>
  <c r="F95" i="1"/>
  <c r="D91" i="1"/>
  <c r="D87" i="1"/>
  <c r="F83" i="1"/>
  <c r="H83" i="1" s="1"/>
  <c r="G79" i="1"/>
  <c r="F75" i="1"/>
  <c r="H75" i="1" s="1"/>
  <c r="F110" i="1"/>
  <c r="D110" i="1"/>
  <c r="E110" i="1"/>
  <c r="I103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I97" i="1"/>
  <c r="D78" i="1"/>
  <c r="F78" i="1"/>
  <c r="E78" i="1"/>
  <c r="G78" i="1"/>
  <c r="I87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I84" i="1" s="1"/>
  <c r="D84" i="1"/>
  <c r="D70" i="1"/>
  <c r="F70" i="1"/>
  <c r="D82" i="1"/>
  <c r="F82" i="1"/>
  <c r="D106" i="1"/>
  <c r="F106" i="1"/>
  <c r="F104" i="1"/>
  <c r="D104" i="1"/>
  <c r="I95" i="1"/>
  <c r="D90" i="1"/>
  <c r="F90" i="1"/>
  <c r="F88" i="1"/>
  <c r="D88" i="1"/>
  <c r="G82" i="1"/>
  <c r="G80" i="1"/>
  <c r="D74" i="1"/>
  <c r="F74" i="1"/>
  <c r="I73" i="1"/>
  <c r="F72" i="1"/>
  <c r="D72" i="1"/>
  <c r="G68" i="1"/>
  <c r="K67" i="1"/>
  <c r="D66" i="1"/>
  <c r="E66" i="1"/>
  <c r="K66" i="1" s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l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K168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H170" i="1"/>
  <c r="H166" i="1"/>
  <c r="K166" i="1"/>
  <c r="J151" i="1"/>
  <c r="K135" i="1"/>
  <c r="H93" i="1"/>
  <c r="K113" i="1"/>
  <c r="J105" i="1"/>
  <c r="H71" i="1"/>
  <c r="I107" i="1"/>
  <c r="K79" i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K152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I124" i="1"/>
  <c r="K148" i="1"/>
  <c r="H133" i="1"/>
  <c r="I133" i="1"/>
  <c r="J133" i="1"/>
  <c r="K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K156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H129" i="1"/>
  <c r="I129" i="1"/>
  <c r="K129" i="1"/>
  <c r="J129" i="1"/>
  <c r="H137" i="1"/>
  <c r="K137" i="1"/>
  <c r="I137" i="1"/>
  <c r="J137" i="1"/>
  <c r="H149" i="1"/>
  <c r="K149" i="1"/>
  <c r="I149" i="1"/>
  <c r="J149" i="1"/>
  <c r="K154" i="1"/>
  <c r="H154" i="1"/>
  <c r="I154" i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75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J104" i="1"/>
  <c r="I70" i="1"/>
  <c r="I86" i="1"/>
  <c r="K86" i="1" s="1"/>
  <c r="K97" i="1"/>
  <c r="H68" i="1"/>
  <c r="H80" i="1"/>
  <c r="J87" i="1"/>
  <c r="H112" i="1"/>
  <c r="K99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84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K107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/>
  <c r="K90" i="1"/>
  <c r="J92" i="1"/>
  <c r="H92" i="1"/>
  <c r="I92" i="1"/>
  <c r="K92" i="1"/>
  <c r="J66" i="1"/>
  <c r="H66" i="1"/>
  <c r="I66" i="1"/>
  <c r="H52" i="1"/>
  <c r="H37" i="1"/>
  <c r="H25" i="1"/>
  <c r="H14" i="1"/>
  <c r="I52" i="1"/>
  <c r="J52" i="1"/>
  <c r="K52" i="1"/>
  <c r="I37" i="1"/>
  <c r="J37" i="1"/>
  <c r="K37" i="1"/>
  <c r="K25" i="1"/>
  <c r="I25" i="1"/>
  <c r="J25" i="1"/>
  <c r="J11" i="1"/>
  <c r="K14" i="1"/>
  <c r="I14" i="1"/>
  <c r="J14" i="1"/>
  <c r="I11" i="1"/>
  <c r="K11" i="1" s="1"/>
  <c r="B29" i="1"/>
  <c r="B41" i="1"/>
  <c r="B30" i="1" l="1"/>
  <c r="B60" i="1" l="1"/>
  <c r="G60" i="1" s="1"/>
  <c r="B59" i="1"/>
  <c r="G59" i="1" s="1"/>
  <c r="B58" i="1"/>
  <c r="E58" i="1" s="1"/>
  <c r="B57" i="1"/>
  <c r="G57" i="1" s="1"/>
  <c r="B56" i="1"/>
  <c r="G56" i="1" s="1"/>
  <c r="B55" i="1"/>
  <c r="E55" i="1" s="1"/>
  <c r="B54" i="1"/>
  <c r="G54" i="1" s="1"/>
  <c r="B53" i="1"/>
  <c r="G53" i="1" s="1"/>
  <c r="B51" i="1"/>
  <c r="G51" i="1" s="1"/>
  <c r="B50" i="1"/>
  <c r="E50" i="1" s="1"/>
  <c r="B49" i="1"/>
  <c r="G49" i="1" s="1"/>
  <c r="B48" i="1"/>
  <c r="G48" i="1" s="1"/>
  <c r="B47" i="1"/>
  <c r="G47" i="1" s="1"/>
  <c r="B46" i="1"/>
  <c r="B45" i="1"/>
  <c r="G45" i="1" s="1"/>
  <c r="B44" i="1"/>
  <c r="G44" i="1" s="1"/>
  <c r="B43" i="1"/>
  <c r="E43" i="1" s="1"/>
  <c r="B42" i="1"/>
  <c r="G41" i="1"/>
  <c r="B40" i="1"/>
  <c r="G40" i="1" s="1"/>
  <c r="B39" i="1"/>
  <c r="E39" i="1" s="1"/>
  <c r="B38" i="1"/>
  <c r="G38" i="1" s="1"/>
  <c r="B36" i="1"/>
  <c r="G36" i="1" s="1"/>
  <c r="B35" i="1"/>
  <c r="G35" i="1" s="1"/>
  <c r="B34" i="1"/>
  <c r="E34" i="1" s="1"/>
  <c r="B33" i="1"/>
  <c r="B32" i="1"/>
  <c r="G32" i="1" s="1"/>
  <c r="B31" i="1"/>
  <c r="G31" i="1" s="1"/>
  <c r="B28" i="1"/>
  <c r="G28" i="1" s="1"/>
  <c r="B27" i="1"/>
  <c r="G27" i="1" s="1"/>
  <c r="B26" i="1"/>
  <c r="B24" i="1"/>
  <c r="G24" i="1" s="1"/>
  <c r="B23" i="1"/>
  <c r="G23" i="1" s="1"/>
  <c r="B22" i="1"/>
  <c r="G22" i="1" s="1"/>
  <c r="B21" i="1"/>
  <c r="E21" i="1" s="1"/>
  <c r="B20" i="1"/>
  <c r="F20" i="1" s="1"/>
  <c r="B19" i="1"/>
  <c r="G19" i="1" s="1"/>
  <c r="B18" i="1"/>
  <c r="G18" i="1" s="1"/>
  <c r="B17" i="1"/>
  <c r="G17" i="1" s="1"/>
  <c r="B16" i="1"/>
  <c r="E16" i="1" s="1"/>
  <c r="B15" i="1"/>
  <c r="F15" i="1" s="1"/>
  <c r="B13" i="1"/>
  <c r="G13" i="1" s="1"/>
  <c r="B12" i="1"/>
  <c r="G12" i="1" s="1"/>
  <c r="B10" i="1"/>
  <c r="E10" i="1" s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43" i="1" l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13" i="1"/>
  <c r="H22" i="1"/>
  <c r="H30" i="1"/>
  <c r="H15" i="1"/>
  <c r="H60" i="1"/>
  <c r="H56" i="1"/>
  <c r="H36" i="1"/>
  <c r="H53" i="1"/>
  <c r="H47" i="1"/>
  <c r="H31" i="1"/>
  <c r="H12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41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H10" i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nseindia.com/live_market/dynaContent/live_watch/stock_watch/niftyStockWatch.json" htmlTables="1"/>
  </connection>
  <connection id="2" name="Connection1" type="4" refreshedVersion="4" background="1" saveData="1">
    <webPr sourceData="1" parsePre="1" consecutive="1" xl2000="1" url="https://www.nseindia.com/live_market/dynaContent/live_watch/stock_watch/juniorNiftyStockWatch.json" htmlTables="1"/>
  </connection>
  <connection id="3" name="Connection2" type="4" refreshedVersion="4" backgroun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<sst xmlns="http://schemas.openxmlformats.org/spreadsheetml/2006/main" count="194" uniqueCount="169">
  <si>
    <t>Web Data</t>
  </si>
  <si>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</si>
  <si>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</si>
  <si>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</si>
  <si>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</si>
  <si>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</si>
  <si>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</si>
  <si>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</si>
  <si>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</si>
  <si>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</si>
  <si>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</si>
  <si>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</si>
  <si>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</si>
  <si>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</si>
  <si>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</si>
  <si>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</si>
  <si>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</si>
  <si>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</si>
  <si>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</si>
  <si>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</si>
  <si>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</si>
  <si>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</si>
  <si>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</si>
  <si>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</si>
  <si>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</si>
  <si>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</si>
  <si>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</si>
  <si>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</si>
  <si>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</si>
  <si>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</si>
  <si>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</si>
  <si>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</si>
  <si>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</si>
  <si>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</si>
  <si>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</si>
  <si>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</si>
  <si>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</si>
  <si>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</si>
  <si>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</si>
  <si>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</si>
  <si>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</si>
  <si>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</si>
  <si>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</si>
  <si>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</si>
  <si>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</si>
  <si>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</si>
  <si>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</si>
  <si>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</si>
  <si>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</si>
  <si>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</si>
  <si>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</si>
  <si>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</si>
  <si>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</si>
  <si>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</si>
  <si>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</si>
  <si>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</si>
  <si>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</si>
  <si>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</si>
  <si>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</si>
  <si>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</si>
  <si>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</si>
  <si>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</si>
  <si>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 xml:space="preserve">{"trdVolumesumMil":"268.96","time":"May 27, 2016 16:00:00","latestData":[{"indexName":"NIFTY 50","open":"8,081.95","high":"8,164.20","low":"8,077.05","ltp":"8,156.65","ch":"87.00","per":"1.08","yCls":"-2.16","mCls":"2.44","yHigh":"8,654.75","yLow":"6,825.80"}],"declines":15,"trdValueSum":"10,607.10","data":[{"symbol":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},{"symbol":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},{"symbol":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},{"symbol":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},{"symbol":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},{"symbol":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},{"symbol":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},{"symbol":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},{"symbol":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},{"symbol":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},{"symbol":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},{"symbol":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},{"symbol":"HDFC","open":"1,230.00","high":"1,268.40","low":"1,218.35","ltP":"1,250.00","ptsC":"21.75","per":"1.77","trdVol":"32.47","trdVolM":"3.25","ntP":"404.29","mVal":"4.04","wkhi":"1,372.40","wklo":"1,011.45","wkhicm_adj":"1,177.80","wklocm_adj":"755.00","xDt":"30-MAR-2016","cAct":"INTERIM DIVIDEND - RS 3\/- PER SHARE (PURPOSE REVISED)","yPC":"0.81","mPC":"10.88"},{"symbol":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},{"symbol":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},{"symbol":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},{"symbol":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},{"symbol":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},{"symbol":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},{"symbol":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},{"symbol":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},{"symbol":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},{"symbol":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},{"symbol":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},{"symbol":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},{"symbol":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},{"symbol":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},{"symbol":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},{"symbol":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},{"symbol":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},{"symbol":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},{"symbol":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},{"symbol":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},{"symbol":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},{"symbol":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},{"symbol":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},{"symbol":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},{"symbol":"LT","open":"1,474.00","high":"1,487.35","low":"1,452.00","ltP":"1,470.90","ptsC":"-3.25","per":"-0.22","trdVol":"39.24","trdVolM":"3.92","ntP":"576.63","mVal":"5.77","wkhi":"1,888.00","wklo":"1,016.05","wkhicm_adj":"1,776.60","wklocm_adj":"951.50","xDt":"31-DEC-2999","cAct":"-","yPC":"-10.06","mPC":"14.82"},{"symbol":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},{"symbol":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},{"symbol":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},{"symbol":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},{"symbol":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},{"symbol":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},{"symbol":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},{"symbol":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},{"symbol":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},{"symbol":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},{"symbol":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REVISED)","yPC":"-35.96","mPC":"-0.79"}],"trdValueSumMil":"106.07","unchanged":0,"trdVolumesum":"2,689.62","advances":36} </t>
  </si>
  <si>
    <t>AUROPHARMA</t>
  </si>
  <si>
    <t>EICHERMOT</t>
  </si>
  <si>
    <t>INFRATEL</t>
  </si>
  <si>
    <t>TATAMTRDVR</t>
  </si>
  <si>
    <t xml:space="preserve">{"trdVolumesumMil":"131.72","time":"May 27, 2016 16:00:00","latestData":[{"indexName":"NIFTY NEXT 50","open":"19,490.80","high":"19,784.10","low":"19,471.50","ltp":"19,716.15","ch":"287.00","per":"1.48","yCls":"10.18","mCls":"1.56","yHigh":"21,730.80","yLow":"16,607.80"}],"declines":13,"trdValueSum":"3,773.70","data":[{"symbol":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},{"symbol":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},{"symbol":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},{"symbol":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},{"symbol":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},{"symbol":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},{"symbol":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},{"symbol":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},{"symbol":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},{"symbol":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},{"symbol":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},{"symbol":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},{"symbol":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},{"symbol":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},{"symbol":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},{"symbol":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},{"symbol":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},{"symbol":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},{"symbol":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},{"symbol":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},{"symbol":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},{"symbol":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},{"symbol":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},{"symbol":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},{"symbol":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},{"symbol":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},{"symbol":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},{"symbol":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},{"symbol":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},{"symbol":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},{"symbol":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},{"symbol":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},{"symbol":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},{"symbol":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},{"symbol":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},{"symbol":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},{"symbol":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},{"symbol":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},{"symbol":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},{"symbol":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},{"symbol":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},{"symbol":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},{"symbol":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},{"symbol":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},{"symbol":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},{"symbol":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},{"symbol":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},{"symbol":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},{"symbol":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},{"symbol":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}],"trdValueSumMil":"37.74","unchanged":0,"trdVolumesum":"1,317.18","advances":37} 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</si>
  <si>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</si>
  <si>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</si>
  <si>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</si>
  <si>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</si>
  <si>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</si>
  <si>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</si>
  <si>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</si>
  <si>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</si>
  <si>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</si>
  <si>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</si>
  <si>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</si>
  <si>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</si>
  <si>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</si>
  <si>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</si>
  <si>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</si>
  <si>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</si>
  <si>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</si>
  <si>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</si>
  <si>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</si>
  <si>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</si>
  <si>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</si>
  <si>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</si>
  <si>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</si>
  <si>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</si>
  <si>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</si>
  <si>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</si>
  <si>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</si>
  <si>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</si>
  <si>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</si>
  <si>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</si>
  <si>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</si>
  <si>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</si>
  <si>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</si>
  <si>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</si>
  <si>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</si>
  <si>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</si>
  <si>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</si>
  <si>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</si>
  <si>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</si>
  <si>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</si>
  <si>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</si>
  <si>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</si>
  <si>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</si>
  <si>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</si>
  <si>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</si>
  <si>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</si>
  <si>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</si>
  <si>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</si>
  <si>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 xml:space="preserve">{"trdVolumesumMil":"138.10","time":"May 27, 2016 16:00:00","latestData":[{"indexName":"NIFTY MIDCAP 50","open":"3,344.55","high":"3,388.20","low":"3,341.40","ltp":"3,370.90","ch":"38.15","per":"1.14","yCls":"0.88","mCls":"-0.46","yHigh":"3,563.60","yLow":"2,633.10"}],"declines":13,"trdValueSum":"2,366.18","data":[{"symbol":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},{"symbol":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},{"symbol":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},{"symbol":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},{"symbol":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},{"symbol":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},{"symbol":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},{"symbol":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},{"symbol":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},{"symbol":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},{"symbol":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},{"symbol":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},{"symbol":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},{"symbol":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},{"symbol":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},{"symbol":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},{"symbol":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},{"symbol":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},{"symbol":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},{"symbol":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},{"symbol":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},{"symbol":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},{"symbol":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},{"symbol":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},{"symbol":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},{"symbol":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},{"symbol":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},{"symbol":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},{"symbol":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},{"symbol":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},{"symbol":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},{"symbol":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},{"symbol":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},{"symbol":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},{"symbol":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},{"symbol":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},{"symbol":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},{"symbol":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},{"symbol":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},{"symbol":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},{"symbol":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},{"symbol":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},{"symbol":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},{"symbol":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},{"symbol":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},{"symbol":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},{"symbol":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},{"symbol":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},{"symbol":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},{"symbol":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}],"trdValueSumMil":"23.66","unchanged":1,"trdVolumesum":"1,381.03","advances":36} 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</si>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</sst>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juniorNiftyStockWatch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StockWatch" refreshOnLoad="1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Midcap50StockWatch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0"/>
  <sheetViews>
    <sheetView topLeftCell="C7" workbookViewId="0">
      <selection activeCell="K12" sqref="K12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</cols>
  <sheetData>
    <row r="1" spans="1:13" ht="22.5" hidden="1" customHeight="1" x14ac:dyDescent="0.25">
      <c r="D1" s="2" t="s">
        <v>0</v>
      </c>
      <c r="E1" s="3" t="s">
        <v>62</v>
      </c>
    </row>
    <row r="2" spans="1:13" hidden="1" x14ac:dyDescent="0.25">
      <c r="A2" t="str">
        <f>MID(M2, 14, 4)</f>
        <v/>
      </c>
    </row>
    <row r="3" spans="1:13" hidden="1" x14ac:dyDescent="0.25">
      <c r="D3" t="s">
        <v>68</v>
      </c>
      <c r="E3" t="s">
        <v>67</v>
      </c>
    </row>
    <row r="4" spans="1:13" hidden="1" x14ac:dyDescent="0.25"/>
    <row r="5" spans="1:13" hidden="1" x14ac:dyDescent="0.25"/>
    <row r="6" spans="1:13" hidden="1" x14ac:dyDescent="0.25">
      <c r="A6" t="str">
        <f>MID(M6, 14, 4)</f>
        <v/>
      </c>
      <c r="D6" t="s">
        <v>115</v>
      </c>
      <c r="E6" t="s">
        <v>116</v>
      </c>
    </row>
    <row r="8" spans="1:13" x14ac:dyDescent="0.25">
      <c r="C8" s="15" t="s">
        <v>167</v>
      </c>
    </row>
    <row r="9" spans="1:13" x14ac:dyDescent="0.25">
      <c r="A9" t="str">
        <f>MID(M9, 14, 4)</f>
        <v/>
      </c>
      <c r="B9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8</v>
      </c>
      <c r="J9" s="4" t="s">
        <v>9</v>
      </c>
      <c r="K9" s="4" t="s">
        <v>59</v>
      </c>
    </row>
    <row r="10" spans="1:13" x14ac:dyDescent="0.25">
      <c r="B10" t="str">
        <f t="shared" ref="B10:B44" si="0">MID($E$1,FIND(C10,$E$1)-1,FIND("}",$E$1,FIND(C10,$E$1))-FIND(C10,$E$1)+1)</f>
        <v>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</v>
      </c>
      <c r="C10" s="5" t="s">
        <v>10</v>
      </c>
      <c r="D10" s="6" t="str">
        <f t="shared" ref="D10:G31" si="1">MID($B10,FIND(D$9,$B10)+LEN(D$9)+3,FIND(CHAR(34),$B10,FIND(D$9,$B10)+LEN(D$9)+3)-(FIND(D$9,$B10)+LEN(D$9)+3))</f>
        <v>1,509.00</v>
      </c>
      <c r="E10" s="6" t="str">
        <f t="shared" si="1"/>
        <v>1,533.30</v>
      </c>
      <c r="F10" s="6" t="str">
        <f t="shared" si="1"/>
        <v>1,502.00</v>
      </c>
      <c r="G10" s="6" t="str">
        <f t="shared" si="1"/>
        <v>1,525.15</v>
      </c>
      <c r="H10" s="7" t="str">
        <f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M10" s="12"/>
    </row>
    <row r="11" spans="1:13" x14ac:dyDescent="0.25">
      <c r="B11" t="str">
        <f t="shared" ref="B11" si="2">MID($E$1,FIND(C11,$E$1)-1,FIND("}",$E$1,FIND(C11,$E$1))-FIND(C11,$E$1)+1)</f>
        <v>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</v>
      </c>
      <c r="C11" s="5" t="s">
        <v>61</v>
      </c>
      <c r="D11" s="6" t="str">
        <f t="shared" si="1"/>
        <v>185.40</v>
      </c>
      <c r="E11" s="6" t="str">
        <f t="shared" si="1"/>
        <v>192.95</v>
      </c>
      <c r="F11" s="6" t="str">
        <f t="shared" si="1"/>
        <v>185.00</v>
      </c>
      <c r="G11" s="6" t="str">
        <f t="shared" si="1"/>
        <v>191.55</v>
      </c>
      <c r="H11" s="7" t="str">
        <f t="shared" ref="H11:H60" si="3">IF(AND(E11=0, F11=0, D11=0),"  ",IF(E11= D11,"SHORT ",IF(F11= D11,"LONG ",IF(E11&lt;&gt; F11&lt;&gt; D11,"   "))))</f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M11" s="12"/>
    </row>
    <row r="12" spans="1:13" x14ac:dyDescent="0.25">
      <c r="B12" t="str">
        <f t="shared" si="0"/>
        <v>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</v>
      </c>
      <c r="C12" s="5" t="s">
        <v>11</v>
      </c>
      <c r="D12" s="6" t="str">
        <f t="shared" si="1"/>
        <v>226.00</v>
      </c>
      <c r="E12" s="6" t="str">
        <f t="shared" si="1"/>
        <v>232.00</v>
      </c>
      <c r="F12" s="6" t="str">
        <f t="shared" si="1"/>
        <v>226.00</v>
      </c>
      <c r="G12" s="6" t="str">
        <f t="shared" si="1"/>
        <v>231.05</v>
      </c>
      <c r="H12" s="7" t="str">
        <f t="shared" si="3"/>
        <v xml:space="preserve">LONG </v>
      </c>
      <c r="I12" s="8">
        <f t="shared" ref="I12:I60" si="4">IF(AND(E12=0,F12=0,D12=0),"  ",IF(D12=F12,ROUND(((SQRT(F12) +0.0833) ^2),0),IF(E12=D12,ROUND(((SQRT(E12) -0.0833) ^2),0),IF(E12&lt;&gt;F12&lt;&gt;D12,"   "))))</f>
        <v>229</v>
      </c>
      <c r="J12" s="9">
        <f t="shared" ref="J12:J60" si="5">IF(AND(E12=0, F12=0, D12=0),"  ",IF(E12= D12,D12+0.005*D12,IF(F12= D12,D12-0.005*D12,IF(E12&lt;&gt; F12&lt;&gt; D12,"   "))))</f>
        <v>224.87</v>
      </c>
      <c r="K12" s="10">
        <f t="shared" ref="K12:K13" si="6">IF(AND(E12=0, F12=0, D12=0),"  ",IF(E12= D12,(I12-G12)/I12,IF(F12= D12,(G12-I12)/I12,IF(E12&lt;&gt; F12&lt;&gt; D12,"   "))))</f>
        <v>8.9519650655022331E-3</v>
      </c>
      <c r="M12" s="13"/>
    </row>
    <row r="13" spans="1:13" x14ac:dyDescent="0.25">
      <c r="B13" t="str">
        <f t="shared" si="0"/>
        <v>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</v>
      </c>
      <c r="C13" s="5" t="s">
        <v>12</v>
      </c>
      <c r="D13" s="6" t="str">
        <f t="shared" si="1"/>
        <v>991.90</v>
      </c>
      <c r="E13" s="6" t="str">
        <f t="shared" si="1"/>
        <v>1,001.80</v>
      </c>
      <c r="F13" s="6" t="str">
        <f t="shared" si="1"/>
        <v>986.45</v>
      </c>
      <c r="G13" s="6" t="str">
        <f t="shared" si="1"/>
        <v>996.75</v>
      </c>
      <c r="H13" s="7" t="str">
        <f t="shared" si="3"/>
        <v xml:space="preserve">   </v>
      </c>
      <c r="I13" s="8" t="str">
        <f t="shared" si="4"/>
        <v xml:space="preserve">   </v>
      </c>
      <c r="J13" s="9" t="str">
        <f t="shared" si="5"/>
        <v xml:space="preserve">   </v>
      </c>
      <c r="K13" s="10" t="str">
        <f t="shared" si="6"/>
        <v xml:space="preserve">   </v>
      </c>
      <c r="M13" s="13"/>
    </row>
    <row r="14" spans="1:13" x14ac:dyDescent="0.25">
      <c r="B14" t="str">
        <f t="shared" ref="B14" si="7">MID($E$1,FIND(C14,$E$1)-1,FIND("}",$E$1,FIND(C14,$E$1))-FIND(C14,$E$1)+1)</f>
        <v>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</v>
      </c>
      <c r="C14" s="5" t="s">
        <v>63</v>
      </c>
      <c r="D14" s="6" t="str">
        <f t="shared" si="1"/>
        <v>746.90</v>
      </c>
      <c r="E14" s="6" t="str">
        <f t="shared" si="1"/>
        <v>771.50</v>
      </c>
      <c r="F14" s="6" t="str">
        <f t="shared" si="1"/>
        <v>741.50</v>
      </c>
      <c r="G14" s="6" t="str">
        <f t="shared" si="1"/>
        <v>763.30</v>
      </c>
      <c r="H14" s="7" t="str">
        <f t="shared" si="3"/>
        <v xml:space="preserve">   </v>
      </c>
      <c r="I14" s="8" t="str">
        <f t="shared" ref="I14" si="8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9">IF(AND(E14=0, F14=0, D14=0),"  ",IF(E14= D14,D14+0.005*D14,IF(F14= D14,D14-0.005*D14,IF(E14&lt;&gt; F14&lt;&gt; D14,"   "))))</f>
        <v xml:space="preserve">   </v>
      </c>
      <c r="K14" s="10" t="str">
        <f t="shared" ref="K14" si="10">IF(AND(E14=0, F14=0, D14=0),"  ",IF(E14= D14,(I14-G14)/I14,IF(F14= D14,(G14-I14)/I14,IF(E14&lt;&gt; F14&lt;&gt; D14,"   "))))</f>
        <v xml:space="preserve">   </v>
      </c>
      <c r="M14" s="13"/>
    </row>
    <row r="15" spans="1:13" x14ac:dyDescent="0.25">
      <c r="B15" t="str">
        <f t="shared" si="0"/>
        <v>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</v>
      </c>
      <c r="C15" s="5" t="s">
        <v>13</v>
      </c>
      <c r="D15" s="6" t="str">
        <f t="shared" si="1"/>
        <v>520.25</v>
      </c>
      <c r="E15" s="6" t="str">
        <f t="shared" si="1"/>
        <v>525.00</v>
      </c>
      <c r="F15" s="6" t="str">
        <f t="shared" si="1"/>
        <v>509.00</v>
      </c>
      <c r="G15" s="6" t="str">
        <f t="shared" si="1"/>
        <v>514.00</v>
      </c>
      <c r="H15" s="7" t="str">
        <f t="shared" si="3"/>
        <v xml:space="preserve">   </v>
      </c>
      <c r="I15" s="8" t="str">
        <f t="shared" si="4"/>
        <v xml:space="preserve">   </v>
      </c>
      <c r="J15" s="9" t="str">
        <f t="shared" si="5"/>
        <v xml:space="preserve">   </v>
      </c>
      <c r="K15" s="10" t="str">
        <f t="shared" ref="K15:K21" si="11">IF(AND(E15=0, F15=0, D15=0),"  ",IF(E15= D15,(I15-G15)/I15,IF(F15= D15,(G15-I15)/I15,IF(E15&lt;&gt; F15&lt;&gt; D15,"   "))))</f>
        <v xml:space="preserve">   </v>
      </c>
      <c r="M15" s="13"/>
    </row>
    <row r="16" spans="1:13" x14ac:dyDescent="0.25">
      <c r="B16" t="str">
        <f t="shared" si="0"/>
        <v>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</v>
      </c>
      <c r="C16" s="5" t="s">
        <v>14</v>
      </c>
      <c r="D16" s="6" t="str">
        <f t="shared" si="1"/>
        <v>2,505.00</v>
      </c>
      <c r="E16" s="6" t="str">
        <f t="shared" si="1"/>
        <v>2,581.95</v>
      </c>
      <c r="F16" s="6" t="str">
        <f t="shared" si="1"/>
        <v>2,487.00</v>
      </c>
      <c r="G16" s="6" t="str">
        <f t="shared" si="1"/>
        <v>2,560.00</v>
      </c>
      <c r="H16" s="7" t="str">
        <f t="shared" si="3"/>
        <v xml:space="preserve">   </v>
      </c>
      <c r="I16" s="8" t="str">
        <f t="shared" si="4"/>
        <v xml:space="preserve">   </v>
      </c>
      <c r="J16" s="9" t="str">
        <f t="shared" si="5"/>
        <v xml:space="preserve">   </v>
      </c>
      <c r="K16" s="10" t="str">
        <f t="shared" si="11"/>
        <v xml:space="preserve">   </v>
      </c>
      <c r="M16" s="13"/>
    </row>
    <row r="17" spans="2:13" x14ac:dyDescent="0.25">
      <c r="B17" t="str">
        <f t="shared" si="0"/>
        <v>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</v>
      </c>
      <c r="C17" s="5" t="s">
        <v>15</v>
      </c>
      <c r="D17" s="6" t="str">
        <f t="shared" si="1"/>
        <v>135.90</v>
      </c>
      <c r="E17" s="6" t="str">
        <f t="shared" si="1"/>
        <v>140.80</v>
      </c>
      <c r="F17" s="6" t="str">
        <f t="shared" si="1"/>
        <v>134.40</v>
      </c>
      <c r="G17" s="6" t="str">
        <f t="shared" si="1"/>
        <v>140.20</v>
      </c>
      <c r="H17" s="7" t="str">
        <f t="shared" si="3"/>
        <v xml:space="preserve">   </v>
      </c>
      <c r="I17" s="8" t="str">
        <f t="shared" si="4"/>
        <v xml:space="preserve">   </v>
      </c>
      <c r="J17" s="9" t="str">
        <f t="shared" si="5"/>
        <v xml:space="preserve">   </v>
      </c>
      <c r="K17" s="10" t="str">
        <f t="shared" si="11"/>
        <v xml:space="preserve">   </v>
      </c>
      <c r="M17" s="13"/>
    </row>
    <row r="18" spans="2:13" x14ac:dyDescent="0.25">
      <c r="B18" t="str">
        <f t="shared" si="0"/>
        <v>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</v>
      </c>
      <c r="C18" s="5" t="s">
        <v>16</v>
      </c>
      <c r="D18" s="6" t="str">
        <f t="shared" si="1"/>
        <v>352.95</v>
      </c>
      <c r="E18" s="6" t="str">
        <f t="shared" si="1"/>
        <v>357.60</v>
      </c>
      <c r="F18" s="6" t="str">
        <f t="shared" si="1"/>
        <v>349.55</v>
      </c>
      <c r="G18" s="6" t="str">
        <f t="shared" si="1"/>
        <v>353.00</v>
      </c>
      <c r="H18" s="7" t="str">
        <f t="shared" si="3"/>
        <v xml:space="preserve">   </v>
      </c>
      <c r="I18" s="8" t="str">
        <f t="shared" si="4"/>
        <v xml:space="preserve">   </v>
      </c>
      <c r="J18" s="9" t="str">
        <f t="shared" si="5"/>
        <v xml:space="preserve">   </v>
      </c>
      <c r="K18" s="10" t="str">
        <f t="shared" si="11"/>
        <v xml:space="preserve">   </v>
      </c>
      <c r="M18" s="13"/>
    </row>
    <row r="19" spans="2:13" x14ac:dyDescent="0.25">
      <c r="B19" t="str">
        <f t="shared" si="0"/>
        <v>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</v>
      </c>
      <c r="C19" s="5" t="s">
        <v>17</v>
      </c>
      <c r="D19" s="6" t="str">
        <f t="shared" si="1"/>
        <v>129.00</v>
      </c>
      <c r="E19" s="6" t="str">
        <f t="shared" si="1"/>
        <v>132.20</v>
      </c>
      <c r="F19" s="6" t="str">
        <f t="shared" si="1"/>
        <v>126.60</v>
      </c>
      <c r="G19" s="6" t="str">
        <f t="shared" si="1"/>
        <v>128.10</v>
      </c>
      <c r="H19" s="7" t="str">
        <f t="shared" si="3"/>
        <v xml:space="preserve">   </v>
      </c>
      <c r="I19" s="8" t="str">
        <f t="shared" si="4"/>
        <v xml:space="preserve">   </v>
      </c>
      <c r="J19" s="9" t="str">
        <f t="shared" si="5"/>
        <v xml:space="preserve">   </v>
      </c>
      <c r="K19" s="10" t="str">
        <f t="shared" si="11"/>
        <v xml:space="preserve">   </v>
      </c>
      <c r="M19" s="13"/>
    </row>
    <row r="20" spans="2:13" x14ac:dyDescent="0.25">
      <c r="B20" t="str">
        <f t="shared" si="0"/>
        <v>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</v>
      </c>
      <c r="C20" s="5" t="s">
        <v>18</v>
      </c>
      <c r="D20" s="6" t="str">
        <f t="shared" si="1"/>
        <v>21,817.40</v>
      </c>
      <c r="E20" s="6" t="str">
        <f t="shared" si="1"/>
        <v>22,099.00</v>
      </c>
      <c r="F20" s="6" t="str">
        <f t="shared" si="1"/>
        <v>21,654.25</v>
      </c>
      <c r="G20" s="6" t="str">
        <f t="shared" si="1"/>
        <v>21,900.00</v>
      </c>
      <c r="H20" s="7" t="str">
        <f t="shared" si="3"/>
        <v xml:space="preserve">   </v>
      </c>
      <c r="I20" s="8" t="str">
        <f t="shared" si="4"/>
        <v xml:space="preserve">   </v>
      </c>
      <c r="J20" s="9" t="str">
        <f t="shared" si="5"/>
        <v xml:space="preserve">   </v>
      </c>
      <c r="K20" s="10" t="str">
        <f t="shared" si="11"/>
        <v xml:space="preserve">   </v>
      </c>
      <c r="M20" s="13"/>
    </row>
    <row r="21" spans="2:13" x14ac:dyDescent="0.25">
      <c r="B21" t="str">
        <f t="shared" si="0"/>
        <v>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</v>
      </c>
      <c r="C21" s="5" t="s">
        <v>19</v>
      </c>
      <c r="D21" s="6" t="str">
        <f t="shared" si="1"/>
        <v>951.00</v>
      </c>
      <c r="E21" s="6" t="str">
        <f t="shared" si="1"/>
        <v>1,024.70</v>
      </c>
      <c r="F21" s="6" t="str">
        <f t="shared" si="1"/>
        <v>947.45</v>
      </c>
      <c r="G21" s="6" t="str">
        <f t="shared" si="1"/>
        <v>1,005.40</v>
      </c>
      <c r="H21" s="7" t="str">
        <f t="shared" si="3"/>
        <v xml:space="preserve">   </v>
      </c>
      <c r="I21" s="8" t="str">
        <f t="shared" si="4"/>
        <v xml:space="preserve">   </v>
      </c>
      <c r="J21" s="9" t="str">
        <f t="shared" si="5"/>
        <v xml:space="preserve">   </v>
      </c>
      <c r="K21" s="10" t="str">
        <f t="shared" si="11"/>
        <v xml:space="preserve">   </v>
      </c>
      <c r="M21" s="13"/>
    </row>
    <row r="22" spans="2:13" x14ac:dyDescent="0.25">
      <c r="B22" t="str">
        <f t="shared" si="0"/>
        <v>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</v>
      </c>
      <c r="C22" s="5" t="s">
        <v>21</v>
      </c>
      <c r="D22" s="6" t="str">
        <f t="shared" si="1"/>
        <v>470.90</v>
      </c>
      <c r="E22" s="6" t="str">
        <f t="shared" si="1"/>
        <v>478.50</v>
      </c>
      <c r="F22" s="6" t="str">
        <f t="shared" si="1"/>
        <v>469.10</v>
      </c>
      <c r="G22" s="6" t="str">
        <f t="shared" si="1"/>
        <v>473.45</v>
      </c>
      <c r="H22" s="7" t="str">
        <f t="shared" si="3"/>
        <v xml:space="preserve">   </v>
      </c>
      <c r="I22" s="8" t="str">
        <f t="shared" si="4"/>
        <v xml:space="preserve">   </v>
      </c>
      <c r="J22" s="9" t="str">
        <f t="shared" si="5"/>
        <v xml:space="preserve">   </v>
      </c>
      <c r="K22" s="10" t="str">
        <f t="shared" ref="K22:K60" si="12">IF(AND(E22=0, F22=0, D22=0),"  ",IF(E22= D22,(I22-G22)/I22,IF(F22= D22,(G22-I22)/I22,IF(E22&lt;&gt; F22&lt;&gt; D22,"   "))))</f>
        <v xml:space="preserve">   </v>
      </c>
      <c r="M22" s="13"/>
    </row>
    <row r="23" spans="2:13" x14ac:dyDescent="0.25">
      <c r="B23" t="str">
        <f t="shared" si="0"/>
        <v>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</v>
      </c>
      <c r="C23" s="5" t="s">
        <v>22</v>
      </c>
      <c r="D23" s="6" t="str">
        <f t="shared" si="1"/>
        <v>282.25</v>
      </c>
      <c r="E23" s="6" t="str">
        <f t="shared" si="1"/>
        <v>284.50</v>
      </c>
      <c r="F23" s="6" t="str">
        <f t="shared" si="1"/>
        <v>280.20</v>
      </c>
      <c r="G23" s="6" t="str">
        <f t="shared" si="1"/>
        <v>281.50</v>
      </c>
      <c r="H23" s="7" t="str">
        <f t="shared" si="3"/>
        <v xml:space="preserve">   </v>
      </c>
      <c r="I23" s="8" t="str">
        <f t="shared" si="4"/>
        <v xml:space="preserve">   </v>
      </c>
      <c r="J23" s="9" t="str">
        <f t="shared" si="5"/>
        <v xml:space="preserve">   </v>
      </c>
      <c r="K23" s="10" t="str">
        <f t="shared" si="12"/>
        <v xml:space="preserve">   </v>
      </c>
      <c r="M23" s="13"/>
    </row>
    <row r="24" spans="2:13" x14ac:dyDescent="0.25">
      <c r="B24" t="str">
        <f t="shared" si="0"/>
        <v>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</v>
      </c>
      <c r="C24" s="5" t="s">
        <v>23</v>
      </c>
      <c r="D24" s="6" t="str">
        <f t="shared" si="1"/>
        <v>3,084.00</v>
      </c>
      <c r="E24" s="6" t="str">
        <f t="shared" si="1"/>
        <v>3,138.00</v>
      </c>
      <c r="F24" s="6" t="str">
        <f t="shared" si="1"/>
        <v>3,075.15</v>
      </c>
      <c r="G24" s="6" t="str">
        <f t="shared" si="1"/>
        <v>3,111.00</v>
      </c>
      <c r="H24" s="7" t="str">
        <f t="shared" si="3"/>
        <v xml:space="preserve">   </v>
      </c>
      <c r="I24" s="8" t="str">
        <f t="shared" si="4"/>
        <v xml:space="preserve">   </v>
      </c>
      <c r="J24" s="9" t="str">
        <f t="shared" si="5"/>
        <v xml:space="preserve">   </v>
      </c>
      <c r="K24" s="10" t="str">
        <f t="shared" si="12"/>
        <v xml:space="preserve">   </v>
      </c>
      <c r="M24" s="13"/>
    </row>
    <row r="25" spans="2:13" x14ac:dyDescent="0.25">
      <c r="B25" t="str">
        <f t="shared" ref="B25" si="13">MID($E$1,FIND(C25,$E$1)-1,FIND("}",$E$1,FIND(C25,$E$1))-FIND(C25,$E$1)+1)</f>
        <v>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</v>
      </c>
      <c r="C25" s="5" t="s">
        <v>64</v>
      </c>
      <c r="D25" s="6" t="str">
        <f t="shared" si="1"/>
        <v>18,494.00</v>
      </c>
      <c r="E25" s="6" t="str">
        <f t="shared" si="1"/>
        <v>18,799.00</v>
      </c>
      <c r="F25" s="6" t="str">
        <f t="shared" si="1"/>
        <v>18,425.25</v>
      </c>
      <c r="G25" s="6" t="str">
        <f t="shared" si="1"/>
        <v>18,700.00</v>
      </c>
      <c r="H25" s="7" t="str">
        <f t="shared" si="3"/>
        <v xml:space="preserve">   </v>
      </c>
      <c r="I25" s="8" t="str">
        <f t="shared" ref="I25" si="14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5">IF(AND(E25=0, F25=0, D25=0),"  ",IF(E25= D25,D25+0.005*D25,IF(F25= D25,D25-0.005*D25,IF(E25&lt;&gt; F25&lt;&gt; D25,"   "))))</f>
        <v xml:space="preserve">   </v>
      </c>
      <c r="K25" s="10" t="str">
        <f t="shared" ref="K25" si="16">IF(AND(E25=0, F25=0, D25=0),"  ",IF(E25= D25,(I25-G25)/I25,IF(F25= D25,(G25-I25)/I25,IF(E25&lt;&gt; F25&lt;&gt; D25,"   "))))</f>
        <v xml:space="preserve">   </v>
      </c>
      <c r="M25" s="13"/>
    </row>
    <row r="26" spans="2:13" x14ac:dyDescent="0.25">
      <c r="B26" t="str">
        <f t="shared" si="0"/>
        <v>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</v>
      </c>
      <c r="C26" s="5" t="s">
        <v>24</v>
      </c>
      <c r="D26" s="6" t="str">
        <f t="shared" si="1"/>
        <v>381.70</v>
      </c>
      <c r="E26" s="6" t="str">
        <f t="shared" si="1"/>
        <v>385.95</v>
      </c>
      <c r="F26" s="6" t="str">
        <f t="shared" si="1"/>
        <v>377.80</v>
      </c>
      <c r="G26" s="6" t="str">
        <f t="shared" si="1"/>
        <v>378.65</v>
      </c>
      <c r="H26" s="7" t="str">
        <f t="shared" si="3"/>
        <v xml:space="preserve">   </v>
      </c>
      <c r="I26" s="8" t="str">
        <f t="shared" si="4"/>
        <v xml:space="preserve">   </v>
      </c>
      <c r="J26" s="9" t="str">
        <f t="shared" si="5"/>
        <v xml:space="preserve">   </v>
      </c>
      <c r="K26" s="10" t="str">
        <f t="shared" si="12"/>
        <v xml:space="preserve">   </v>
      </c>
      <c r="M26" s="13"/>
    </row>
    <row r="27" spans="2:13" x14ac:dyDescent="0.25">
      <c r="B27" t="str">
        <f t="shared" si="0"/>
        <v>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</v>
      </c>
      <c r="C27" s="5" t="s">
        <v>25</v>
      </c>
      <c r="D27" s="6" t="str">
        <f t="shared" si="1"/>
        <v>4,335.00</v>
      </c>
      <c r="E27" s="6" t="str">
        <f t="shared" si="1"/>
        <v>4,385.00</v>
      </c>
      <c r="F27" s="6" t="str">
        <f t="shared" si="1"/>
        <v>4,330.10</v>
      </c>
      <c r="G27" s="6" t="str">
        <f t="shared" si="1"/>
        <v>4,360.00</v>
      </c>
      <c r="H27" s="7" t="str">
        <f t="shared" si="3"/>
        <v xml:space="preserve">   </v>
      </c>
      <c r="I27" s="8" t="str">
        <f t="shared" si="4"/>
        <v xml:space="preserve">   </v>
      </c>
      <c r="J27" s="9" t="str">
        <f t="shared" si="5"/>
        <v xml:space="preserve">   </v>
      </c>
      <c r="K27" s="10" t="str">
        <f t="shared" si="12"/>
        <v xml:space="preserve">   </v>
      </c>
      <c r="M27" s="13"/>
    </row>
    <row r="28" spans="2:13" x14ac:dyDescent="0.25">
      <c r="B28" t="str">
        <f t="shared" si="0"/>
        <v>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</v>
      </c>
      <c r="C28" s="5" t="s">
        <v>26</v>
      </c>
      <c r="D28" s="6" t="str">
        <f t="shared" si="1"/>
        <v>742.60</v>
      </c>
      <c r="E28" s="6" t="str">
        <f t="shared" si="1"/>
        <v>759.70</v>
      </c>
      <c r="F28" s="6" t="str">
        <f t="shared" si="1"/>
        <v>742.60</v>
      </c>
      <c r="G28" s="6" t="str">
        <f t="shared" si="1"/>
        <v>756.00</v>
      </c>
      <c r="H28" s="7" t="str">
        <f t="shared" si="3"/>
        <v xml:space="preserve">LONG </v>
      </c>
      <c r="I28" s="8">
        <f t="shared" si="4"/>
        <v>747</v>
      </c>
      <c r="J28" s="9">
        <f t="shared" si="5"/>
        <v>738.88700000000006</v>
      </c>
      <c r="K28" s="10">
        <f t="shared" si="12"/>
        <v>1.2048192771084338E-2</v>
      </c>
      <c r="M28" s="13"/>
    </row>
    <row r="29" spans="2:13" x14ac:dyDescent="0.25">
      <c r="B29" t="str">
        <f>MID($E$1,FIND(C29,$E$1,FIND(C29,$E$1)+1)-1,FIND("}",$E$1,FIND(C29,$E$1))-FIND(C29,$E$1)+1)</f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</v>
      </c>
      <c r="C29" s="5" t="s">
        <v>27</v>
      </c>
      <c r="D29" s="6" t="str">
        <f t="shared" si="1"/>
        <v>1,183.25</v>
      </c>
      <c r="E29" s="6" t="str">
        <f t="shared" si="1"/>
        <v>1,190.00</v>
      </c>
      <c r="F29" s="6" t="str">
        <f t="shared" si="1"/>
        <v>1,176.70</v>
      </c>
      <c r="G29" s="6" t="str">
        <f t="shared" si="1"/>
        <v>1,181.35</v>
      </c>
      <c r="H29" s="7" t="str">
        <f t="shared" si="3"/>
        <v xml:space="preserve">   </v>
      </c>
      <c r="I29" s="8" t="str">
        <f t="shared" si="4"/>
        <v xml:space="preserve">   </v>
      </c>
      <c r="J29" s="9" t="str">
        <f t="shared" si="5"/>
        <v xml:space="preserve">   </v>
      </c>
      <c r="K29" s="10" t="str">
        <f t="shared" si="12"/>
        <v xml:space="preserve">   </v>
      </c>
      <c r="M29" s="13"/>
    </row>
    <row r="30" spans="2:13" x14ac:dyDescent="0.25">
      <c r="B30" t="str">
        <f t="shared" si="0"/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</v>
      </c>
      <c r="C30" s="5" t="s">
        <v>28</v>
      </c>
      <c r="D30" s="6" t="str">
        <f t="shared" si="1"/>
        <v>1,183.25</v>
      </c>
      <c r="E30" s="6" t="str">
        <f t="shared" si="1"/>
        <v>1,190.00</v>
      </c>
      <c r="F30" s="6" t="str">
        <f t="shared" si="1"/>
        <v>1,176.70</v>
      </c>
      <c r="G30" s="6" t="str">
        <f t="shared" si="1"/>
        <v>1,181.35</v>
      </c>
      <c r="H30" s="7" t="str">
        <f t="shared" si="3"/>
        <v xml:space="preserve">   </v>
      </c>
      <c r="I30" s="8" t="str">
        <f t="shared" si="4"/>
        <v xml:space="preserve">   </v>
      </c>
      <c r="J30" s="9" t="str">
        <f t="shared" si="5"/>
        <v xml:space="preserve">   </v>
      </c>
      <c r="K30" s="10" t="str">
        <f t="shared" si="12"/>
        <v xml:space="preserve">   </v>
      </c>
      <c r="M30" s="13"/>
    </row>
    <row r="31" spans="2:13" x14ac:dyDescent="0.25">
      <c r="B31" t="str">
        <f t="shared" si="0"/>
        <v>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</v>
      </c>
      <c r="C31" s="5" t="s">
        <v>29</v>
      </c>
      <c r="D31" s="6" t="str">
        <f t="shared" si="1"/>
        <v>2,962.05</v>
      </c>
      <c r="E31" s="6" t="str">
        <f t="shared" si="1"/>
        <v>3,010.05</v>
      </c>
      <c r="F31" s="6" t="str">
        <f t="shared" si="1"/>
        <v>2,962.00</v>
      </c>
      <c r="G31" s="6" t="str">
        <f t="shared" si="1"/>
        <v>2,995.00</v>
      </c>
      <c r="H31" s="7" t="str">
        <f t="shared" si="3"/>
        <v xml:space="preserve">   </v>
      </c>
      <c r="I31" s="8" t="str">
        <f t="shared" si="4"/>
        <v xml:space="preserve">   </v>
      </c>
      <c r="J31" s="9" t="str">
        <f t="shared" si="5"/>
        <v xml:space="preserve">   </v>
      </c>
      <c r="K31" s="10" t="str">
        <f t="shared" si="12"/>
        <v xml:space="preserve">   </v>
      </c>
      <c r="M31" s="13"/>
    </row>
    <row r="32" spans="2:13" x14ac:dyDescent="0.25">
      <c r="B32" t="str">
        <f t="shared" si="0"/>
        <v>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</v>
      </c>
      <c r="C32" s="5" t="s">
        <v>30</v>
      </c>
      <c r="D32" s="6" t="str">
        <f t="shared" ref="D32:G52" si="17">MID($B32,FIND(D$9,$B32)+LEN(D$9)+3,FIND(CHAR(34),$B32,FIND(D$9,$B32)+LEN(D$9)+3)-(FIND(D$9,$B32)+LEN(D$9)+3))</f>
        <v>91.00</v>
      </c>
      <c r="E32" s="6" t="str">
        <f t="shared" si="17"/>
        <v>92.70</v>
      </c>
      <c r="F32" s="6" t="str">
        <f t="shared" si="17"/>
        <v>90.85</v>
      </c>
      <c r="G32" s="6" t="str">
        <f t="shared" si="17"/>
        <v>92.00</v>
      </c>
      <c r="H32" s="7" t="str">
        <f t="shared" si="3"/>
        <v xml:space="preserve">   </v>
      </c>
      <c r="I32" s="8" t="str">
        <f t="shared" si="4"/>
        <v xml:space="preserve">   </v>
      </c>
      <c r="J32" s="9" t="str">
        <f t="shared" si="5"/>
        <v xml:space="preserve">   </v>
      </c>
      <c r="K32" s="10" t="str">
        <f t="shared" si="12"/>
        <v xml:space="preserve">   </v>
      </c>
      <c r="M32" s="13"/>
    </row>
    <row r="33" spans="2:13" x14ac:dyDescent="0.25">
      <c r="B33" t="str">
        <f t="shared" si="0"/>
        <v>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</v>
      </c>
      <c r="C33" s="5" t="s">
        <v>31</v>
      </c>
      <c r="D33" s="6" t="str">
        <f t="shared" si="17"/>
        <v>851.35</v>
      </c>
      <c r="E33" s="6" t="str">
        <f t="shared" si="17"/>
        <v>865.95</v>
      </c>
      <c r="F33" s="6" t="str">
        <f t="shared" si="17"/>
        <v>850.50</v>
      </c>
      <c r="G33" s="6" t="str">
        <f t="shared" si="17"/>
        <v>861.00</v>
      </c>
      <c r="H33" s="7" t="str">
        <f t="shared" si="3"/>
        <v xml:space="preserve">   </v>
      </c>
      <c r="I33" s="8" t="str">
        <f t="shared" si="4"/>
        <v xml:space="preserve">   </v>
      </c>
      <c r="J33" s="9" t="str">
        <f t="shared" si="5"/>
        <v xml:space="preserve">   </v>
      </c>
      <c r="K33" s="10" t="str">
        <f t="shared" si="12"/>
        <v xml:space="preserve">   </v>
      </c>
      <c r="M33" s="13"/>
    </row>
    <row r="34" spans="2:13" x14ac:dyDescent="0.25">
      <c r="B34" t="str">
        <f t="shared" si="0"/>
        <v>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</v>
      </c>
      <c r="C34" s="5" t="s">
        <v>32</v>
      </c>
      <c r="D34" s="6" t="str">
        <f t="shared" si="17"/>
        <v>239.00</v>
      </c>
      <c r="E34" s="6" t="str">
        <f t="shared" si="17"/>
        <v>248.20</v>
      </c>
      <c r="F34" s="6" t="str">
        <f t="shared" si="17"/>
        <v>238.10</v>
      </c>
      <c r="G34" s="6" t="str">
        <f t="shared" si="17"/>
        <v>241.90</v>
      </c>
      <c r="H34" s="7" t="str">
        <f t="shared" si="3"/>
        <v xml:space="preserve">   </v>
      </c>
      <c r="I34" s="8" t="str">
        <f t="shared" si="4"/>
        <v xml:space="preserve">   </v>
      </c>
      <c r="J34" s="9" t="str">
        <f t="shared" si="5"/>
        <v xml:space="preserve">   </v>
      </c>
      <c r="K34" s="10" t="str">
        <f t="shared" si="12"/>
        <v xml:space="preserve">   </v>
      </c>
      <c r="M34" s="13"/>
    </row>
    <row r="35" spans="2:13" x14ac:dyDescent="0.25">
      <c r="B35" t="str">
        <f t="shared" si="0"/>
        <v>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</v>
      </c>
      <c r="C35" s="5" t="s">
        <v>33</v>
      </c>
      <c r="D35" s="6" t="str">
        <f t="shared" si="17"/>
        <v>113.90</v>
      </c>
      <c r="E35" s="6" t="str">
        <f t="shared" si="17"/>
        <v>115.40</v>
      </c>
      <c r="F35" s="6" t="str">
        <f t="shared" si="17"/>
        <v>112.00</v>
      </c>
      <c r="G35" s="6" t="str">
        <f t="shared" si="17"/>
        <v>112.65</v>
      </c>
      <c r="H35" s="7" t="str">
        <f t="shared" si="3"/>
        <v xml:space="preserve">   </v>
      </c>
      <c r="I35" s="8" t="str">
        <f t="shared" si="4"/>
        <v xml:space="preserve">   </v>
      </c>
      <c r="J35" s="9" t="str">
        <f t="shared" si="5"/>
        <v xml:space="preserve">   </v>
      </c>
      <c r="K35" s="10" t="str">
        <f t="shared" si="12"/>
        <v xml:space="preserve">   </v>
      </c>
      <c r="M35" s="13"/>
    </row>
    <row r="36" spans="2:13" x14ac:dyDescent="0.25">
      <c r="B36" t="str">
        <f t="shared" si="0"/>
        <v>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</v>
      </c>
      <c r="C36" s="5" t="s">
        <v>34</v>
      </c>
      <c r="D36" s="6" t="str">
        <f t="shared" si="17"/>
        <v>1,101.25</v>
      </c>
      <c r="E36" s="6" t="str">
        <f t="shared" si="17"/>
        <v>1,111.85</v>
      </c>
      <c r="F36" s="6" t="str">
        <f t="shared" si="17"/>
        <v>1,099.15</v>
      </c>
      <c r="G36" s="6" t="str">
        <f t="shared" si="17"/>
        <v>1,103.40</v>
      </c>
      <c r="H36" s="7" t="str">
        <f t="shared" si="3"/>
        <v xml:space="preserve">   </v>
      </c>
      <c r="I36" s="8" t="str">
        <f t="shared" si="4"/>
        <v xml:space="preserve">   </v>
      </c>
      <c r="J36" s="9" t="str">
        <f t="shared" si="5"/>
        <v xml:space="preserve">   </v>
      </c>
      <c r="K36" s="10" t="str">
        <f t="shared" si="12"/>
        <v xml:space="preserve">   </v>
      </c>
      <c r="M36" s="13"/>
    </row>
    <row r="37" spans="2:13" x14ac:dyDescent="0.25">
      <c r="B37" t="str">
        <f t="shared" ref="B37" si="18">MID($E$1,FIND(C37,$E$1)-1,FIND("}",$E$1,FIND(C37,$E$1))-FIND(C37,$E$1)+1)</f>
        <v>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</v>
      </c>
      <c r="C37" s="5" t="s">
        <v>65</v>
      </c>
      <c r="D37" s="6" t="str">
        <f t="shared" si="17"/>
        <v>388.15</v>
      </c>
      <c r="E37" s="6" t="str">
        <f t="shared" si="17"/>
        <v>391.65</v>
      </c>
      <c r="F37" s="6" t="str">
        <f t="shared" si="17"/>
        <v>385.10</v>
      </c>
      <c r="G37" s="6" t="str">
        <f t="shared" si="17"/>
        <v>385.90</v>
      </c>
      <c r="H37" s="7" t="str">
        <f t="shared" si="3"/>
        <v xml:space="preserve">   </v>
      </c>
      <c r="I37" s="8" t="str">
        <f t="shared" ref="I37" si="19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20">IF(AND(E37=0, F37=0, D37=0),"  ",IF(E37= D37,D37+0.005*D37,IF(F37= D37,D37-0.005*D37,IF(E37&lt;&gt; F37&lt;&gt; D37,"   "))))</f>
        <v xml:space="preserve">   </v>
      </c>
      <c r="K37" s="10" t="str">
        <f t="shared" ref="K37" si="21">IF(AND(E37=0, F37=0, D37=0),"  ",IF(E37= D37,(I37-G37)/I37,IF(F37= D37,(G37-I37)/I37,IF(E37&lt;&gt; F37&lt;&gt; D37,"   "))))</f>
        <v xml:space="preserve">   </v>
      </c>
      <c r="M37" s="13"/>
    </row>
    <row r="38" spans="2:13" x14ac:dyDescent="0.25">
      <c r="B38" t="str">
        <f t="shared" si="0"/>
        <v>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</v>
      </c>
      <c r="C38" s="5" t="s">
        <v>35</v>
      </c>
      <c r="D38" s="6" t="str">
        <f t="shared" si="17"/>
        <v>1,231.60</v>
      </c>
      <c r="E38" s="6" t="str">
        <f t="shared" si="17"/>
        <v>1,259.50</v>
      </c>
      <c r="F38" s="6" t="str">
        <f t="shared" si="17"/>
        <v>1,231.60</v>
      </c>
      <c r="G38" s="6" t="str">
        <f t="shared" si="17"/>
        <v>1,245.00</v>
      </c>
      <c r="H38" s="7" t="str">
        <f t="shared" si="3"/>
        <v xml:space="preserve">LONG </v>
      </c>
      <c r="I38" s="8">
        <f t="shared" si="4"/>
        <v>1237</v>
      </c>
      <c r="J38" s="9">
        <f t="shared" si="5"/>
        <v>1225.442</v>
      </c>
      <c r="K38" s="10">
        <f t="shared" si="12"/>
        <v>6.4672594987873885E-3</v>
      </c>
      <c r="M38" s="13"/>
    </row>
    <row r="39" spans="2:13" x14ac:dyDescent="0.25">
      <c r="B39" t="str">
        <f t="shared" si="0"/>
        <v>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</v>
      </c>
      <c r="C39" s="5" t="s">
        <v>36</v>
      </c>
      <c r="D39" s="6" t="str">
        <f t="shared" si="17"/>
        <v>362.95</v>
      </c>
      <c r="E39" s="6" t="str">
        <f t="shared" si="17"/>
        <v>363.90</v>
      </c>
      <c r="F39" s="6" t="str">
        <f t="shared" si="17"/>
        <v>356.20</v>
      </c>
      <c r="G39" s="6" t="str">
        <f t="shared" si="17"/>
        <v>359.50</v>
      </c>
      <c r="H39" s="7" t="str">
        <f t="shared" si="3"/>
        <v xml:space="preserve">   </v>
      </c>
      <c r="I39" s="8" t="str">
        <f t="shared" si="4"/>
        <v xml:space="preserve">   </v>
      </c>
      <c r="J39" s="9" t="str">
        <f t="shared" si="5"/>
        <v xml:space="preserve">   </v>
      </c>
      <c r="K39" s="10" t="str">
        <f t="shared" si="12"/>
        <v xml:space="preserve">   </v>
      </c>
      <c r="M39" s="13"/>
    </row>
    <row r="40" spans="2:13" x14ac:dyDescent="0.25">
      <c r="B40" t="str">
        <f t="shared" si="0"/>
        <v>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</v>
      </c>
      <c r="C40" s="5" t="s">
        <v>37</v>
      </c>
      <c r="D40" s="6" t="str">
        <f t="shared" si="17"/>
        <v>734.40</v>
      </c>
      <c r="E40" s="6" t="str">
        <f t="shared" si="17"/>
        <v>744.65</v>
      </c>
      <c r="F40" s="6" t="str">
        <f t="shared" si="17"/>
        <v>733.10</v>
      </c>
      <c r="G40" s="6" t="str">
        <f t="shared" si="17"/>
        <v>738.10</v>
      </c>
      <c r="H40" s="7" t="str">
        <f t="shared" si="3"/>
        <v xml:space="preserve">   </v>
      </c>
      <c r="I40" s="8" t="str">
        <f t="shared" si="4"/>
        <v xml:space="preserve">   </v>
      </c>
      <c r="J40" s="9" t="str">
        <f t="shared" si="5"/>
        <v xml:space="preserve">   </v>
      </c>
      <c r="K40" s="10" t="str">
        <f t="shared" si="12"/>
        <v xml:space="preserve">   </v>
      </c>
      <c r="M40" s="13"/>
    </row>
    <row r="41" spans="2:13" x14ac:dyDescent="0.25">
      <c r="B41" s="11" t="str">
        <f>MID($E$1,FIND(C41,$E$1,FIND(C41,E1,FIND(C41,E1)+1)+1)-1,FIND("}",$E$1,FIND(C41,$E$1))-FIND(C41,$E$1)+1)</f>
        <v>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</v>
      </c>
      <c r="C41" s="5" t="s">
        <v>38</v>
      </c>
      <c r="D41" s="6" t="str">
        <f t="shared" si="17"/>
        <v>21,817.40</v>
      </c>
      <c r="E41" s="6" t="str">
        <f t="shared" si="17"/>
        <v>22,099.00</v>
      </c>
      <c r="F41" s="6" t="str">
        <f t="shared" si="17"/>
        <v>21,654.25</v>
      </c>
      <c r="G41" s="6" t="str">
        <f t="shared" si="17"/>
        <v>21,900.00</v>
      </c>
      <c r="H41" s="7" t="str">
        <f t="shared" si="3"/>
        <v xml:space="preserve">   </v>
      </c>
      <c r="I41" s="8" t="str">
        <f t="shared" si="4"/>
        <v xml:space="preserve">   </v>
      </c>
      <c r="J41" s="9" t="str">
        <f t="shared" si="5"/>
        <v xml:space="preserve">   </v>
      </c>
      <c r="K41" s="10" t="str">
        <f t="shared" si="12"/>
        <v xml:space="preserve">   </v>
      </c>
      <c r="M41" s="13"/>
    </row>
    <row r="42" spans="2:13" x14ac:dyDescent="0.25">
      <c r="B42" t="str">
        <f t="shared" si="0"/>
        <v>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</v>
      </c>
      <c r="C42" s="5" t="s">
        <v>39</v>
      </c>
      <c r="D42" s="6" t="str">
        <f t="shared" si="17"/>
        <v>1,489.00</v>
      </c>
      <c r="E42" s="6" t="str">
        <f t="shared" si="17"/>
        <v>1,535.45</v>
      </c>
      <c r="F42" s="6" t="str">
        <f t="shared" si="17"/>
        <v>1,475.05</v>
      </c>
      <c r="G42" s="6" t="str">
        <f t="shared" si="17"/>
        <v>1,482.65</v>
      </c>
      <c r="H42" s="7" t="str">
        <f t="shared" si="3"/>
        <v xml:space="preserve">   </v>
      </c>
      <c r="I42" s="8" t="str">
        <f t="shared" si="4"/>
        <v xml:space="preserve">   </v>
      </c>
      <c r="J42" s="9" t="str">
        <f t="shared" si="5"/>
        <v xml:space="preserve">   </v>
      </c>
      <c r="K42" s="10" t="str">
        <f t="shared" si="12"/>
        <v xml:space="preserve">   </v>
      </c>
      <c r="M42" s="13"/>
    </row>
    <row r="43" spans="2:13" x14ac:dyDescent="0.25">
      <c r="B43" t="str">
        <f t="shared" si="0"/>
        <v>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</v>
      </c>
      <c r="C43" s="5" t="s">
        <v>40</v>
      </c>
      <c r="D43" s="6" t="str">
        <f t="shared" si="17"/>
        <v>1,339.00</v>
      </c>
      <c r="E43" s="6" t="str">
        <f t="shared" si="17"/>
        <v>1,362.00</v>
      </c>
      <c r="F43" s="6" t="str">
        <f t="shared" si="17"/>
        <v>1,327.55</v>
      </c>
      <c r="G43" s="6" t="str">
        <f t="shared" si="17"/>
        <v>1,334.00</v>
      </c>
      <c r="H43" s="7" t="str">
        <f t="shared" si="3"/>
        <v xml:space="preserve">   </v>
      </c>
      <c r="I43" s="8" t="str">
        <f t="shared" si="4"/>
        <v xml:space="preserve">   </v>
      </c>
      <c r="J43" s="9" t="str">
        <f t="shared" si="5"/>
        <v xml:space="preserve">   </v>
      </c>
      <c r="K43" s="10" t="str">
        <f t="shared" si="12"/>
        <v xml:space="preserve">   </v>
      </c>
      <c r="M43" s="13"/>
    </row>
    <row r="44" spans="2:13" x14ac:dyDescent="0.25">
      <c r="B44" t="str">
        <f t="shared" si="0"/>
        <v>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</v>
      </c>
      <c r="C44" s="5" t="s">
        <v>41</v>
      </c>
      <c r="D44" s="6" t="str">
        <f t="shared" si="17"/>
        <v>4,114.70</v>
      </c>
      <c r="E44" s="6" t="str">
        <f t="shared" si="17"/>
        <v>4,162.00</v>
      </c>
      <c r="F44" s="6" t="str">
        <f t="shared" si="17"/>
        <v>4,091.05</v>
      </c>
      <c r="G44" s="6" t="str">
        <f t="shared" si="17"/>
        <v>4,132.20</v>
      </c>
      <c r="H44" s="7" t="str">
        <f t="shared" si="3"/>
        <v xml:space="preserve">   </v>
      </c>
      <c r="I44" s="8" t="str">
        <f t="shared" si="4"/>
        <v xml:space="preserve">   </v>
      </c>
      <c r="J44" s="9" t="str">
        <f t="shared" si="5"/>
        <v xml:space="preserve">   </v>
      </c>
      <c r="K44" s="10" t="str">
        <f t="shared" si="12"/>
        <v xml:space="preserve">   </v>
      </c>
      <c r="M44" s="13"/>
    </row>
    <row r="45" spans="2:13" x14ac:dyDescent="0.25">
      <c r="B45" t="str">
        <f t="shared" ref="B45:B60" si="22">MID($E$1,FIND(C45,$E$1)-1,FIND("}",$E$1,FIND(C45,$E$1))-FIND(C45,$E$1)+1)</f>
        <v>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</v>
      </c>
      <c r="C45" s="5" t="s">
        <v>42</v>
      </c>
      <c r="D45" s="6" t="str">
        <f t="shared" si="17"/>
        <v>141.50</v>
      </c>
      <c r="E45" s="6" t="str">
        <f t="shared" si="17"/>
        <v>141.70</v>
      </c>
      <c r="F45" s="6" t="str">
        <f t="shared" si="17"/>
        <v>139.40</v>
      </c>
      <c r="G45" s="6" t="str">
        <f t="shared" si="17"/>
        <v>140.20</v>
      </c>
      <c r="H45" s="7" t="str">
        <f t="shared" si="3"/>
        <v xml:space="preserve">   </v>
      </c>
      <c r="I45" s="8" t="str">
        <f t="shared" si="4"/>
        <v xml:space="preserve">   </v>
      </c>
      <c r="J45" s="9" t="str">
        <f t="shared" si="5"/>
        <v xml:space="preserve">   </v>
      </c>
      <c r="K45" s="10" t="str">
        <f t="shared" si="12"/>
        <v xml:space="preserve">   </v>
      </c>
      <c r="M45" s="13"/>
    </row>
    <row r="46" spans="2:13" x14ac:dyDescent="0.25">
      <c r="B46" t="str">
        <f t="shared" si="22"/>
        <v>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</v>
      </c>
      <c r="C46" s="5" t="s">
        <v>43</v>
      </c>
      <c r="D46" s="6" t="str">
        <f t="shared" si="17"/>
        <v>218.00</v>
      </c>
      <c r="E46" s="6" t="str">
        <f t="shared" si="17"/>
        <v>218.90</v>
      </c>
      <c r="F46" s="6" t="str">
        <f t="shared" si="17"/>
        <v>211.80</v>
      </c>
      <c r="G46" s="6" t="str">
        <f t="shared" si="17"/>
        <v>212.60</v>
      </c>
      <c r="H46" s="7" t="str">
        <f t="shared" si="3"/>
        <v xml:space="preserve">   </v>
      </c>
      <c r="I46" s="8" t="str">
        <f t="shared" si="4"/>
        <v xml:space="preserve">   </v>
      </c>
      <c r="J46" s="9" t="str">
        <f t="shared" si="5"/>
        <v xml:space="preserve">   </v>
      </c>
      <c r="K46" s="10" t="str">
        <f t="shared" si="12"/>
        <v xml:space="preserve">   </v>
      </c>
      <c r="M46" s="13"/>
    </row>
    <row r="47" spans="2:13" x14ac:dyDescent="0.25">
      <c r="B47" t="str">
        <f t="shared" si="22"/>
        <v>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</v>
      </c>
      <c r="C47" s="5" t="s">
        <v>45</v>
      </c>
      <c r="D47" s="6" t="str">
        <f t="shared" si="17"/>
        <v>151.40</v>
      </c>
      <c r="E47" s="6" t="str">
        <f t="shared" si="17"/>
        <v>152.40</v>
      </c>
      <c r="F47" s="6" t="str">
        <f t="shared" si="17"/>
        <v>148.80</v>
      </c>
      <c r="G47" s="6" t="str">
        <f t="shared" si="17"/>
        <v>150.30</v>
      </c>
      <c r="H47" s="7" t="str">
        <f t="shared" si="3"/>
        <v xml:space="preserve">   </v>
      </c>
      <c r="I47" s="8" t="str">
        <f t="shared" si="4"/>
        <v xml:space="preserve">   </v>
      </c>
      <c r="J47" s="9" t="str">
        <f t="shared" si="5"/>
        <v xml:space="preserve">   </v>
      </c>
      <c r="K47" s="10" t="str">
        <f t="shared" si="12"/>
        <v xml:space="preserve">   </v>
      </c>
      <c r="M47" s="13"/>
    </row>
    <row r="48" spans="2:13" x14ac:dyDescent="0.25">
      <c r="B48" t="str">
        <f t="shared" si="22"/>
        <v>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</v>
      </c>
      <c r="C48" s="5" t="s">
        <v>46</v>
      </c>
      <c r="D48" s="6" t="str">
        <f t="shared" si="17"/>
        <v>949.05</v>
      </c>
      <c r="E48" s="6" t="str">
        <f t="shared" si="17"/>
        <v>976.90</v>
      </c>
      <c r="F48" s="6" t="str">
        <f t="shared" si="17"/>
        <v>948.75</v>
      </c>
      <c r="G48" s="6" t="str">
        <f t="shared" si="17"/>
        <v>973.10</v>
      </c>
      <c r="H48" s="7" t="str">
        <f t="shared" si="3"/>
        <v xml:space="preserve">   </v>
      </c>
      <c r="I48" s="8" t="str">
        <f t="shared" si="4"/>
        <v xml:space="preserve">   </v>
      </c>
      <c r="J48" s="9" t="str">
        <f t="shared" si="5"/>
        <v xml:space="preserve">   </v>
      </c>
      <c r="K48" s="10" t="str">
        <f t="shared" si="12"/>
        <v xml:space="preserve">   </v>
      </c>
      <c r="M48" s="13"/>
    </row>
    <row r="49" spans="2:13" x14ac:dyDescent="0.25">
      <c r="B49" t="str">
        <f t="shared" si="22"/>
        <v>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</v>
      </c>
      <c r="C49" s="5" t="s">
        <v>47</v>
      </c>
      <c r="D49" s="6" t="str">
        <f t="shared" si="17"/>
        <v>184.00</v>
      </c>
      <c r="E49" s="6" t="str">
        <f t="shared" si="17"/>
        <v>202.40</v>
      </c>
      <c r="F49" s="6" t="str">
        <f t="shared" si="17"/>
        <v>181.50</v>
      </c>
      <c r="G49" s="6" t="str">
        <f t="shared" si="17"/>
        <v>201.30</v>
      </c>
      <c r="H49" s="7" t="str">
        <f t="shared" si="3"/>
        <v xml:space="preserve">   </v>
      </c>
      <c r="I49" s="8" t="str">
        <f t="shared" si="4"/>
        <v xml:space="preserve">   </v>
      </c>
      <c r="J49" s="9" t="str">
        <f t="shared" si="5"/>
        <v xml:space="preserve">   </v>
      </c>
      <c r="K49" s="10" t="str">
        <f t="shared" si="12"/>
        <v xml:space="preserve">   </v>
      </c>
      <c r="M49" s="13"/>
    </row>
    <row r="50" spans="2:13" x14ac:dyDescent="0.25">
      <c r="B50" t="str">
        <f t="shared" si="22"/>
        <v>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</v>
      </c>
      <c r="C50" s="5" t="s">
        <v>48</v>
      </c>
      <c r="D50" s="6" t="str">
        <f t="shared" si="17"/>
        <v>795.00</v>
      </c>
      <c r="E50" s="6" t="str">
        <f t="shared" si="17"/>
        <v>828.00</v>
      </c>
      <c r="F50" s="6" t="str">
        <f t="shared" si="17"/>
        <v>790.10</v>
      </c>
      <c r="G50" s="6" t="str">
        <f t="shared" si="17"/>
        <v>828.00</v>
      </c>
      <c r="H50" s="7" t="str">
        <f t="shared" si="3"/>
        <v xml:space="preserve">   </v>
      </c>
      <c r="I50" s="8" t="str">
        <f t="shared" si="4"/>
        <v xml:space="preserve">   </v>
      </c>
      <c r="J50" s="9" t="str">
        <f t="shared" si="5"/>
        <v xml:space="preserve">   </v>
      </c>
      <c r="K50" s="10" t="str">
        <f t="shared" si="12"/>
        <v xml:space="preserve">   </v>
      </c>
      <c r="M50" s="13"/>
    </row>
    <row r="51" spans="2:13" x14ac:dyDescent="0.25">
      <c r="B51" t="str">
        <f t="shared" si="22"/>
        <v>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</v>
      </c>
      <c r="C51" s="5" t="s">
        <v>49</v>
      </c>
      <c r="D51" s="6" t="str">
        <f t="shared" si="17"/>
        <v>400.00</v>
      </c>
      <c r="E51" s="6" t="str">
        <f t="shared" si="17"/>
        <v>405.00</v>
      </c>
      <c r="F51" s="6" t="str">
        <f t="shared" si="17"/>
        <v>396.00</v>
      </c>
      <c r="G51" s="6" t="str">
        <f t="shared" si="17"/>
        <v>403.10</v>
      </c>
      <c r="H51" s="7" t="str">
        <f t="shared" si="3"/>
        <v xml:space="preserve">   </v>
      </c>
      <c r="I51" s="8" t="str">
        <f t="shared" si="4"/>
        <v xml:space="preserve">   </v>
      </c>
      <c r="J51" s="9" t="str">
        <f t="shared" si="5"/>
        <v xml:space="preserve">   </v>
      </c>
      <c r="K51" s="10" t="str">
        <f t="shared" si="12"/>
        <v xml:space="preserve">   </v>
      </c>
      <c r="M51" s="13"/>
    </row>
    <row r="52" spans="2:13" x14ac:dyDescent="0.25">
      <c r="B52" t="str">
        <f t="shared" ref="B52" si="23">MID($E$1,FIND(C52,$E$1)-1,FIND("}",$E$1,FIND(C52,$E$1))-FIND(C52,$E$1)+1)</f>
        <v>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</v>
      </c>
      <c r="C52" s="5" t="s">
        <v>66</v>
      </c>
      <c r="D52" s="6" t="str">
        <f t="shared" si="17"/>
        <v>272.35</v>
      </c>
      <c r="E52" s="6" t="str">
        <f t="shared" si="17"/>
        <v>273.25</v>
      </c>
      <c r="F52" s="6" t="str">
        <f t="shared" si="17"/>
        <v>269.00</v>
      </c>
      <c r="G52" s="6" t="str">
        <f t="shared" si="17"/>
        <v>271.10</v>
      </c>
      <c r="H52" s="7" t="str">
        <f t="shared" si="3"/>
        <v xml:space="preserve">   </v>
      </c>
      <c r="I52" s="8" t="str">
        <f t="shared" ref="I52" si="24">IF(AND(E52=0,F52=0,D52=0),"  ",IF(D52=F52,ROUND(((SQRT(F52) +0.0833) ^2),0),IF(E52=D52,ROUND(((SQRT(E52) -0.0833) ^2),0),IF(E52&lt;&gt;F52&lt;&gt;D52,"   "))))</f>
        <v xml:space="preserve">   </v>
      </c>
      <c r="J52" s="9" t="str">
        <f t="shared" ref="J52" si="25">IF(AND(E52=0, F52=0, D52=0),"  ",IF(E52= D52,D52+0.005*D52,IF(F52= D52,D52-0.005*D52,IF(E52&lt;&gt; F52&lt;&gt; D52,"   "))))</f>
        <v xml:space="preserve">   </v>
      </c>
      <c r="K52" s="10" t="str">
        <f t="shared" ref="K52" si="26">IF(AND(E52=0, F52=0, D52=0),"  ",IF(E52= D52,(I52-G52)/I52,IF(F52= D52,(G52-I52)/I52,IF(E52&lt;&gt; F52&lt;&gt; D52,"   "))))</f>
        <v xml:space="preserve">   </v>
      </c>
      <c r="M52" s="13"/>
    </row>
    <row r="53" spans="2:13" x14ac:dyDescent="0.25">
      <c r="B53" t="str">
        <f t="shared" si="22"/>
        <v>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</v>
      </c>
      <c r="C53" s="5" t="s">
        <v>50</v>
      </c>
      <c r="D53" s="6" t="str">
        <f t="shared" ref="D53:G60" si="27">MID($B53,FIND(D$9,$B53)+LEN(D$9)+3,FIND(CHAR(34),$B53,FIND(D$9,$B53)+LEN(D$9)+3)-(FIND(D$9,$B53)+LEN(D$9)+3))</f>
        <v>73.65</v>
      </c>
      <c r="E53" s="6" t="str">
        <f t="shared" si="27"/>
        <v>74.80</v>
      </c>
      <c r="F53" s="6" t="str">
        <f t="shared" si="27"/>
        <v>72.40</v>
      </c>
      <c r="G53" s="6" t="str">
        <f t="shared" si="27"/>
        <v>72.55</v>
      </c>
      <c r="H53" s="7" t="str">
        <f t="shared" si="3"/>
        <v xml:space="preserve">   </v>
      </c>
      <c r="I53" s="8" t="str">
        <f t="shared" si="4"/>
        <v xml:space="preserve">   </v>
      </c>
      <c r="J53" s="9" t="str">
        <f t="shared" si="5"/>
        <v xml:space="preserve">   </v>
      </c>
      <c r="K53" s="10" t="str">
        <f t="shared" si="12"/>
        <v xml:space="preserve">   </v>
      </c>
      <c r="M53" s="13"/>
    </row>
    <row r="54" spans="2:13" x14ac:dyDescent="0.25">
      <c r="B54" t="str">
        <f t="shared" si="22"/>
        <v>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</v>
      </c>
      <c r="C54" s="5" t="s">
        <v>51</v>
      </c>
      <c r="D54" s="6" t="str">
        <f t="shared" si="27"/>
        <v>326.00</v>
      </c>
      <c r="E54" s="6" t="str">
        <f t="shared" si="27"/>
        <v>332.00</v>
      </c>
      <c r="F54" s="6" t="str">
        <f t="shared" si="27"/>
        <v>324.55</v>
      </c>
      <c r="G54" s="6" t="str">
        <f t="shared" si="27"/>
        <v>331.05</v>
      </c>
      <c r="H54" s="7" t="str">
        <f t="shared" si="3"/>
        <v xml:space="preserve">   </v>
      </c>
      <c r="I54" s="8" t="str">
        <f t="shared" si="4"/>
        <v xml:space="preserve">   </v>
      </c>
      <c r="J54" s="9" t="str">
        <f t="shared" si="5"/>
        <v xml:space="preserve">   </v>
      </c>
      <c r="K54" s="10" t="str">
        <f t="shared" si="12"/>
        <v xml:space="preserve">   </v>
      </c>
      <c r="M54" s="13"/>
    </row>
    <row r="55" spans="2:13" x14ac:dyDescent="0.25">
      <c r="B55" t="str">
        <f t="shared" si="22"/>
        <v>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</v>
      </c>
      <c r="C55" s="5" t="s">
        <v>52</v>
      </c>
      <c r="D55" s="6" t="str">
        <f t="shared" si="27"/>
        <v>2,553.15</v>
      </c>
      <c r="E55" s="6" t="str">
        <f t="shared" si="27"/>
        <v>2,579.85</v>
      </c>
      <c r="F55" s="6" t="str">
        <f t="shared" si="27"/>
        <v>2,550.60</v>
      </c>
      <c r="G55" s="6" t="str">
        <f t="shared" si="27"/>
        <v>2,577.00</v>
      </c>
      <c r="H55" s="7" t="str">
        <f t="shared" si="3"/>
        <v xml:space="preserve">   </v>
      </c>
      <c r="I55" s="8" t="str">
        <f t="shared" si="4"/>
        <v xml:space="preserve">   </v>
      </c>
      <c r="J55" s="9" t="str">
        <f t="shared" si="5"/>
        <v xml:space="preserve">   </v>
      </c>
      <c r="K55" s="10" t="str">
        <f t="shared" si="12"/>
        <v xml:space="preserve">   </v>
      </c>
      <c r="M55" s="13"/>
    </row>
    <row r="56" spans="2:13" x14ac:dyDescent="0.25">
      <c r="B56" t="str">
        <f t="shared" si="22"/>
        <v>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</v>
      </c>
      <c r="C56" s="5" t="s">
        <v>53</v>
      </c>
      <c r="D56" s="6" t="str">
        <f t="shared" si="27"/>
        <v>539.00</v>
      </c>
      <c r="E56" s="6" t="str">
        <f t="shared" si="27"/>
        <v>541.00</v>
      </c>
      <c r="F56" s="6" t="str">
        <f t="shared" si="27"/>
        <v>533.60</v>
      </c>
      <c r="G56" s="6" t="str">
        <f t="shared" si="27"/>
        <v>535.00</v>
      </c>
      <c r="H56" s="7" t="str">
        <f t="shared" si="3"/>
        <v xml:space="preserve">   </v>
      </c>
      <c r="I56" s="8" t="str">
        <f t="shared" si="4"/>
        <v xml:space="preserve">   </v>
      </c>
      <c r="J56" s="9" t="str">
        <f t="shared" si="5"/>
        <v xml:space="preserve">   </v>
      </c>
      <c r="K56" s="10" t="str">
        <f t="shared" si="12"/>
        <v xml:space="preserve">   </v>
      </c>
      <c r="M56" s="13"/>
    </row>
    <row r="57" spans="2:13" x14ac:dyDescent="0.25">
      <c r="B57" t="str">
        <f t="shared" si="22"/>
        <v>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</v>
      </c>
      <c r="C57" s="5" t="s">
        <v>54</v>
      </c>
      <c r="D57" s="6" t="str">
        <f t="shared" si="27"/>
        <v>3,216.00</v>
      </c>
      <c r="E57" s="6" t="str">
        <f t="shared" si="27"/>
        <v>3,255.00</v>
      </c>
      <c r="F57" s="6" t="str">
        <f t="shared" si="27"/>
        <v>3,216.00</v>
      </c>
      <c r="G57" s="6" t="str">
        <f t="shared" si="27"/>
        <v>3,242.00</v>
      </c>
      <c r="H57" s="7" t="str">
        <f t="shared" si="3"/>
        <v xml:space="preserve">LONG </v>
      </c>
      <c r="I57" s="8">
        <f t="shared" si="4"/>
        <v>3225</v>
      </c>
      <c r="J57" s="9">
        <f t="shared" si="5"/>
        <v>3199.92</v>
      </c>
      <c r="K57" s="10">
        <f t="shared" si="12"/>
        <v>5.2713178294573641E-3</v>
      </c>
      <c r="M57" s="13"/>
    </row>
    <row r="58" spans="2:13" x14ac:dyDescent="0.25">
      <c r="B58" t="str">
        <f t="shared" si="22"/>
        <v>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</v>
      </c>
      <c r="C58" s="5" t="s">
        <v>56</v>
      </c>
      <c r="D58" s="6" t="str">
        <f t="shared" si="27"/>
        <v>543.15</v>
      </c>
      <c r="E58" s="6" t="str">
        <f t="shared" si="27"/>
        <v>551.00</v>
      </c>
      <c r="F58" s="6" t="str">
        <f t="shared" si="27"/>
        <v>543.00</v>
      </c>
      <c r="G58" s="6" t="str">
        <f t="shared" si="27"/>
        <v>545.35</v>
      </c>
      <c r="H58" s="7" t="str">
        <f t="shared" si="3"/>
        <v xml:space="preserve">   </v>
      </c>
      <c r="I58" s="8" t="str">
        <f t="shared" si="4"/>
        <v xml:space="preserve">   </v>
      </c>
      <c r="J58" s="9" t="str">
        <f t="shared" si="5"/>
        <v xml:space="preserve">   </v>
      </c>
      <c r="K58" s="10" t="str">
        <f t="shared" si="12"/>
        <v xml:space="preserve">   </v>
      </c>
      <c r="M58" s="13"/>
    </row>
    <row r="59" spans="2:13" x14ac:dyDescent="0.25">
      <c r="B59" t="str">
        <f t="shared" si="22"/>
        <v>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</v>
      </c>
      <c r="C59" s="5" t="s">
        <v>57</v>
      </c>
      <c r="D59" s="6" t="str">
        <f t="shared" si="27"/>
        <v>1,025.00</v>
      </c>
      <c r="E59" s="6" t="str">
        <f t="shared" si="27"/>
        <v>1,041.80</v>
      </c>
      <c r="F59" s="6" t="str">
        <f t="shared" si="27"/>
        <v>1,018.00</v>
      </c>
      <c r="G59" s="6" t="str">
        <f t="shared" si="27"/>
        <v>1,023.40</v>
      </c>
      <c r="H59" s="7" t="str">
        <f t="shared" si="3"/>
        <v xml:space="preserve">   </v>
      </c>
      <c r="I59" s="8" t="str">
        <f t="shared" si="4"/>
        <v xml:space="preserve">   </v>
      </c>
      <c r="J59" s="9" t="str">
        <f t="shared" si="5"/>
        <v xml:space="preserve">   </v>
      </c>
      <c r="K59" s="10" t="str">
        <f t="shared" si="12"/>
        <v xml:space="preserve">   </v>
      </c>
      <c r="M59" s="13"/>
    </row>
    <row r="60" spans="2:13" x14ac:dyDescent="0.25">
      <c r="B60" t="str">
        <f t="shared" si="22"/>
        <v>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</v>
      </c>
      <c r="C60" s="5" t="s">
        <v>58</v>
      </c>
      <c r="D60" s="6" t="str">
        <f t="shared" si="27"/>
        <v>445.95</v>
      </c>
      <c r="E60" s="6" t="str">
        <f t="shared" si="27"/>
        <v>455.00</v>
      </c>
      <c r="F60" s="6" t="str">
        <f t="shared" si="27"/>
        <v>443.00</v>
      </c>
      <c r="G60" s="6" t="str">
        <f t="shared" si="27"/>
        <v>452.20</v>
      </c>
      <c r="H60" s="7" t="str">
        <f t="shared" si="3"/>
        <v xml:space="preserve">   </v>
      </c>
      <c r="I60" s="8" t="str">
        <f t="shared" si="4"/>
        <v xml:space="preserve">   </v>
      </c>
      <c r="J60" s="9" t="str">
        <f t="shared" si="5"/>
        <v xml:space="preserve">   </v>
      </c>
      <c r="K60" s="10" t="str">
        <f t="shared" si="12"/>
        <v xml:space="preserve">   </v>
      </c>
      <c r="M60" s="13"/>
    </row>
    <row r="61" spans="2:13" x14ac:dyDescent="0.25">
      <c r="M61" s="13"/>
    </row>
    <row r="64" spans="2:13" x14ac:dyDescent="0.25">
      <c r="C64" s="15" t="s">
        <v>68</v>
      </c>
    </row>
    <row r="65" spans="2:11" x14ac:dyDescent="0.25">
      <c r="B65" t="s">
        <v>1</v>
      </c>
      <c r="C65" s="4" t="s">
        <v>2</v>
      </c>
      <c r="D65" s="4" t="s">
        <v>3</v>
      </c>
      <c r="E65" s="4" t="s">
        <v>4</v>
      </c>
      <c r="F65" s="4" t="s">
        <v>5</v>
      </c>
      <c r="G65" s="4" t="s">
        <v>6</v>
      </c>
      <c r="H65" s="4" t="s">
        <v>7</v>
      </c>
      <c r="I65" s="4" t="s">
        <v>8</v>
      </c>
      <c r="J65" s="4" t="s">
        <v>9</v>
      </c>
      <c r="K65" s="4" t="s">
        <v>59</v>
      </c>
    </row>
    <row r="66" spans="2:11" x14ac:dyDescent="0.25">
      <c r="B66" t="str">
        <f>MID($E$3,FIND(C66,$E$3)-1,FIND("}",$E$3,FIND(C66,$E$3))-FIND(C66,$E$3)+1)</f>
        <v>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</v>
      </c>
      <c r="C66" s="14" t="s">
        <v>70</v>
      </c>
      <c r="D66" s="6" t="str">
        <f t="shared" ref="D66:G85" si="28">MID($B66,FIND(D$9,$B66)+LEN(D$9)+3,FIND(CHAR(34),$B66,FIND(D$9,$B66)+LEN(D$9)+3)-(FIND(D$9,$B66)+LEN(D$9)+3))</f>
        <v>1,241.80</v>
      </c>
      <c r="E66" s="6" t="str">
        <f t="shared" si="28"/>
        <v>1,273.85</v>
      </c>
      <c r="F66" s="6" t="str">
        <f t="shared" si="28"/>
        <v>1,234.40</v>
      </c>
      <c r="G66" s="6" t="str">
        <f t="shared" si="28"/>
        <v>1,250.10</v>
      </c>
      <c r="H66" s="7" t="str">
        <f t="shared" ref="H66" si="29">IF(AND(E66=0, F66=0, D66=0),"  ",IF(E66= D66,"SHORT ",IF(F66= D66,"LONG ",IF(E66&lt;&gt; F66&lt;&gt; D66,"   "))))</f>
        <v xml:space="preserve">   </v>
      </c>
      <c r="I66" s="8" t="str">
        <f t="shared" ref="I66" si="30">IF(AND(E66=0,F66=0,D66=0),"  ",IF(D66=F66,ROUND(((SQRT(F66) +0.0833) ^2),0),IF(E66=D66,ROUND(((SQRT(E66) -0.0833) ^2),0),IF(E66&lt;&gt;F66&lt;&gt;D66,"   "))))</f>
        <v xml:space="preserve">   </v>
      </c>
      <c r="J66" s="9" t="str">
        <f t="shared" ref="J66" si="31">IF(AND(E66=0, F66=0, D66=0),"  ",IF(E66= D66,D66+0.005*D66,IF(F66= D66,D66-0.005*D66,IF(E66&lt;&gt; F66&lt;&gt; D66,"   "))))</f>
        <v xml:space="preserve">   </v>
      </c>
      <c r="K66" s="10" t="str">
        <f t="shared" ref="K66" si="32">IF(AND(E66=0, F66=0, D66=0),"  ",IF(E66= D66,(I66-G66)/I66,IF(F66= D66,(G66-I66)/I66,IF(E66&lt;&gt; F66&lt;&gt; D66,"   "))))</f>
        <v xml:space="preserve">   </v>
      </c>
    </row>
    <row r="67" spans="2:11" x14ac:dyDescent="0.25">
      <c r="B67" t="str">
        <f t="shared" ref="B67:B115" si="33">MID($E$3,FIND(C67,$E$3)-1,FIND("}",$E$3,FIND(C67,$E$3))-FIND(C67,$E$3)+1)</f>
        <v>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</v>
      </c>
      <c r="C67" s="14" t="s">
        <v>71</v>
      </c>
      <c r="D67" s="6" t="str">
        <f t="shared" si="28"/>
        <v>1,339.50</v>
      </c>
      <c r="E67" s="6" t="str">
        <f t="shared" si="28"/>
        <v>1,357.40</v>
      </c>
      <c r="F67" s="6" t="str">
        <f t="shared" si="28"/>
        <v>1,336.00</v>
      </c>
      <c r="G67" s="6" t="str">
        <f t="shared" si="28"/>
        <v>1,340.10</v>
      </c>
      <c r="H67" s="7" t="str">
        <f t="shared" ref="H67:H115" si="34">IF(AND(E67=0, F67=0, D67=0),"  ",IF(E67= D67,"SHORT ",IF(F67= D67,"LONG ",IF(E67&lt;&gt; F67&lt;&gt; D67,"   "))))</f>
        <v xml:space="preserve">   </v>
      </c>
      <c r="I67" s="8" t="str">
        <f t="shared" ref="I67:I115" si="35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6">IF(AND(E67=0, F67=0, D67=0),"  ",IF(E67= D67,D67+0.005*D67,IF(F67= D67,D67-0.005*D67,IF(E67&lt;&gt; F67&lt;&gt; D67,"   "))))</f>
        <v xml:space="preserve">   </v>
      </c>
      <c r="K67" s="10" t="str">
        <f t="shared" ref="K67:K115" si="37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33"/>
        <v>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</v>
      </c>
      <c r="C68" s="14" t="s">
        <v>72</v>
      </c>
      <c r="D68" s="6" t="str">
        <f t="shared" si="28"/>
        <v>105.10</v>
      </c>
      <c r="E68" s="6" t="str">
        <f t="shared" si="28"/>
        <v>107.25</v>
      </c>
      <c r="F68" s="6" t="str">
        <f t="shared" si="28"/>
        <v>104.55</v>
      </c>
      <c r="G68" s="6" t="str">
        <f t="shared" si="28"/>
        <v>106.65</v>
      </c>
      <c r="H68" s="7" t="str">
        <f t="shared" si="34"/>
        <v xml:space="preserve">   </v>
      </c>
      <c r="I68" s="8" t="str">
        <f t="shared" si="35"/>
        <v xml:space="preserve">   </v>
      </c>
      <c r="J68" s="9" t="str">
        <f t="shared" si="36"/>
        <v xml:space="preserve">   </v>
      </c>
      <c r="K68" s="10" t="str">
        <f t="shared" si="37"/>
        <v xml:space="preserve">   </v>
      </c>
    </row>
    <row r="69" spans="2:11" x14ac:dyDescent="0.25">
      <c r="B69" t="str">
        <f t="shared" si="33"/>
        <v>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</v>
      </c>
      <c r="C69" s="14" t="s">
        <v>73</v>
      </c>
      <c r="D69" s="6" t="str">
        <f t="shared" si="28"/>
        <v>1,799.90</v>
      </c>
      <c r="E69" s="6" t="str">
        <f t="shared" si="28"/>
        <v>1,853.90</v>
      </c>
      <c r="F69" s="6" t="str">
        <f t="shared" si="28"/>
        <v>1,790.05</v>
      </c>
      <c r="G69" s="6" t="str">
        <f t="shared" si="28"/>
        <v>1,837.10</v>
      </c>
      <c r="H69" s="7" t="str">
        <f t="shared" si="34"/>
        <v xml:space="preserve">   </v>
      </c>
      <c r="I69" s="8" t="str">
        <f t="shared" si="35"/>
        <v xml:space="preserve">   </v>
      </c>
      <c r="J69" s="9" t="str">
        <f t="shared" si="36"/>
        <v xml:space="preserve">   </v>
      </c>
      <c r="K69" s="10" t="str">
        <f t="shared" si="37"/>
        <v xml:space="preserve">   </v>
      </c>
    </row>
    <row r="70" spans="2:11" x14ac:dyDescent="0.25">
      <c r="B70" t="str">
        <f t="shared" si="33"/>
        <v>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</v>
      </c>
      <c r="C70" s="14" t="s">
        <v>74</v>
      </c>
      <c r="D70" s="6" t="str">
        <f t="shared" si="28"/>
        <v>7,543.00</v>
      </c>
      <c r="E70" s="6" t="str">
        <f t="shared" si="28"/>
        <v>7,739.80</v>
      </c>
      <c r="F70" s="6" t="str">
        <f t="shared" si="28"/>
        <v>7,467.25</v>
      </c>
      <c r="G70" s="6" t="str">
        <f t="shared" si="28"/>
        <v>7,656.60</v>
      </c>
      <c r="H70" s="7" t="str">
        <f t="shared" si="34"/>
        <v xml:space="preserve">   </v>
      </c>
      <c r="I70" s="8" t="str">
        <f t="shared" si="35"/>
        <v xml:space="preserve">   </v>
      </c>
      <c r="J70" s="9" t="str">
        <f t="shared" si="36"/>
        <v xml:space="preserve">   </v>
      </c>
      <c r="K70" s="10" t="str">
        <f t="shared" si="37"/>
        <v xml:space="preserve">   </v>
      </c>
    </row>
    <row r="71" spans="2:11" x14ac:dyDescent="0.25">
      <c r="B71" t="str">
        <f t="shared" si="33"/>
        <v>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</v>
      </c>
      <c r="C71" s="14" t="s">
        <v>75</v>
      </c>
      <c r="D71" s="6" t="str">
        <f t="shared" si="28"/>
        <v>1,134.00</v>
      </c>
      <c r="E71" s="6" t="str">
        <f t="shared" si="28"/>
        <v>1,205.00</v>
      </c>
      <c r="F71" s="6" t="str">
        <f t="shared" si="28"/>
        <v>1,134.00</v>
      </c>
      <c r="G71" s="6" t="str">
        <f t="shared" si="28"/>
        <v>1,185.00</v>
      </c>
      <c r="H71" s="7" t="str">
        <f t="shared" si="34"/>
        <v xml:space="preserve">LONG </v>
      </c>
      <c r="I71" s="8">
        <f t="shared" si="35"/>
        <v>1140</v>
      </c>
      <c r="J71" s="9">
        <f t="shared" si="36"/>
        <v>1128.33</v>
      </c>
      <c r="K71" s="10">
        <f t="shared" si="37"/>
        <v>3.9473684210526314E-2</v>
      </c>
    </row>
    <row r="72" spans="2:11" x14ac:dyDescent="0.25">
      <c r="B72" t="str">
        <f t="shared" si="33"/>
        <v>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</v>
      </c>
      <c r="C72" s="14" t="s">
        <v>76</v>
      </c>
      <c r="D72" s="6" t="str">
        <f t="shared" si="28"/>
        <v>753.00</v>
      </c>
      <c r="E72" s="6" t="str">
        <f t="shared" si="28"/>
        <v>758.05</v>
      </c>
      <c r="F72" s="6" t="str">
        <f t="shared" si="28"/>
        <v>741.00</v>
      </c>
      <c r="G72" s="6" t="str">
        <f t="shared" si="28"/>
        <v>743.10</v>
      </c>
      <c r="H72" s="7" t="str">
        <f t="shared" si="34"/>
        <v xml:space="preserve">   </v>
      </c>
      <c r="I72" s="8" t="str">
        <f t="shared" si="35"/>
        <v xml:space="preserve">   </v>
      </c>
      <c r="J72" s="9" t="str">
        <f t="shared" si="36"/>
        <v xml:space="preserve">   </v>
      </c>
      <c r="K72" s="10" t="str">
        <f t="shared" si="37"/>
        <v xml:space="preserve">   </v>
      </c>
    </row>
    <row r="73" spans="2:11" x14ac:dyDescent="0.25">
      <c r="B73" t="str">
        <f t="shared" si="33"/>
        <v>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</v>
      </c>
      <c r="C73" s="14" t="s">
        <v>77</v>
      </c>
      <c r="D73" s="6" t="str">
        <f t="shared" si="28"/>
        <v>2,759.00</v>
      </c>
      <c r="E73" s="6" t="str">
        <f t="shared" si="28"/>
        <v>2,761.85</v>
      </c>
      <c r="F73" s="6" t="str">
        <f t="shared" si="28"/>
        <v>2,701.10</v>
      </c>
      <c r="G73" s="6" t="str">
        <f t="shared" si="28"/>
        <v>2,718.00</v>
      </c>
      <c r="H73" s="7" t="str">
        <f t="shared" si="34"/>
        <v xml:space="preserve">   </v>
      </c>
      <c r="I73" s="8" t="str">
        <f t="shared" si="35"/>
        <v xml:space="preserve">   </v>
      </c>
      <c r="J73" s="9" t="str">
        <f t="shared" si="36"/>
        <v xml:space="preserve">   </v>
      </c>
      <c r="K73" s="10" t="str">
        <f t="shared" si="37"/>
        <v xml:space="preserve">   </v>
      </c>
    </row>
    <row r="74" spans="2:11" x14ac:dyDescent="0.25">
      <c r="B74" t="str">
        <f t="shared" si="33"/>
        <v>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</v>
      </c>
      <c r="C74" s="14" t="s">
        <v>78</v>
      </c>
      <c r="D74" s="6" t="str">
        <f t="shared" si="28"/>
        <v>321.10</v>
      </c>
      <c r="E74" s="6" t="str">
        <f t="shared" si="28"/>
        <v>331.00</v>
      </c>
      <c r="F74" s="6" t="str">
        <f t="shared" si="28"/>
        <v>321.10</v>
      </c>
      <c r="G74" s="6" t="str">
        <f t="shared" si="28"/>
        <v>328.05</v>
      </c>
      <c r="H74" s="7" t="str">
        <f t="shared" si="34"/>
        <v xml:space="preserve">LONG </v>
      </c>
      <c r="I74" s="8">
        <f t="shared" si="35"/>
        <v>324</v>
      </c>
      <c r="J74" s="9">
        <f t="shared" si="36"/>
        <v>319.49450000000002</v>
      </c>
      <c r="K74" s="10">
        <f t="shared" si="37"/>
        <v>1.2500000000000035E-2</v>
      </c>
    </row>
    <row r="75" spans="2:11" x14ac:dyDescent="0.25">
      <c r="B75" t="str">
        <f t="shared" si="33"/>
        <v>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</v>
      </c>
      <c r="C75" s="14" t="s">
        <v>20</v>
      </c>
      <c r="D75" s="6" t="str">
        <f t="shared" si="28"/>
        <v>141.50</v>
      </c>
      <c r="E75" s="6" t="str">
        <f t="shared" si="28"/>
        <v>141.80</v>
      </c>
      <c r="F75" s="6" t="str">
        <f t="shared" si="28"/>
        <v>137.25</v>
      </c>
      <c r="G75" s="6" t="str">
        <f t="shared" si="28"/>
        <v>138.50</v>
      </c>
      <c r="H75" s="7" t="str">
        <f t="shared" si="34"/>
        <v xml:space="preserve">   </v>
      </c>
      <c r="I75" s="8" t="str">
        <f t="shared" si="35"/>
        <v xml:space="preserve">   </v>
      </c>
      <c r="J75" s="9" t="str">
        <f t="shared" si="36"/>
        <v xml:space="preserve">   </v>
      </c>
      <c r="K75" s="10" t="str">
        <f t="shared" si="37"/>
        <v xml:space="preserve">   </v>
      </c>
    </row>
    <row r="76" spans="2:11" x14ac:dyDescent="0.25">
      <c r="B76" t="str">
        <f t="shared" si="33"/>
        <v>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</v>
      </c>
      <c r="C76" s="14" t="s">
        <v>79</v>
      </c>
      <c r="D76" s="6" t="str">
        <f t="shared" si="28"/>
        <v>376.15</v>
      </c>
      <c r="E76" s="6" t="str">
        <f t="shared" si="28"/>
        <v>382.85</v>
      </c>
      <c r="F76" s="6" t="str">
        <f t="shared" si="28"/>
        <v>375.00</v>
      </c>
      <c r="G76" s="6" t="str">
        <f t="shared" si="28"/>
        <v>376.70</v>
      </c>
      <c r="H76" s="7" t="str">
        <f t="shared" si="34"/>
        <v xml:space="preserve">   </v>
      </c>
      <c r="I76" s="8" t="str">
        <f t="shared" si="35"/>
        <v xml:space="preserve">   </v>
      </c>
      <c r="J76" s="9" t="str">
        <f t="shared" si="36"/>
        <v xml:space="preserve">   </v>
      </c>
      <c r="K76" s="10" t="str">
        <f t="shared" si="37"/>
        <v xml:space="preserve">   </v>
      </c>
    </row>
    <row r="77" spans="2:11" x14ac:dyDescent="0.25">
      <c r="B77" t="str">
        <f t="shared" si="33"/>
        <v>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</v>
      </c>
      <c r="C77" s="14" t="s">
        <v>80</v>
      </c>
      <c r="D77" s="6" t="str">
        <f t="shared" si="28"/>
        <v>838.00</v>
      </c>
      <c r="E77" s="6" t="str">
        <f t="shared" si="28"/>
        <v>846.75</v>
      </c>
      <c r="F77" s="6" t="str">
        <f t="shared" si="28"/>
        <v>830.10</v>
      </c>
      <c r="G77" s="6" t="str">
        <f t="shared" si="28"/>
        <v>840.00</v>
      </c>
      <c r="H77" s="7" t="str">
        <f t="shared" si="34"/>
        <v xml:space="preserve">   </v>
      </c>
      <c r="I77" s="8" t="str">
        <f t="shared" si="35"/>
        <v xml:space="preserve">   </v>
      </c>
      <c r="J77" s="9" t="str">
        <f t="shared" si="36"/>
        <v xml:space="preserve">   </v>
      </c>
      <c r="K77" s="10" t="str">
        <f t="shared" si="37"/>
        <v xml:space="preserve">   </v>
      </c>
    </row>
    <row r="78" spans="2:11" x14ac:dyDescent="0.25">
      <c r="B78" t="str">
        <f t="shared" si="33"/>
        <v>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</v>
      </c>
      <c r="C78" s="14" t="s">
        <v>81</v>
      </c>
      <c r="D78" s="6" t="str">
        <f t="shared" si="28"/>
        <v>1,366.75</v>
      </c>
      <c r="E78" s="6" t="str">
        <f t="shared" si="28"/>
        <v>1,387.00</v>
      </c>
      <c r="F78" s="6" t="str">
        <f t="shared" si="28"/>
        <v>1,350.30</v>
      </c>
      <c r="G78" s="6" t="str">
        <f t="shared" si="28"/>
        <v>1,380.00</v>
      </c>
      <c r="H78" s="7" t="str">
        <f t="shared" si="34"/>
        <v xml:space="preserve">   </v>
      </c>
      <c r="I78" s="8" t="str">
        <f t="shared" si="35"/>
        <v xml:space="preserve">   </v>
      </c>
      <c r="J78" s="9" t="str">
        <f t="shared" si="36"/>
        <v xml:space="preserve">   </v>
      </c>
      <c r="K78" s="10" t="str">
        <f t="shared" si="37"/>
        <v xml:space="preserve">   </v>
      </c>
    </row>
    <row r="79" spans="2:11" x14ac:dyDescent="0.25">
      <c r="B79" t="str">
        <f t="shared" si="33"/>
        <v>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</v>
      </c>
      <c r="C79" s="14" t="s">
        <v>82</v>
      </c>
      <c r="D79" s="6" t="str">
        <f t="shared" si="28"/>
        <v>807.00</v>
      </c>
      <c r="E79" s="6" t="str">
        <f t="shared" si="28"/>
        <v>807.65</v>
      </c>
      <c r="F79" s="6" t="str">
        <f t="shared" si="28"/>
        <v>759.05</v>
      </c>
      <c r="G79" s="6" t="str">
        <f t="shared" si="28"/>
        <v>781.10</v>
      </c>
      <c r="H79" s="7" t="str">
        <f t="shared" si="34"/>
        <v xml:space="preserve">   </v>
      </c>
      <c r="I79" s="8" t="str">
        <f t="shared" si="35"/>
        <v xml:space="preserve">   </v>
      </c>
      <c r="J79" s="9" t="str">
        <f t="shared" si="36"/>
        <v xml:space="preserve">   </v>
      </c>
      <c r="K79" s="10" t="str">
        <f t="shared" si="37"/>
        <v xml:space="preserve">   </v>
      </c>
    </row>
    <row r="80" spans="2:11" x14ac:dyDescent="0.25">
      <c r="B80" t="str">
        <f t="shared" si="33"/>
        <v>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</v>
      </c>
      <c r="C80" s="14" t="s">
        <v>83</v>
      </c>
      <c r="D80" s="6" t="str">
        <f t="shared" si="28"/>
        <v>295.70</v>
      </c>
      <c r="E80" s="6" t="str">
        <f t="shared" si="28"/>
        <v>300.90</v>
      </c>
      <c r="F80" s="6" t="str">
        <f t="shared" si="28"/>
        <v>292.50</v>
      </c>
      <c r="G80" s="6" t="str">
        <f t="shared" si="28"/>
        <v>294.75</v>
      </c>
      <c r="H80" s="7" t="str">
        <f t="shared" si="34"/>
        <v xml:space="preserve">   </v>
      </c>
      <c r="I80" s="8" t="str">
        <f t="shared" si="35"/>
        <v xml:space="preserve">   </v>
      </c>
      <c r="J80" s="9" t="str">
        <f t="shared" si="36"/>
        <v xml:space="preserve">   </v>
      </c>
      <c r="K80" s="10" t="str">
        <f t="shared" si="37"/>
        <v xml:space="preserve">   </v>
      </c>
    </row>
    <row r="81" spans="2:11" x14ac:dyDescent="0.25">
      <c r="B81" t="str">
        <f t="shared" si="33"/>
        <v>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</v>
      </c>
      <c r="C81" s="14" t="s">
        <v>84</v>
      </c>
      <c r="D81" s="6" t="str">
        <f t="shared" si="28"/>
        <v>1,043.00</v>
      </c>
      <c r="E81" s="6" t="str">
        <f t="shared" si="28"/>
        <v>1,089.00</v>
      </c>
      <c r="F81" s="6" t="str">
        <f t="shared" si="28"/>
        <v>1,043.00</v>
      </c>
      <c r="G81" s="6" t="str">
        <f t="shared" si="28"/>
        <v>1,082.00</v>
      </c>
      <c r="H81" s="7" t="str">
        <f t="shared" si="34"/>
        <v xml:space="preserve">LONG </v>
      </c>
      <c r="I81" s="8">
        <f t="shared" si="35"/>
        <v>1048</v>
      </c>
      <c r="J81" s="9">
        <f t="shared" si="36"/>
        <v>1037.7850000000001</v>
      </c>
      <c r="K81" s="10">
        <f t="shared" si="37"/>
        <v>3.2442748091603052E-2</v>
      </c>
    </row>
    <row r="82" spans="2:11" x14ac:dyDescent="0.25">
      <c r="B82" t="str">
        <f t="shared" si="33"/>
        <v>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</v>
      </c>
      <c r="C82" s="14" t="s">
        <v>85</v>
      </c>
      <c r="D82" s="6" t="str">
        <f t="shared" si="28"/>
        <v>128.30</v>
      </c>
      <c r="E82" s="6" t="str">
        <f t="shared" si="28"/>
        <v>130.95</v>
      </c>
      <c r="F82" s="6" t="str">
        <f t="shared" si="28"/>
        <v>127.25</v>
      </c>
      <c r="G82" s="6" t="str">
        <f t="shared" si="28"/>
        <v>129.00</v>
      </c>
      <c r="H82" s="7" t="str">
        <f t="shared" si="34"/>
        <v xml:space="preserve">   </v>
      </c>
      <c r="I82" s="8" t="str">
        <f t="shared" si="35"/>
        <v xml:space="preserve">   </v>
      </c>
      <c r="J82" s="9" t="str">
        <f t="shared" si="36"/>
        <v xml:space="preserve">   </v>
      </c>
      <c r="K82" s="10" t="str">
        <f t="shared" si="37"/>
        <v xml:space="preserve">   </v>
      </c>
    </row>
    <row r="83" spans="2:11" x14ac:dyDescent="0.25">
      <c r="B83" t="str">
        <f t="shared" si="33"/>
        <v>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</v>
      </c>
      <c r="C83" s="14" t="s">
        <v>86</v>
      </c>
      <c r="D83" s="6" t="str">
        <f t="shared" si="28"/>
        <v>1,025.90</v>
      </c>
      <c r="E83" s="6" t="str">
        <f t="shared" si="28"/>
        <v>1,025.90</v>
      </c>
      <c r="F83" s="6" t="str">
        <f t="shared" si="28"/>
        <v>1,012.05</v>
      </c>
      <c r="G83" s="6" t="str">
        <f t="shared" si="28"/>
        <v>1,014.50</v>
      </c>
      <c r="H83" s="7" t="str">
        <f t="shared" si="34"/>
        <v xml:space="preserve">SHORT </v>
      </c>
      <c r="I83" s="8">
        <f t="shared" si="35"/>
        <v>1021</v>
      </c>
      <c r="J83" s="9">
        <f t="shared" si="36"/>
        <v>1031.0295000000001</v>
      </c>
      <c r="K83" s="10">
        <f t="shared" si="37"/>
        <v>6.3663075416258569E-3</v>
      </c>
    </row>
    <row r="84" spans="2:11" x14ac:dyDescent="0.25">
      <c r="B84" t="str">
        <f t="shared" si="33"/>
        <v>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</v>
      </c>
      <c r="C84" s="14" t="s">
        <v>87</v>
      </c>
      <c r="D84" s="6" t="str">
        <f t="shared" si="28"/>
        <v>3,455.00</v>
      </c>
      <c r="E84" s="6" t="str">
        <f t="shared" si="28"/>
        <v>3,620.00</v>
      </c>
      <c r="F84" s="6" t="str">
        <f t="shared" si="28"/>
        <v>3,436.20</v>
      </c>
      <c r="G84" s="6" t="str">
        <f t="shared" si="28"/>
        <v>3,560.00</v>
      </c>
      <c r="H84" s="7" t="str">
        <f t="shared" si="34"/>
        <v xml:space="preserve">   </v>
      </c>
      <c r="I84" s="8" t="str">
        <f t="shared" si="35"/>
        <v xml:space="preserve">   </v>
      </c>
      <c r="J84" s="9" t="str">
        <f t="shared" si="36"/>
        <v xml:space="preserve">   </v>
      </c>
      <c r="K84" s="10" t="str">
        <f t="shared" si="37"/>
        <v xml:space="preserve">   </v>
      </c>
    </row>
    <row r="85" spans="2:11" x14ac:dyDescent="0.25">
      <c r="B85" t="str">
        <f t="shared" si="33"/>
        <v>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</v>
      </c>
      <c r="C85" s="14" t="s">
        <v>88</v>
      </c>
      <c r="D85" s="6" t="str">
        <f t="shared" si="28"/>
        <v>869.80</v>
      </c>
      <c r="E85" s="6" t="str">
        <f t="shared" si="28"/>
        <v>892.70</v>
      </c>
      <c r="F85" s="6" t="str">
        <f t="shared" si="28"/>
        <v>868.15</v>
      </c>
      <c r="G85" s="6" t="str">
        <f t="shared" si="28"/>
        <v>876.50</v>
      </c>
      <c r="H85" s="7" t="str">
        <f t="shared" si="34"/>
        <v xml:space="preserve">   </v>
      </c>
      <c r="I85" s="8" t="str">
        <f t="shared" si="35"/>
        <v xml:space="preserve">   </v>
      </c>
      <c r="J85" s="9" t="str">
        <f t="shared" si="36"/>
        <v xml:space="preserve">   </v>
      </c>
      <c r="K85" s="10" t="str">
        <f t="shared" si="37"/>
        <v xml:space="preserve">   </v>
      </c>
    </row>
    <row r="86" spans="2:11" x14ac:dyDescent="0.25">
      <c r="B86" t="str">
        <f t="shared" si="33"/>
        <v>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</v>
      </c>
      <c r="C86" s="14" t="s">
        <v>89</v>
      </c>
      <c r="D86" s="6" t="str">
        <f t="shared" ref="D86:G105" si="38">MID($B86,FIND(D$9,$B86)+LEN(D$9)+3,FIND(CHAR(34),$B86,FIND(D$9,$B86)+LEN(D$9)+3)-(FIND(D$9,$B86)+LEN(D$9)+3))</f>
        <v>1,475.00</v>
      </c>
      <c r="E86" s="6" t="str">
        <f t="shared" si="38"/>
        <v>1,530.00</v>
      </c>
      <c r="F86" s="6" t="str">
        <f t="shared" si="38"/>
        <v>1,475.00</v>
      </c>
      <c r="G86" s="6" t="str">
        <f t="shared" si="38"/>
        <v>1,522.40</v>
      </c>
      <c r="H86" s="7" t="str">
        <f t="shared" si="34"/>
        <v xml:space="preserve">LONG </v>
      </c>
      <c r="I86" s="8">
        <f t="shared" si="35"/>
        <v>1481</v>
      </c>
      <c r="J86" s="9">
        <f t="shared" si="36"/>
        <v>1467.625</v>
      </c>
      <c r="K86" s="10">
        <f t="shared" si="37"/>
        <v>2.7954085077650299E-2</v>
      </c>
    </row>
    <row r="87" spans="2:11" x14ac:dyDescent="0.25">
      <c r="B87" t="str">
        <f t="shared" si="33"/>
        <v>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</v>
      </c>
      <c r="C87" s="14" t="s">
        <v>90</v>
      </c>
      <c r="D87" s="6" t="str">
        <f t="shared" si="38"/>
        <v>5,791.95</v>
      </c>
      <c r="E87" s="6" t="str">
        <f t="shared" si="38"/>
        <v>5,950.00</v>
      </c>
      <c r="F87" s="6" t="str">
        <f t="shared" si="38"/>
        <v>5,746.85</v>
      </c>
      <c r="G87" s="6" t="str">
        <f t="shared" si="38"/>
        <v>5,914.00</v>
      </c>
      <c r="H87" s="7" t="str">
        <f t="shared" si="34"/>
        <v xml:space="preserve">   </v>
      </c>
      <c r="I87" s="8" t="str">
        <f t="shared" si="35"/>
        <v xml:space="preserve">   </v>
      </c>
      <c r="J87" s="9" t="str">
        <f t="shared" si="36"/>
        <v xml:space="preserve">   </v>
      </c>
      <c r="K87" s="10" t="str">
        <f t="shared" si="37"/>
        <v xml:space="preserve">   </v>
      </c>
    </row>
    <row r="88" spans="2:11" x14ac:dyDescent="0.25">
      <c r="B88" t="str">
        <f t="shared" si="33"/>
        <v>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</v>
      </c>
      <c r="C88" s="14" t="s">
        <v>69</v>
      </c>
      <c r="D88" s="6" t="str">
        <f t="shared" si="38"/>
        <v>865.00</v>
      </c>
      <c r="E88" s="6" t="str">
        <f t="shared" si="38"/>
        <v>953.95</v>
      </c>
      <c r="F88" s="6" t="str">
        <f t="shared" si="38"/>
        <v>863.00</v>
      </c>
      <c r="G88" s="6" t="str">
        <f t="shared" si="38"/>
        <v>925.30</v>
      </c>
      <c r="H88" s="7" t="str">
        <f t="shared" si="34"/>
        <v xml:space="preserve">   </v>
      </c>
      <c r="I88" s="8" t="str">
        <f t="shared" si="35"/>
        <v xml:space="preserve">   </v>
      </c>
      <c r="J88" s="9" t="str">
        <f t="shared" si="36"/>
        <v xml:space="preserve">   </v>
      </c>
      <c r="K88" s="10" t="str">
        <f t="shared" si="37"/>
        <v xml:space="preserve">   </v>
      </c>
    </row>
    <row r="89" spans="2:11" x14ac:dyDescent="0.25">
      <c r="B89" t="str">
        <f t="shared" si="33"/>
        <v>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</v>
      </c>
      <c r="C89" s="14" t="s">
        <v>91</v>
      </c>
      <c r="D89" s="6" t="str">
        <f t="shared" si="38"/>
        <v>167.10</v>
      </c>
      <c r="E89" s="6" t="str">
        <f t="shared" si="38"/>
        <v>170.40</v>
      </c>
      <c r="F89" s="6" t="str">
        <f t="shared" si="38"/>
        <v>165.85</v>
      </c>
      <c r="G89" s="6" t="str">
        <f t="shared" si="38"/>
        <v>168.85</v>
      </c>
      <c r="H89" s="7" t="str">
        <f t="shared" si="34"/>
        <v xml:space="preserve">   </v>
      </c>
      <c r="I89" s="8" t="str">
        <f t="shared" si="35"/>
        <v xml:space="preserve">   </v>
      </c>
      <c r="J89" s="9" t="str">
        <f t="shared" si="36"/>
        <v xml:space="preserve">   </v>
      </c>
      <c r="K89" s="10" t="str">
        <f t="shared" si="37"/>
        <v xml:space="preserve">   </v>
      </c>
    </row>
    <row r="90" spans="2:11" x14ac:dyDescent="0.25">
      <c r="B90" t="str">
        <f t="shared" si="33"/>
        <v>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</v>
      </c>
      <c r="C90" s="14" t="s">
        <v>92</v>
      </c>
      <c r="D90" s="6" t="str">
        <f t="shared" si="38"/>
        <v>719.90</v>
      </c>
      <c r="E90" s="6" t="str">
        <f t="shared" si="38"/>
        <v>759.20</v>
      </c>
      <c r="F90" s="6" t="str">
        <f t="shared" si="38"/>
        <v>715.25</v>
      </c>
      <c r="G90" s="6" t="str">
        <f t="shared" si="38"/>
        <v>745.00</v>
      </c>
      <c r="H90" s="7" t="str">
        <f t="shared" si="34"/>
        <v xml:space="preserve">   </v>
      </c>
      <c r="I90" s="8" t="str">
        <f t="shared" si="35"/>
        <v xml:space="preserve">   </v>
      </c>
      <c r="J90" s="9" t="str">
        <f t="shared" si="36"/>
        <v xml:space="preserve">   </v>
      </c>
      <c r="K90" s="10" t="str">
        <f t="shared" si="37"/>
        <v xml:space="preserve">   </v>
      </c>
    </row>
    <row r="91" spans="2:11" x14ac:dyDescent="0.25">
      <c r="B91" t="str">
        <f t="shared" si="33"/>
        <v>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</v>
      </c>
      <c r="C91" s="14" t="s">
        <v>93</v>
      </c>
      <c r="D91" s="6" t="str">
        <f t="shared" si="38"/>
        <v>408.00</v>
      </c>
      <c r="E91" s="6" t="str">
        <f t="shared" si="38"/>
        <v>435.90</v>
      </c>
      <c r="F91" s="6" t="str">
        <f t="shared" si="38"/>
        <v>405.35</v>
      </c>
      <c r="G91" s="6" t="str">
        <f t="shared" si="38"/>
        <v>407.00</v>
      </c>
      <c r="H91" s="7" t="str">
        <f t="shared" si="34"/>
        <v xml:space="preserve">   </v>
      </c>
      <c r="I91" s="8" t="str">
        <f t="shared" si="35"/>
        <v xml:space="preserve">   </v>
      </c>
      <c r="J91" s="9" t="str">
        <f t="shared" si="36"/>
        <v xml:space="preserve">   </v>
      </c>
      <c r="K91" s="10" t="str">
        <f t="shared" si="37"/>
        <v xml:space="preserve">   </v>
      </c>
    </row>
    <row r="92" spans="2:11" x14ac:dyDescent="0.25">
      <c r="B92" t="str">
        <f t="shared" si="33"/>
        <v>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</v>
      </c>
      <c r="C92" s="14" t="s">
        <v>94</v>
      </c>
      <c r="D92" s="6" t="str">
        <f t="shared" si="38"/>
        <v>1,323.00</v>
      </c>
      <c r="E92" s="6" t="str">
        <f t="shared" si="38"/>
        <v>1,380.00</v>
      </c>
      <c r="F92" s="6" t="str">
        <f t="shared" si="38"/>
        <v>1,313.10</v>
      </c>
      <c r="G92" s="6" t="str">
        <f t="shared" si="38"/>
        <v>1,372.50</v>
      </c>
      <c r="H92" s="7" t="str">
        <f t="shared" si="34"/>
        <v xml:space="preserve">   </v>
      </c>
      <c r="I92" s="8" t="str">
        <f t="shared" si="35"/>
        <v xml:space="preserve">   </v>
      </c>
      <c r="J92" s="9" t="str">
        <f t="shared" si="36"/>
        <v xml:space="preserve">   </v>
      </c>
      <c r="K92" s="10" t="str">
        <f t="shared" si="37"/>
        <v xml:space="preserve">   </v>
      </c>
    </row>
    <row r="93" spans="2:11" x14ac:dyDescent="0.25">
      <c r="B93" t="str">
        <f t="shared" si="33"/>
        <v>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</v>
      </c>
      <c r="C93" s="14" t="s">
        <v>95</v>
      </c>
      <c r="D93" s="6" t="str">
        <f t="shared" si="38"/>
        <v>459.40</v>
      </c>
      <c r="E93" s="6" t="str">
        <f t="shared" si="38"/>
        <v>465.00</v>
      </c>
      <c r="F93" s="6" t="str">
        <f t="shared" si="38"/>
        <v>453.60</v>
      </c>
      <c r="G93" s="6" t="str">
        <f t="shared" si="38"/>
        <v>461.15</v>
      </c>
      <c r="H93" s="7" t="str">
        <f t="shared" si="34"/>
        <v xml:space="preserve">   </v>
      </c>
      <c r="I93" s="8" t="str">
        <f t="shared" si="35"/>
        <v xml:space="preserve">   </v>
      </c>
      <c r="J93" s="9" t="str">
        <f t="shared" si="36"/>
        <v xml:space="preserve">   </v>
      </c>
      <c r="K93" s="10" t="str">
        <f t="shared" si="37"/>
        <v xml:space="preserve">   </v>
      </c>
    </row>
    <row r="94" spans="2:11" x14ac:dyDescent="0.25">
      <c r="B94" t="str">
        <f t="shared" si="33"/>
        <v>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</v>
      </c>
      <c r="C94" s="14" t="s">
        <v>96</v>
      </c>
      <c r="D94" s="6" t="str">
        <f t="shared" si="38"/>
        <v>253.00</v>
      </c>
      <c r="E94" s="6" t="str">
        <f t="shared" si="38"/>
        <v>258.40</v>
      </c>
      <c r="F94" s="6" t="str">
        <f t="shared" si="38"/>
        <v>252.50</v>
      </c>
      <c r="G94" s="6" t="str">
        <f t="shared" si="38"/>
        <v>257.50</v>
      </c>
      <c r="H94" s="7" t="str">
        <f t="shared" si="34"/>
        <v xml:space="preserve">   </v>
      </c>
      <c r="I94" s="8" t="str">
        <f t="shared" si="35"/>
        <v xml:space="preserve">   </v>
      </c>
      <c r="J94" s="9" t="str">
        <f t="shared" si="36"/>
        <v xml:space="preserve">   </v>
      </c>
      <c r="K94" s="10" t="str">
        <f t="shared" si="37"/>
        <v xml:space="preserve">   </v>
      </c>
    </row>
    <row r="95" spans="2:11" x14ac:dyDescent="0.25">
      <c r="B95" t="str">
        <f t="shared" si="33"/>
        <v>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</v>
      </c>
      <c r="C95" s="14" t="s">
        <v>97</v>
      </c>
      <c r="D95" s="6" t="str">
        <f t="shared" si="38"/>
        <v>2,435.00</v>
      </c>
      <c r="E95" s="6" t="str">
        <f t="shared" si="38"/>
        <v>2,524.10</v>
      </c>
      <c r="F95" s="6" t="str">
        <f t="shared" si="38"/>
        <v>2,365.00</v>
      </c>
      <c r="G95" s="6" t="str">
        <f t="shared" si="38"/>
        <v>2,488.00</v>
      </c>
      <c r="H95" s="7" t="str">
        <f t="shared" si="34"/>
        <v xml:space="preserve">   </v>
      </c>
      <c r="I95" s="8" t="str">
        <f t="shared" si="35"/>
        <v xml:space="preserve">   </v>
      </c>
      <c r="J95" s="9" t="str">
        <f t="shared" si="36"/>
        <v xml:space="preserve">   </v>
      </c>
      <c r="K95" s="10" t="str">
        <f t="shared" si="37"/>
        <v xml:space="preserve">   </v>
      </c>
    </row>
    <row r="96" spans="2:11" x14ac:dyDescent="0.25">
      <c r="B96" t="str">
        <f t="shared" si="33"/>
        <v>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</v>
      </c>
      <c r="C96" s="14" t="s">
        <v>98</v>
      </c>
      <c r="D96" s="6" t="str">
        <f t="shared" si="38"/>
        <v>276.10</v>
      </c>
      <c r="E96" s="6" t="str">
        <f t="shared" si="38"/>
        <v>280.30</v>
      </c>
      <c r="F96" s="6" t="str">
        <f t="shared" si="38"/>
        <v>274.85</v>
      </c>
      <c r="G96" s="6" t="str">
        <f t="shared" si="38"/>
        <v>279.50</v>
      </c>
      <c r="H96" s="7" t="str">
        <f t="shared" si="34"/>
        <v xml:space="preserve">   </v>
      </c>
      <c r="I96" s="8" t="str">
        <f t="shared" si="35"/>
        <v xml:space="preserve">   </v>
      </c>
      <c r="J96" s="9" t="str">
        <f t="shared" si="36"/>
        <v xml:space="preserve">   </v>
      </c>
      <c r="K96" s="10" t="str">
        <f t="shared" si="37"/>
        <v xml:space="preserve">   </v>
      </c>
    </row>
    <row r="97" spans="2:11" x14ac:dyDescent="0.25">
      <c r="B97" t="str">
        <f t="shared" si="33"/>
        <v>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</v>
      </c>
      <c r="C97" s="14" t="s">
        <v>99</v>
      </c>
      <c r="D97" s="6" t="str">
        <f t="shared" si="38"/>
        <v>22.45</v>
      </c>
      <c r="E97" s="6" t="str">
        <f t="shared" si="38"/>
        <v>23.20</v>
      </c>
      <c r="F97" s="6" t="str">
        <f t="shared" si="38"/>
        <v>22.45</v>
      </c>
      <c r="G97" s="6" t="str">
        <f t="shared" si="38"/>
        <v>23.15</v>
      </c>
      <c r="H97" s="7" t="str">
        <f t="shared" si="34"/>
        <v xml:space="preserve">LONG </v>
      </c>
      <c r="I97" s="8">
        <f t="shared" si="35"/>
        <v>23</v>
      </c>
      <c r="J97" s="9">
        <f t="shared" si="36"/>
        <v>22.33775</v>
      </c>
      <c r="K97" s="10">
        <f t="shared" si="37"/>
        <v>6.5217391304347207E-3</v>
      </c>
    </row>
    <row r="98" spans="2:11" x14ac:dyDescent="0.25">
      <c r="B98" t="str">
        <f t="shared" si="33"/>
        <v>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</v>
      </c>
      <c r="C98" s="14" t="s">
        <v>60</v>
      </c>
      <c r="D98" s="6" t="str">
        <f t="shared" si="38"/>
        <v>91.70</v>
      </c>
      <c r="E98" s="6" t="str">
        <f t="shared" si="38"/>
        <v>93.20</v>
      </c>
      <c r="F98" s="6" t="str">
        <f t="shared" si="38"/>
        <v>91.45</v>
      </c>
      <c r="G98" s="6" t="str">
        <f t="shared" si="38"/>
        <v>92.60</v>
      </c>
      <c r="H98" s="7" t="str">
        <f t="shared" si="34"/>
        <v xml:space="preserve">   </v>
      </c>
      <c r="I98" s="8" t="str">
        <f t="shared" si="35"/>
        <v xml:space="preserve">   </v>
      </c>
      <c r="J98" s="9" t="str">
        <f t="shared" si="36"/>
        <v xml:space="preserve">   </v>
      </c>
      <c r="K98" s="10" t="str">
        <f t="shared" si="37"/>
        <v xml:space="preserve">   </v>
      </c>
    </row>
    <row r="99" spans="2:11" x14ac:dyDescent="0.25">
      <c r="B99" t="str">
        <f t="shared" si="33"/>
        <v>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</v>
      </c>
      <c r="C99" s="14" t="s">
        <v>100</v>
      </c>
      <c r="D99" s="6" t="str">
        <f t="shared" si="38"/>
        <v>3,465.00</v>
      </c>
      <c r="E99" s="6" t="str">
        <f t="shared" si="38"/>
        <v>3,498.00</v>
      </c>
      <c r="F99" s="6" t="str">
        <f t="shared" si="38"/>
        <v>3,450.00</v>
      </c>
      <c r="G99" s="6" t="str">
        <f t="shared" si="38"/>
        <v>3,478.50</v>
      </c>
      <c r="H99" s="7" t="str">
        <f t="shared" si="34"/>
        <v xml:space="preserve">   </v>
      </c>
      <c r="I99" s="8" t="str">
        <f t="shared" si="35"/>
        <v xml:space="preserve">   </v>
      </c>
      <c r="J99" s="9" t="str">
        <f t="shared" si="36"/>
        <v xml:space="preserve">   </v>
      </c>
      <c r="K99" s="10" t="str">
        <f t="shared" si="37"/>
        <v xml:space="preserve">   </v>
      </c>
    </row>
    <row r="100" spans="2:11" x14ac:dyDescent="0.25">
      <c r="B100" t="str">
        <f t="shared" si="33"/>
        <v>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</v>
      </c>
      <c r="C100" s="14" t="s">
        <v>101</v>
      </c>
      <c r="D100" s="6" t="str">
        <f t="shared" si="38"/>
        <v>348.25</v>
      </c>
      <c r="E100" s="6" t="str">
        <f t="shared" si="38"/>
        <v>354.40</v>
      </c>
      <c r="F100" s="6" t="str">
        <f t="shared" si="38"/>
        <v>346.00</v>
      </c>
      <c r="G100" s="6" t="str">
        <f t="shared" si="38"/>
        <v>346.80</v>
      </c>
      <c r="H100" s="7" t="str">
        <f t="shared" si="34"/>
        <v xml:space="preserve">   </v>
      </c>
      <c r="I100" s="8" t="str">
        <f t="shared" si="35"/>
        <v xml:space="preserve">   </v>
      </c>
      <c r="J100" s="9" t="str">
        <f t="shared" si="36"/>
        <v xml:space="preserve">   </v>
      </c>
      <c r="K100" s="10" t="str">
        <f t="shared" si="37"/>
        <v xml:space="preserve">   </v>
      </c>
    </row>
    <row r="101" spans="2:11" x14ac:dyDescent="0.25">
      <c r="B101" t="str">
        <f t="shared" si="33"/>
        <v>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</v>
      </c>
      <c r="C101" s="14" t="s">
        <v>102</v>
      </c>
      <c r="D101" s="6" t="str">
        <f t="shared" si="38"/>
        <v>167.50</v>
      </c>
      <c r="E101" s="6" t="str">
        <f t="shared" si="38"/>
        <v>170.00</v>
      </c>
      <c r="F101" s="6" t="str">
        <f t="shared" si="38"/>
        <v>165.20</v>
      </c>
      <c r="G101" s="6" t="str">
        <f t="shared" si="38"/>
        <v>166.90</v>
      </c>
      <c r="H101" s="7" t="str">
        <f t="shared" si="34"/>
        <v xml:space="preserve">   </v>
      </c>
      <c r="I101" s="8" t="str">
        <f t="shared" si="35"/>
        <v xml:space="preserve">   </v>
      </c>
      <c r="J101" s="9" t="str">
        <f t="shared" si="36"/>
        <v xml:space="preserve">   </v>
      </c>
      <c r="K101" s="10" t="str">
        <f t="shared" si="37"/>
        <v xml:space="preserve">   </v>
      </c>
    </row>
    <row r="102" spans="2:11" x14ac:dyDescent="0.25">
      <c r="B102" t="str">
        <f t="shared" si="33"/>
        <v>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</v>
      </c>
      <c r="C102" s="14" t="s">
        <v>103</v>
      </c>
      <c r="D102" s="6" t="str">
        <f t="shared" si="38"/>
        <v>6,301.00</v>
      </c>
      <c r="E102" s="6" t="str">
        <f t="shared" si="38"/>
        <v>6,338.90</v>
      </c>
      <c r="F102" s="6" t="str">
        <f t="shared" si="38"/>
        <v>6,250.00</v>
      </c>
      <c r="G102" s="6" t="str">
        <f t="shared" si="38"/>
        <v>6,280.00</v>
      </c>
      <c r="H102" s="7" t="str">
        <f t="shared" si="34"/>
        <v xml:space="preserve">   </v>
      </c>
      <c r="I102" s="8" t="str">
        <f t="shared" si="35"/>
        <v xml:space="preserve">   </v>
      </c>
      <c r="J102" s="9" t="str">
        <f t="shared" si="36"/>
        <v xml:space="preserve">   </v>
      </c>
      <c r="K102" s="10" t="str">
        <f t="shared" si="37"/>
        <v xml:space="preserve">   </v>
      </c>
    </row>
    <row r="103" spans="2:11" x14ac:dyDescent="0.25">
      <c r="B103" t="str">
        <f t="shared" si="33"/>
        <v>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</v>
      </c>
      <c r="C103" s="14" t="s">
        <v>104</v>
      </c>
      <c r="D103" s="6" t="str">
        <f t="shared" si="38"/>
        <v>681.50</v>
      </c>
      <c r="E103" s="6" t="str">
        <f t="shared" si="38"/>
        <v>709.00</v>
      </c>
      <c r="F103" s="6" t="str">
        <f t="shared" si="38"/>
        <v>680.00</v>
      </c>
      <c r="G103" s="6" t="str">
        <f t="shared" si="38"/>
        <v>693.00</v>
      </c>
      <c r="H103" s="7" t="str">
        <f t="shared" si="34"/>
        <v xml:space="preserve">   </v>
      </c>
      <c r="I103" s="8" t="str">
        <f t="shared" si="35"/>
        <v xml:space="preserve">   </v>
      </c>
      <c r="J103" s="9" t="str">
        <f t="shared" si="36"/>
        <v xml:space="preserve">   </v>
      </c>
      <c r="K103" s="10" t="str">
        <f t="shared" si="37"/>
        <v xml:space="preserve">   </v>
      </c>
    </row>
    <row r="104" spans="2:11" x14ac:dyDescent="0.25">
      <c r="B104" t="str">
        <f t="shared" si="33"/>
        <v>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</v>
      </c>
      <c r="C104" s="14" t="s">
        <v>44</v>
      </c>
      <c r="D104" s="6" t="str">
        <f t="shared" si="38"/>
        <v>75.30</v>
      </c>
      <c r="E104" s="6" t="str">
        <f t="shared" si="38"/>
        <v>77.70</v>
      </c>
      <c r="F104" s="6" t="str">
        <f t="shared" si="38"/>
        <v>74.80</v>
      </c>
      <c r="G104" s="6" t="str">
        <f t="shared" si="38"/>
        <v>77.45</v>
      </c>
      <c r="H104" s="7" t="str">
        <f t="shared" si="34"/>
        <v xml:space="preserve">   </v>
      </c>
      <c r="I104" s="8" t="str">
        <f t="shared" si="35"/>
        <v xml:space="preserve">   </v>
      </c>
      <c r="J104" s="9" t="str">
        <f t="shared" si="36"/>
        <v xml:space="preserve">   </v>
      </c>
      <c r="K104" s="10" t="str">
        <f t="shared" si="37"/>
        <v xml:space="preserve">   </v>
      </c>
    </row>
    <row r="105" spans="2:11" x14ac:dyDescent="0.25">
      <c r="B105" t="str">
        <f t="shared" si="33"/>
        <v>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</v>
      </c>
      <c r="C105" s="14" t="s">
        <v>105</v>
      </c>
      <c r="D105" s="6" t="str">
        <f t="shared" si="38"/>
        <v>47.70</v>
      </c>
      <c r="E105" s="6" t="str">
        <f t="shared" si="38"/>
        <v>50.40</v>
      </c>
      <c r="F105" s="6" t="str">
        <f t="shared" si="38"/>
        <v>47.65</v>
      </c>
      <c r="G105" s="6" t="str">
        <f t="shared" si="38"/>
        <v>49.10</v>
      </c>
      <c r="H105" s="7" t="str">
        <f t="shared" si="34"/>
        <v xml:space="preserve">   </v>
      </c>
      <c r="I105" s="8" t="str">
        <f t="shared" si="35"/>
        <v xml:space="preserve">   </v>
      </c>
      <c r="J105" s="9" t="str">
        <f t="shared" si="36"/>
        <v xml:space="preserve">   </v>
      </c>
      <c r="K105" s="10" t="str">
        <f t="shared" si="37"/>
        <v xml:space="preserve">   </v>
      </c>
    </row>
    <row r="106" spans="2:11" x14ac:dyDescent="0.25">
      <c r="B106" t="str">
        <f t="shared" si="33"/>
        <v>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</v>
      </c>
      <c r="C106" s="14" t="s">
        <v>106</v>
      </c>
      <c r="D106" s="6" t="str">
        <f t="shared" ref="D106:G115" si="39">MID($B106,FIND(D$9,$B106)+LEN(D$9)+3,FIND(CHAR(34),$B106,FIND(D$9,$B106)+LEN(D$9)+3)-(FIND(D$9,$B106)+LEN(D$9)+3))</f>
        <v>156.00</v>
      </c>
      <c r="E106" s="6" t="str">
        <f t="shared" si="39"/>
        <v>158.35</v>
      </c>
      <c r="F106" s="6" t="str">
        <f t="shared" si="39"/>
        <v>154.75</v>
      </c>
      <c r="G106" s="6" t="str">
        <f t="shared" si="39"/>
        <v>156.50</v>
      </c>
      <c r="H106" s="7" t="str">
        <f t="shared" si="34"/>
        <v xml:space="preserve">   </v>
      </c>
      <c r="I106" s="8" t="str">
        <f t="shared" si="35"/>
        <v xml:space="preserve">   </v>
      </c>
      <c r="J106" s="9" t="str">
        <f t="shared" si="36"/>
        <v xml:space="preserve">   </v>
      </c>
      <c r="K106" s="10" t="str">
        <f t="shared" si="37"/>
        <v xml:space="preserve">   </v>
      </c>
    </row>
    <row r="107" spans="2:11" x14ac:dyDescent="0.25">
      <c r="B107" t="str">
        <f t="shared" si="33"/>
        <v>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</v>
      </c>
      <c r="C107" s="14" t="s">
        <v>107</v>
      </c>
      <c r="D107" s="6" t="str">
        <f t="shared" si="39"/>
        <v>40.70</v>
      </c>
      <c r="E107" s="6" t="str">
        <f t="shared" si="39"/>
        <v>43.15</v>
      </c>
      <c r="F107" s="6" t="str">
        <f t="shared" si="39"/>
        <v>40.70</v>
      </c>
      <c r="G107" s="6" t="str">
        <f t="shared" si="39"/>
        <v>42.75</v>
      </c>
      <c r="H107" s="7" t="str">
        <f t="shared" si="34"/>
        <v xml:space="preserve">LONG </v>
      </c>
      <c r="I107" s="8">
        <f t="shared" si="35"/>
        <v>42</v>
      </c>
      <c r="J107" s="9">
        <f t="shared" si="36"/>
        <v>40.496500000000005</v>
      </c>
      <c r="K107" s="10">
        <f t="shared" si="37"/>
        <v>1.7857142857142856E-2</v>
      </c>
    </row>
    <row r="108" spans="2:11" x14ac:dyDescent="0.25">
      <c r="B108" t="str">
        <f t="shared" si="33"/>
        <v>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</v>
      </c>
      <c r="C108" s="14" t="s">
        <v>108</v>
      </c>
      <c r="D108" s="6" t="str">
        <f t="shared" si="39"/>
        <v>13,178.00</v>
      </c>
      <c r="E108" s="6" t="str">
        <f t="shared" si="39"/>
        <v>13,300.00</v>
      </c>
      <c r="F108" s="6" t="str">
        <f t="shared" si="39"/>
        <v>12,915.00</v>
      </c>
      <c r="G108" s="6" t="str">
        <f t="shared" si="39"/>
        <v>13,100.05</v>
      </c>
      <c r="H108" s="7" t="str">
        <f t="shared" si="34"/>
        <v xml:space="preserve">   </v>
      </c>
      <c r="I108" s="8" t="str">
        <f t="shared" si="35"/>
        <v xml:space="preserve">   </v>
      </c>
      <c r="J108" s="9" t="str">
        <f t="shared" si="36"/>
        <v xml:space="preserve">   </v>
      </c>
      <c r="K108" s="10" t="str">
        <f t="shared" si="37"/>
        <v xml:space="preserve">   </v>
      </c>
    </row>
    <row r="109" spans="2:11" x14ac:dyDescent="0.25">
      <c r="B109" t="str">
        <f t="shared" si="33"/>
        <v>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</v>
      </c>
      <c r="C109" s="14" t="s">
        <v>109</v>
      </c>
      <c r="D109" s="6" t="str">
        <f t="shared" si="39"/>
        <v>1,191.00</v>
      </c>
      <c r="E109" s="6" t="str">
        <f t="shared" si="39"/>
        <v>1,220.95</v>
      </c>
      <c r="F109" s="6" t="str">
        <f t="shared" si="39"/>
        <v>1,190.00</v>
      </c>
      <c r="G109" s="6" t="str">
        <f t="shared" si="39"/>
        <v>1,199.80</v>
      </c>
      <c r="H109" s="7" t="str">
        <f t="shared" si="34"/>
        <v xml:space="preserve">   </v>
      </c>
      <c r="I109" s="8" t="str">
        <f t="shared" si="35"/>
        <v xml:space="preserve">   </v>
      </c>
      <c r="J109" s="9" t="str">
        <f t="shared" si="36"/>
        <v xml:space="preserve">   </v>
      </c>
      <c r="K109" s="10" t="str">
        <f t="shared" si="37"/>
        <v xml:space="preserve">   </v>
      </c>
    </row>
    <row r="110" spans="2:11" x14ac:dyDescent="0.25">
      <c r="B110" t="str">
        <f t="shared" si="33"/>
        <v>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</v>
      </c>
      <c r="C110" s="14" t="s">
        <v>110</v>
      </c>
      <c r="D110" s="6" t="str">
        <f t="shared" si="39"/>
        <v>1,195.00</v>
      </c>
      <c r="E110" s="6" t="str">
        <f t="shared" si="39"/>
        <v>1,219.80</v>
      </c>
      <c r="F110" s="6" t="str">
        <f t="shared" si="39"/>
        <v>1,172.50</v>
      </c>
      <c r="G110" s="6" t="str">
        <f t="shared" si="39"/>
        <v>1,192.00</v>
      </c>
      <c r="H110" s="7" t="str">
        <f t="shared" si="34"/>
        <v xml:space="preserve">   </v>
      </c>
      <c r="I110" s="8" t="str">
        <f t="shared" si="35"/>
        <v xml:space="preserve">   </v>
      </c>
      <c r="J110" s="9" t="str">
        <f t="shared" si="36"/>
        <v xml:space="preserve">   </v>
      </c>
      <c r="K110" s="10" t="str">
        <f t="shared" si="37"/>
        <v xml:space="preserve">   </v>
      </c>
    </row>
    <row r="111" spans="2:11" x14ac:dyDescent="0.25">
      <c r="B111" t="str">
        <f t="shared" si="33"/>
        <v>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</v>
      </c>
      <c r="C111" s="14" t="s">
        <v>111</v>
      </c>
      <c r="D111" s="6" t="str">
        <f t="shared" si="39"/>
        <v>363.90</v>
      </c>
      <c r="E111" s="6" t="str">
        <f t="shared" si="39"/>
        <v>363.90</v>
      </c>
      <c r="F111" s="6" t="str">
        <f t="shared" si="39"/>
        <v>359.10</v>
      </c>
      <c r="G111" s="6" t="str">
        <f t="shared" si="39"/>
        <v>359.10</v>
      </c>
      <c r="H111" s="7" t="str">
        <f t="shared" si="34"/>
        <v xml:space="preserve">SHORT </v>
      </c>
      <c r="I111" s="8">
        <f t="shared" si="35"/>
        <v>361</v>
      </c>
      <c r="J111" s="9">
        <f t="shared" si="36"/>
        <v>365.71949999999998</v>
      </c>
      <c r="K111" s="10">
        <f t="shared" si="37"/>
        <v>5.2631578947367795E-3</v>
      </c>
    </row>
    <row r="112" spans="2:11" x14ac:dyDescent="0.25">
      <c r="B112" t="str">
        <f t="shared" si="33"/>
        <v>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</v>
      </c>
      <c r="C112" s="14" t="s">
        <v>112</v>
      </c>
      <c r="D112" s="6" t="str">
        <f t="shared" si="39"/>
        <v>1,383.90</v>
      </c>
      <c r="E112" s="6" t="str">
        <f t="shared" si="39"/>
        <v>1,406.00</v>
      </c>
      <c r="F112" s="6" t="str">
        <f t="shared" si="39"/>
        <v>1,360.00</v>
      </c>
      <c r="G112" s="6" t="str">
        <f t="shared" si="39"/>
        <v>1,372.00</v>
      </c>
      <c r="H112" s="7" t="str">
        <f t="shared" si="34"/>
        <v xml:space="preserve">   </v>
      </c>
      <c r="I112" s="8" t="str">
        <f t="shared" si="35"/>
        <v xml:space="preserve">   </v>
      </c>
      <c r="J112" s="9" t="str">
        <f t="shared" si="36"/>
        <v xml:space="preserve">   </v>
      </c>
      <c r="K112" s="10" t="str">
        <f t="shared" si="37"/>
        <v xml:space="preserve">   </v>
      </c>
    </row>
    <row r="113" spans="2:11" x14ac:dyDescent="0.25">
      <c r="B113" t="str">
        <f t="shared" si="33"/>
        <v>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</v>
      </c>
      <c r="C113" s="14" t="s">
        <v>113</v>
      </c>
      <c r="D113" s="6" t="str">
        <f t="shared" si="39"/>
        <v>720.70</v>
      </c>
      <c r="E113" s="6" t="str">
        <f t="shared" si="39"/>
        <v>735.00</v>
      </c>
      <c r="F113" s="6" t="str">
        <f t="shared" si="39"/>
        <v>712.25</v>
      </c>
      <c r="G113" s="6" t="str">
        <f t="shared" si="39"/>
        <v>723.00</v>
      </c>
      <c r="H113" s="7" t="str">
        <f t="shared" si="34"/>
        <v xml:space="preserve">   </v>
      </c>
      <c r="I113" s="8" t="str">
        <f t="shared" si="35"/>
        <v xml:space="preserve">   </v>
      </c>
      <c r="J113" s="9" t="str">
        <f t="shared" si="36"/>
        <v xml:space="preserve">   </v>
      </c>
      <c r="K113" s="10" t="str">
        <f t="shared" si="37"/>
        <v xml:space="preserve">   </v>
      </c>
    </row>
    <row r="114" spans="2:11" x14ac:dyDescent="0.25">
      <c r="B114" t="str">
        <f t="shared" si="33"/>
        <v>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</v>
      </c>
      <c r="C114" s="14" t="s">
        <v>114</v>
      </c>
      <c r="D114" s="6" t="str">
        <f t="shared" si="39"/>
        <v>594.70</v>
      </c>
      <c r="E114" s="6" t="str">
        <f t="shared" si="39"/>
        <v>603.70</v>
      </c>
      <c r="F114" s="6" t="str">
        <f t="shared" si="39"/>
        <v>591.20</v>
      </c>
      <c r="G114" s="6" t="str">
        <f t="shared" si="39"/>
        <v>594.50</v>
      </c>
      <c r="H114" s="7" t="str">
        <f t="shared" si="34"/>
        <v xml:space="preserve">   </v>
      </c>
      <c r="I114" s="8" t="str">
        <f t="shared" si="35"/>
        <v xml:space="preserve">   </v>
      </c>
      <c r="J114" s="9" t="str">
        <f t="shared" si="36"/>
        <v xml:space="preserve">   </v>
      </c>
      <c r="K114" s="10" t="str">
        <f t="shared" si="37"/>
        <v xml:space="preserve">   </v>
      </c>
    </row>
    <row r="115" spans="2:11" x14ac:dyDescent="0.25">
      <c r="B115" t="str">
        <f t="shared" si="33"/>
        <v>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</v>
      </c>
      <c r="C115" s="14" t="s">
        <v>55</v>
      </c>
      <c r="D115" s="6" t="str">
        <f t="shared" si="39"/>
        <v>104.40</v>
      </c>
      <c r="E115" s="6" t="str">
        <f t="shared" si="39"/>
        <v>105.90</v>
      </c>
      <c r="F115" s="6" t="str">
        <f t="shared" si="39"/>
        <v>102.10</v>
      </c>
      <c r="G115" s="6" t="str">
        <f t="shared" si="39"/>
        <v>103.20</v>
      </c>
      <c r="H115" s="7" t="str">
        <f t="shared" si="34"/>
        <v xml:space="preserve">   </v>
      </c>
      <c r="I115" s="8" t="str">
        <f t="shared" si="35"/>
        <v xml:space="preserve">   </v>
      </c>
      <c r="J115" s="9" t="str">
        <f t="shared" si="36"/>
        <v xml:space="preserve">   </v>
      </c>
      <c r="K115" s="10" t="str">
        <f t="shared" si="37"/>
        <v xml:space="preserve">   </v>
      </c>
    </row>
    <row r="119" spans="2:11" x14ac:dyDescent="0.25">
      <c r="C119" s="15" t="s">
        <v>115</v>
      </c>
    </row>
    <row r="120" spans="2:11" x14ac:dyDescent="0.25">
      <c r="B120" t="s">
        <v>1</v>
      </c>
      <c r="C120" s="4" t="s">
        <v>2</v>
      </c>
      <c r="D120" s="4" t="s">
        <v>3</v>
      </c>
      <c r="E120" s="4" t="s">
        <v>4</v>
      </c>
      <c r="F120" s="4" t="s">
        <v>5</v>
      </c>
      <c r="G120" s="4" t="s">
        <v>6</v>
      </c>
      <c r="H120" s="4" t="s">
        <v>7</v>
      </c>
      <c r="I120" s="4" t="s">
        <v>8</v>
      </c>
      <c r="J120" s="4" t="s">
        <v>9</v>
      </c>
      <c r="K120" s="4" t="s">
        <v>59</v>
      </c>
    </row>
    <row r="121" spans="2:11" x14ac:dyDescent="0.25">
      <c r="B121" t="str">
        <f>MID($E$6,FIND(C121,$E$6)-1,FIND("}",$E$6,FIND(C121,$E$6))-FIND(C121,$E$6)+1)</f>
        <v>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</v>
      </c>
      <c r="C121" s="14" t="s">
        <v>117</v>
      </c>
      <c r="D121" s="6" t="str">
        <f>MID($B121,FIND(D$9,$B121)+LEN(D$9)+3,FIND(CHAR(34),$B121,FIND(D$9,$B121)+LEN(D$9)+3)-(FIND(D$9,$B121)+LEN(D$9)+3))</f>
        <v>74.20</v>
      </c>
      <c r="E121" s="6" t="str">
        <f>MID($B121,FIND(E$9,$B121)+LEN(E$9)+3,FIND(CHAR(34),$B121,FIND(E$9,$B121)+LEN(E$9)+3)-(FIND(E$9,$B121)+LEN(E$9)+3))</f>
        <v>76.00</v>
      </c>
      <c r="F121" s="6" t="str">
        <f>MID($B121,FIND(F$9,$B121)+LEN(F$9)+3,FIND(CHAR(34),$B121,FIND(F$9,$B121)+LEN(F$9)+3)-(FIND(F$9,$B121)+LEN(F$9)+3))</f>
        <v>72.60</v>
      </c>
      <c r="G121" s="6" t="str">
        <f>MID($B121,FIND(G$9,$B121)+LEN(G$9)+3,FIND(CHAR(34),$B121,FIND(G$9,$B121)+LEN(G$9)+3)-(FIND(G$9,$B121)+LEN(G$9)+3))</f>
        <v>73.20</v>
      </c>
      <c r="H121" s="7" t="str">
        <f t="shared" ref="H121" si="40">IF(AND(E121=0, F121=0, D121=0),"  ",IF(E121= D121,"SHORT ",IF(F121= D121,"LONG ",IF(E121&lt;&gt; F121&lt;&gt; D121,"   "))))</f>
        <v xml:space="preserve">   </v>
      </c>
      <c r="I121" s="8" t="str">
        <f t="shared" ref="I121" si="41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42">IF(AND(E121=0, F121=0, D121=0),"  ",IF(E121= D121,D121+0.005*D121,IF(F121= D121,D121-0.005*D121,IF(E121&lt;&gt; F121&lt;&gt; D121,"   "))))</f>
        <v xml:space="preserve">   </v>
      </c>
      <c r="K121" s="10" t="str">
        <f t="shared" ref="K121" si="43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44">MID($E$6,FIND(C122,$E$6)-1,FIND("}",$E$6,FIND(C122,$E$6))-FIND(C122,$E$6)+1)</f>
        <v>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</v>
      </c>
      <c r="C122" s="14" t="s">
        <v>118</v>
      </c>
      <c r="D122" s="6" t="str">
        <f t="shared" ref="D122:G158" si="45">MID($B122,FIND(D$9,$B122)+LEN(D$9)+3,FIND(CHAR(34),$B122,FIND(D$9,$B122)+LEN(D$9)+3)-(FIND(D$9,$B122)+LEN(D$9)+3))</f>
        <v>30.85</v>
      </c>
      <c r="E122" s="6" t="str">
        <f t="shared" si="45"/>
        <v>31.05</v>
      </c>
      <c r="F122" s="6" t="str">
        <f t="shared" si="45"/>
        <v>29.80</v>
      </c>
      <c r="G122" s="6" t="str">
        <f t="shared" si="45"/>
        <v>30.05</v>
      </c>
      <c r="H122" s="7" t="str">
        <f t="shared" ref="H122:H157" si="46">IF(AND(E122=0, F122=0, D122=0),"  ",IF(E122= D122,"SHORT ",IF(F122= D122,"LONG ",IF(E122&lt;&gt; F122&lt;&gt; D122,"   "))))</f>
        <v xml:space="preserve">   </v>
      </c>
      <c r="I122" s="8" t="str">
        <f t="shared" ref="I122:I157" si="47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8">IF(AND(E122=0, F122=0, D122=0),"  ",IF(E122= D122,D122+0.005*D122,IF(F122= D122,D122-0.005*D122,IF(E122&lt;&gt; F122&lt;&gt; D122,"   "))))</f>
        <v xml:space="preserve">   </v>
      </c>
      <c r="K122" s="10" t="str">
        <f t="shared" ref="K122:K157" si="49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44"/>
        <v>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</v>
      </c>
      <c r="C123" s="14" t="s">
        <v>119</v>
      </c>
      <c r="D123" s="6" t="str">
        <f t="shared" si="45"/>
        <v>1,511.50</v>
      </c>
      <c r="E123" s="6" t="str">
        <f t="shared" si="45"/>
        <v>1,547.00</v>
      </c>
      <c r="F123" s="6" t="str">
        <f t="shared" si="45"/>
        <v>1,511.50</v>
      </c>
      <c r="G123" s="6" t="str">
        <f t="shared" si="45"/>
        <v>1,533.00</v>
      </c>
      <c r="H123" s="7" t="str">
        <f t="shared" si="46"/>
        <v xml:space="preserve">LONG </v>
      </c>
      <c r="I123" s="8">
        <f t="shared" si="47"/>
        <v>1518</v>
      </c>
      <c r="J123" s="9">
        <f t="shared" si="48"/>
        <v>1503.9425000000001</v>
      </c>
      <c r="K123" s="10">
        <f t="shared" si="49"/>
        <v>9.881422924901186E-3</v>
      </c>
    </row>
    <row r="124" spans="2:11" x14ac:dyDescent="0.25">
      <c r="B124" t="str">
        <f t="shared" si="44"/>
        <v>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</v>
      </c>
      <c r="C124" s="14" t="s">
        <v>120</v>
      </c>
      <c r="D124" s="6" t="str">
        <f t="shared" si="45"/>
        <v>50.90</v>
      </c>
      <c r="E124" s="6" t="str">
        <f t="shared" si="45"/>
        <v>54.00</v>
      </c>
      <c r="F124" s="6" t="str">
        <f t="shared" si="45"/>
        <v>50.70</v>
      </c>
      <c r="G124" s="6" t="str">
        <f t="shared" si="45"/>
        <v>53.35</v>
      </c>
      <c r="H124" s="7" t="str">
        <f t="shared" si="46"/>
        <v xml:space="preserve">   </v>
      </c>
      <c r="I124" s="8" t="str">
        <f t="shared" si="47"/>
        <v xml:space="preserve">   </v>
      </c>
      <c r="J124" s="9" t="str">
        <f t="shared" si="48"/>
        <v xml:space="preserve">   </v>
      </c>
      <c r="K124" s="10" t="str">
        <f t="shared" si="49"/>
        <v xml:space="preserve">   </v>
      </c>
    </row>
    <row r="125" spans="2:11" x14ac:dyDescent="0.25">
      <c r="B125" t="str">
        <f t="shared" si="44"/>
        <v>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</v>
      </c>
      <c r="C125" s="14" t="s">
        <v>121</v>
      </c>
      <c r="D125" s="6" t="str">
        <f t="shared" si="45"/>
        <v>863.80</v>
      </c>
      <c r="E125" s="6" t="str">
        <f t="shared" si="45"/>
        <v>872.00</v>
      </c>
      <c r="F125" s="6" t="str">
        <f t="shared" si="45"/>
        <v>859.00</v>
      </c>
      <c r="G125" s="6" t="str">
        <f t="shared" si="45"/>
        <v>861.75</v>
      </c>
      <c r="H125" s="7" t="str">
        <f t="shared" si="46"/>
        <v xml:space="preserve">   </v>
      </c>
      <c r="I125" s="8" t="str">
        <f t="shared" si="47"/>
        <v xml:space="preserve">   </v>
      </c>
      <c r="J125" s="9" t="str">
        <f t="shared" si="48"/>
        <v xml:space="preserve">   </v>
      </c>
      <c r="K125" s="10" t="str">
        <f t="shared" si="49"/>
        <v xml:space="preserve">   </v>
      </c>
    </row>
    <row r="126" spans="2:11" x14ac:dyDescent="0.25">
      <c r="B126" t="str">
        <f t="shared" si="44"/>
        <v>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</v>
      </c>
      <c r="C126" s="14" t="s">
        <v>122</v>
      </c>
      <c r="D126" s="6" t="str">
        <f t="shared" si="45"/>
        <v>153.00</v>
      </c>
      <c r="E126" s="6" t="str">
        <f t="shared" si="45"/>
        <v>157.25</v>
      </c>
      <c r="F126" s="6" t="str">
        <f t="shared" si="45"/>
        <v>152.80</v>
      </c>
      <c r="G126" s="6" t="str">
        <f t="shared" si="45"/>
        <v>156.60</v>
      </c>
      <c r="H126" s="7" t="str">
        <f t="shared" si="46"/>
        <v xml:space="preserve">   </v>
      </c>
      <c r="I126" s="8" t="str">
        <f t="shared" si="47"/>
        <v xml:space="preserve">   </v>
      </c>
      <c r="J126" s="9" t="str">
        <f t="shared" si="48"/>
        <v xml:space="preserve">   </v>
      </c>
      <c r="K126" s="10" t="str">
        <f t="shared" si="49"/>
        <v xml:space="preserve">   </v>
      </c>
    </row>
    <row r="127" spans="2:11" x14ac:dyDescent="0.25">
      <c r="B127" t="str">
        <f t="shared" si="44"/>
        <v>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</v>
      </c>
      <c r="C127" s="14" t="s">
        <v>123</v>
      </c>
      <c r="D127" s="6" t="str">
        <f t="shared" si="45"/>
        <v>313.00</v>
      </c>
      <c r="E127" s="6" t="str">
        <f t="shared" si="45"/>
        <v>317.90</v>
      </c>
      <c r="F127" s="6" t="str">
        <f t="shared" si="45"/>
        <v>310.05</v>
      </c>
      <c r="G127" s="6" t="str">
        <f t="shared" si="45"/>
        <v>314.60</v>
      </c>
      <c r="H127" s="7" t="str">
        <f t="shared" si="46"/>
        <v xml:space="preserve">   </v>
      </c>
      <c r="I127" s="8" t="str">
        <f t="shared" si="47"/>
        <v xml:space="preserve">   </v>
      </c>
      <c r="J127" s="9" t="str">
        <f t="shared" si="48"/>
        <v xml:space="preserve">   </v>
      </c>
      <c r="K127" s="10" t="str">
        <f t="shared" si="49"/>
        <v xml:space="preserve">   </v>
      </c>
    </row>
    <row r="128" spans="2:11" x14ac:dyDescent="0.25">
      <c r="B128" t="str">
        <f t="shared" si="44"/>
        <v>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</v>
      </c>
      <c r="C128" s="14" t="s">
        <v>124</v>
      </c>
      <c r="D128" s="6" t="str">
        <f t="shared" si="45"/>
        <v>85.00</v>
      </c>
      <c r="E128" s="6" t="str">
        <f t="shared" si="45"/>
        <v>88.30</v>
      </c>
      <c r="F128" s="6" t="str">
        <f t="shared" si="45"/>
        <v>85.00</v>
      </c>
      <c r="G128" s="6" t="str">
        <f t="shared" si="45"/>
        <v>87.55</v>
      </c>
      <c r="H128" s="7" t="str">
        <f t="shared" si="46"/>
        <v xml:space="preserve">LONG </v>
      </c>
      <c r="I128" s="8">
        <f t="shared" si="47"/>
        <v>87</v>
      </c>
      <c r="J128" s="9">
        <f t="shared" si="48"/>
        <v>84.575000000000003</v>
      </c>
      <c r="K128" s="10">
        <f t="shared" si="49"/>
        <v>6.3218390804597371E-3</v>
      </c>
    </row>
    <row r="129" spans="2:11" x14ac:dyDescent="0.25">
      <c r="B129" t="str">
        <f t="shared" si="44"/>
        <v>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</v>
      </c>
      <c r="C129" s="14" t="s">
        <v>125</v>
      </c>
      <c r="D129" s="6" t="str">
        <f t="shared" si="45"/>
        <v>544.00</v>
      </c>
      <c r="E129" s="6" t="str">
        <f t="shared" si="45"/>
        <v>559.95</v>
      </c>
      <c r="F129" s="6" t="str">
        <f t="shared" si="45"/>
        <v>530.05</v>
      </c>
      <c r="G129" s="6" t="str">
        <f t="shared" si="45"/>
        <v>558.90</v>
      </c>
      <c r="H129" s="7" t="str">
        <f t="shared" si="46"/>
        <v xml:space="preserve">   </v>
      </c>
      <c r="I129" s="8" t="str">
        <f t="shared" si="47"/>
        <v xml:space="preserve">   </v>
      </c>
      <c r="J129" s="9" t="str">
        <f t="shared" si="48"/>
        <v xml:space="preserve">   </v>
      </c>
      <c r="K129" s="10" t="str">
        <f t="shared" si="49"/>
        <v xml:space="preserve">   </v>
      </c>
    </row>
    <row r="130" spans="2:11" x14ac:dyDescent="0.25">
      <c r="B130" t="str">
        <f t="shared" si="44"/>
        <v>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</v>
      </c>
      <c r="C130" s="14" t="s">
        <v>126</v>
      </c>
      <c r="D130" s="6" t="str">
        <f t="shared" si="45"/>
        <v>660.60</v>
      </c>
      <c r="E130" s="6" t="str">
        <f t="shared" si="45"/>
        <v>717.00</v>
      </c>
      <c r="F130" s="6" t="str">
        <f t="shared" si="45"/>
        <v>658.40</v>
      </c>
      <c r="G130" s="6" t="str">
        <f t="shared" si="45"/>
        <v>700.80</v>
      </c>
      <c r="H130" s="7" t="str">
        <f t="shared" si="46"/>
        <v xml:space="preserve">   </v>
      </c>
      <c r="I130" s="8" t="str">
        <f t="shared" si="47"/>
        <v xml:space="preserve">   </v>
      </c>
      <c r="J130" s="9" t="str">
        <f t="shared" si="48"/>
        <v xml:space="preserve">   </v>
      </c>
      <c r="K130" s="10" t="str">
        <f t="shared" si="49"/>
        <v xml:space="preserve">   </v>
      </c>
    </row>
    <row r="131" spans="2:11" x14ac:dyDescent="0.25">
      <c r="B131" t="str">
        <f t="shared" si="44"/>
        <v>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</v>
      </c>
      <c r="C131" s="14" t="s">
        <v>127</v>
      </c>
      <c r="D131" s="6" t="str">
        <f t="shared" si="45"/>
        <v>198.00</v>
      </c>
      <c r="E131" s="6" t="str">
        <f t="shared" si="45"/>
        <v>203.20</v>
      </c>
      <c r="F131" s="6" t="str">
        <f t="shared" si="45"/>
        <v>185.30</v>
      </c>
      <c r="G131" s="6" t="str">
        <f t="shared" si="45"/>
        <v>194.80</v>
      </c>
      <c r="H131" s="7" t="str">
        <f t="shared" si="46"/>
        <v xml:space="preserve">   </v>
      </c>
      <c r="I131" s="8" t="str">
        <f t="shared" si="47"/>
        <v xml:space="preserve">   </v>
      </c>
      <c r="J131" s="9" t="str">
        <f t="shared" si="48"/>
        <v xml:space="preserve">   </v>
      </c>
      <c r="K131" s="10" t="str">
        <f t="shared" si="49"/>
        <v xml:space="preserve">   </v>
      </c>
    </row>
    <row r="132" spans="2:11" x14ac:dyDescent="0.25">
      <c r="B132" t="str">
        <f t="shared" si="44"/>
        <v>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</v>
      </c>
      <c r="C132" s="14" t="s">
        <v>128</v>
      </c>
      <c r="D132" s="6" t="str">
        <f t="shared" si="45"/>
        <v>622.70</v>
      </c>
      <c r="E132" s="6" t="str">
        <f t="shared" si="45"/>
        <v>627.00</v>
      </c>
      <c r="F132" s="6" t="str">
        <f t="shared" si="45"/>
        <v>614.00</v>
      </c>
      <c r="G132" s="6" t="str">
        <f t="shared" si="45"/>
        <v>621.50</v>
      </c>
      <c r="H132" s="7" t="str">
        <f t="shared" si="46"/>
        <v xml:space="preserve">   </v>
      </c>
      <c r="I132" s="8" t="str">
        <f t="shared" si="47"/>
        <v xml:space="preserve">   </v>
      </c>
      <c r="J132" s="9" t="str">
        <f t="shared" si="48"/>
        <v xml:space="preserve">   </v>
      </c>
      <c r="K132" s="10" t="str">
        <f t="shared" si="49"/>
        <v xml:space="preserve">   </v>
      </c>
    </row>
    <row r="133" spans="2:11" x14ac:dyDescent="0.25">
      <c r="B133" t="str">
        <f t="shared" si="44"/>
        <v>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</v>
      </c>
      <c r="C133" s="14" t="s">
        <v>129</v>
      </c>
      <c r="D133" s="6" t="str">
        <f t="shared" si="45"/>
        <v>559.00</v>
      </c>
      <c r="E133" s="6" t="str">
        <f t="shared" si="45"/>
        <v>567.00</v>
      </c>
      <c r="F133" s="6" t="str">
        <f t="shared" si="45"/>
        <v>555.45</v>
      </c>
      <c r="G133" s="6" t="str">
        <f t="shared" si="45"/>
        <v>560.10</v>
      </c>
      <c r="H133" s="7" t="str">
        <f t="shared" si="46"/>
        <v xml:space="preserve">   </v>
      </c>
      <c r="I133" s="8" t="str">
        <f t="shared" si="47"/>
        <v xml:space="preserve">   </v>
      </c>
      <c r="J133" s="9" t="str">
        <f t="shared" si="48"/>
        <v xml:space="preserve">   </v>
      </c>
      <c r="K133" s="10" t="str">
        <f t="shared" si="49"/>
        <v xml:space="preserve">   </v>
      </c>
    </row>
    <row r="134" spans="2:11" x14ac:dyDescent="0.25">
      <c r="B134" t="str">
        <f t="shared" si="44"/>
        <v>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</v>
      </c>
      <c r="C134" s="14" t="s">
        <v>130</v>
      </c>
      <c r="D134" s="6" t="str">
        <f t="shared" si="45"/>
        <v>85.90</v>
      </c>
      <c r="E134" s="6" t="str">
        <f t="shared" si="45"/>
        <v>88.15</v>
      </c>
      <c r="F134" s="6" t="str">
        <f t="shared" si="45"/>
        <v>85.90</v>
      </c>
      <c r="G134" s="6" t="str">
        <f t="shared" si="45"/>
        <v>86.25</v>
      </c>
      <c r="H134" s="7" t="str">
        <f t="shared" si="46"/>
        <v xml:space="preserve">LONG </v>
      </c>
      <c r="I134" s="8">
        <f t="shared" si="47"/>
        <v>87</v>
      </c>
      <c r="J134" s="9">
        <f t="shared" si="48"/>
        <v>85.470500000000001</v>
      </c>
      <c r="K134" s="10">
        <f t="shared" si="49"/>
        <v>-8.6206896551724137E-3</v>
      </c>
    </row>
    <row r="135" spans="2:11" x14ac:dyDescent="0.25">
      <c r="B135" t="str">
        <f t="shared" si="44"/>
        <v>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</v>
      </c>
      <c r="C135" s="14" t="s">
        <v>131</v>
      </c>
      <c r="D135" s="6" t="str">
        <f t="shared" si="45"/>
        <v>181.30</v>
      </c>
      <c r="E135" s="6" t="str">
        <f t="shared" si="45"/>
        <v>182.15</v>
      </c>
      <c r="F135" s="6" t="str">
        <f t="shared" si="45"/>
        <v>178.70</v>
      </c>
      <c r="G135" s="6" t="str">
        <f t="shared" si="45"/>
        <v>180.50</v>
      </c>
      <c r="H135" s="7" t="str">
        <f t="shared" si="46"/>
        <v xml:space="preserve">   </v>
      </c>
      <c r="I135" s="8" t="str">
        <f t="shared" si="47"/>
        <v xml:space="preserve">   </v>
      </c>
      <c r="J135" s="9" t="str">
        <f t="shared" si="48"/>
        <v xml:space="preserve">   </v>
      </c>
      <c r="K135" s="10" t="str">
        <f t="shared" si="49"/>
        <v xml:space="preserve">   </v>
      </c>
    </row>
    <row r="136" spans="2:11" x14ac:dyDescent="0.25">
      <c r="B136" t="str">
        <f t="shared" si="44"/>
        <v>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</v>
      </c>
      <c r="C136" s="14" t="s">
        <v>132</v>
      </c>
      <c r="D136" s="6" t="str">
        <f t="shared" si="45"/>
        <v>156.05</v>
      </c>
      <c r="E136" s="6" t="str">
        <f t="shared" si="45"/>
        <v>158.30</v>
      </c>
      <c r="F136" s="6" t="str">
        <f t="shared" si="45"/>
        <v>155.80</v>
      </c>
      <c r="G136" s="6" t="str">
        <f t="shared" si="45"/>
        <v>157.45</v>
      </c>
      <c r="H136" s="7" t="str">
        <f t="shared" si="46"/>
        <v xml:space="preserve">   </v>
      </c>
      <c r="I136" s="8" t="str">
        <f t="shared" si="47"/>
        <v xml:space="preserve">   </v>
      </c>
      <c r="J136" s="9" t="str">
        <f t="shared" si="48"/>
        <v xml:space="preserve">   </v>
      </c>
      <c r="K136" s="10" t="str">
        <f t="shared" si="49"/>
        <v xml:space="preserve">   </v>
      </c>
    </row>
    <row r="137" spans="2:11" x14ac:dyDescent="0.25">
      <c r="B137" t="str">
        <f t="shared" si="44"/>
        <v>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</v>
      </c>
      <c r="C137" s="14" t="s">
        <v>133</v>
      </c>
      <c r="D137" s="6" t="str">
        <f t="shared" si="45"/>
        <v>53.10</v>
      </c>
      <c r="E137" s="6" t="str">
        <f t="shared" si="45"/>
        <v>53.70</v>
      </c>
      <c r="F137" s="6" t="str">
        <f t="shared" si="45"/>
        <v>52.10</v>
      </c>
      <c r="G137" s="6" t="str">
        <f t="shared" si="45"/>
        <v>52.70</v>
      </c>
      <c r="H137" s="7" t="str">
        <f t="shared" si="46"/>
        <v xml:space="preserve">   </v>
      </c>
      <c r="I137" s="8" t="str">
        <f t="shared" si="47"/>
        <v xml:space="preserve">   </v>
      </c>
      <c r="J137" s="9" t="str">
        <f t="shared" si="48"/>
        <v xml:space="preserve">   </v>
      </c>
      <c r="K137" s="10" t="str">
        <f t="shared" si="49"/>
        <v xml:space="preserve">   </v>
      </c>
    </row>
    <row r="138" spans="2:11" x14ac:dyDescent="0.25">
      <c r="B138" t="str">
        <f t="shared" si="44"/>
        <v>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</v>
      </c>
      <c r="C138" s="14" t="s">
        <v>134</v>
      </c>
      <c r="D138" s="6" t="str">
        <f t="shared" si="45"/>
        <v>11.40</v>
      </c>
      <c r="E138" s="6" t="str">
        <f t="shared" si="45"/>
        <v>11.65</v>
      </c>
      <c r="F138" s="6" t="str">
        <f t="shared" si="45"/>
        <v>11.20</v>
      </c>
      <c r="G138" s="6" t="str">
        <f t="shared" si="45"/>
        <v>11.45</v>
      </c>
      <c r="H138" s="7" t="str">
        <f t="shared" si="46"/>
        <v xml:space="preserve">   </v>
      </c>
      <c r="I138" s="8" t="str">
        <f t="shared" si="47"/>
        <v xml:space="preserve">   </v>
      </c>
      <c r="J138" s="9" t="str">
        <f t="shared" si="48"/>
        <v xml:space="preserve">   </v>
      </c>
      <c r="K138" s="10" t="str">
        <f t="shared" si="49"/>
        <v xml:space="preserve">   </v>
      </c>
    </row>
    <row r="139" spans="2:11" x14ac:dyDescent="0.25">
      <c r="B139" t="str">
        <f t="shared" si="44"/>
        <v>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</v>
      </c>
      <c r="C139" s="14" t="s">
        <v>135</v>
      </c>
      <c r="D139" s="6" t="str">
        <f t="shared" si="45"/>
        <v>344.30</v>
      </c>
      <c r="E139" s="6" t="str">
        <f t="shared" si="45"/>
        <v>350.80</v>
      </c>
      <c r="F139" s="6" t="str">
        <f t="shared" si="45"/>
        <v>344.30</v>
      </c>
      <c r="G139" s="6" t="str">
        <f t="shared" si="45"/>
        <v>347.30</v>
      </c>
      <c r="H139" s="7" t="str">
        <f t="shared" si="46"/>
        <v xml:space="preserve">LONG </v>
      </c>
      <c r="I139" s="8">
        <f t="shared" si="47"/>
        <v>347</v>
      </c>
      <c r="J139" s="9">
        <f t="shared" si="48"/>
        <v>342.57850000000002</v>
      </c>
      <c r="K139" s="10">
        <f t="shared" si="49"/>
        <v>8.6455331412107019E-4</v>
      </c>
    </row>
    <row r="140" spans="2:11" x14ac:dyDescent="0.25">
      <c r="B140" t="str">
        <f t="shared" si="44"/>
        <v>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</v>
      </c>
      <c r="C140" s="14" t="s">
        <v>136</v>
      </c>
      <c r="D140" s="6" t="str">
        <f t="shared" si="45"/>
        <v>375.00</v>
      </c>
      <c r="E140" s="6" t="str">
        <f t="shared" si="45"/>
        <v>377.70</v>
      </c>
      <c r="F140" s="6" t="str">
        <f t="shared" si="45"/>
        <v>372.00</v>
      </c>
      <c r="G140" s="6" t="str">
        <f t="shared" si="45"/>
        <v>374.25</v>
      </c>
      <c r="H140" s="7" t="str">
        <f t="shared" si="46"/>
        <v xml:space="preserve">   </v>
      </c>
      <c r="I140" s="8" t="str">
        <f t="shared" si="47"/>
        <v xml:space="preserve">   </v>
      </c>
      <c r="J140" s="9" t="str">
        <f t="shared" si="48"/>
        <v xml:space="preserve">   </v>
      </c>
      <c r="K140" s="10" t="str">
        <f t="shared" si="49"/>
        <v xml:space="preserve">   </v>
      </c>
    </row>
    <row r="141" spans="2:11" x14ac:dyDescent="0.25">
      <c r="B141" t="str">
        <f t="shared" si="44"/>
        <v>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</v>
      </c>
      <c r="C141" s="14" t="s">
        <v>137</v>
      </c>
      <c r="D141" s="6" t="str">
        <f t="shared" si="45"/>
        <v>213.25</v>
      </c>
      <c r="E141" s="6" t="str">
        <f t="shared" si="45"/>
        <v>217.55</v>
      </c>
      <c r="F141" s="6" t="str">
        <f t="shared" si="45"/>
        <v>213.05</v>
      </c>
      <c r="G141" s="6" t="str">
        <f t="shared" si="45"/>
        <v>215.50</v>
      </c>
      <c r="H141" s="7" t="str">
        <f t="shared" si="46"/>
        <v xml:space="preserve">   </v>
      </c>
      <c r="I141" s="8" t="str">
        <f t="shared" si="47"/>
        <v xml:space="preserve">   </v>
      </c>
      <c r="J141" s="9" t="str">
        <f t="shared" si="48"/>
        <v xml:space="preserve">   </v>
      </c>
      <c r="K141" s="10" t="str">
        <f t="shared" si="49"/>
        <v xml:space="preserve">   </v>
      </c>
    </row>
    <row r="142" spans="2:11" x14ac:dyDescent="0.25">
      <c r="B142" t="str">
        <f t="shared" si="44"/>
        <v>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</v>
      </c>
      <c r="C142" s="14" t="s">
        <v>138</v>
      </c>
      <c r="D142" s="6" t="str">
        <f t="shared" si="45"/>
        <v>65.85</v>
      </c>
      <c r="E142" s="6" t="str">
        <f t="shared" si="45"/>
        <v>68.35</v>
      </c>
      <c r="F142" s="6" t="str">
        <f t="shared" si="45"/>
        <v>65.75</v>
      </c>
      <c r="G142" s="6" t="str">
        <f t="shared" si="45"/>
        <v>68.00</v>
      </c>
      <c r="H142" s="7" t="str">
        <f t="shared" si="46"/>
        <v xml:space="preserve">   </v>
      </c>
      <c r="I142" s="8" t="str">
        <f t="shared" si="47"/>
        <v xml:space="preserve">   </v>
      </c>
      <c r="J142" s="9" t="str">
        <f t="shared" si="48"/>
        <v xml:space="preserve">   </v>
      </c>
      <c r="K142" s="10" t="str">
        <f t="shared" si="49"/>
        <v xml:space="preserve">   </v>
      </c>
    </row>
    <row r="143" spans="2:11" x14ac:dyDescent="0.25">
      <c r="B143" t="str">
        <f t="shared" si="44"/>
        <v>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</v>
      </c>
      <c r="C143" s="14" t="s">
        <v>139</v>
      </c>
      <c r="D143" s="6" t="str">
        <f t="shared" si="45"/>
        <v>47.65</v>
      </c>
      <c r="E143" s="6" t="str">
        <f t="shared" si="45"/>
        <v>51.40</v>
      </c>
      <c r="F143" s="6" t="str">
        <f t="shared" si="45"/>
        <v>47.65</v>
      </c>
      <c r="G143" s="6" t="str">
        <f t="shared" si="45"/>
        <v>49.65</v>
      </c>
      <c r="H143" s="7" t="str">
        <f t="shared" si="46"/>
        <v xml:space="preserve">LONG </v>
      </c>
      <c r="I143" s="8">
        <f t="shared" si="47"/>
        <v>49</v>
      </c>
      <c r="J143" s="9">
        <f t="shared" si="48"/>
        <v>47.411749999999998</v>
      </c>
      <c r="K143" s="10">
        <f t="shared" si="49"/>
        <v>1.3265306122448951E-2</v>
      </c>
    </row>
    <row r="144" spans="2:11" x14ac:dyDescent="0.25">
      <c r="B144" t="str">
        <f t="shared" si="44"/>
        <v>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</v>
      </c>
      <c r="C144" s="14" t="s">
        <v>140</v>
      </c>
      <c r="D144" s="6" t="str">
        <f t="shared" si="45"/>
        <v>568.35</v>
      </c>
      <c r="E144" s="6" t="str">
        <f t="shared" si="45"/>
        <v>579.45</v>
      </c>
      <c r="F144" s="6" t="str">
        <f t="shared" si="45"/>
        <v>567.80</v>
      </c>
      <c r="G144" s="6" t="str">
        <f t="shared" si="45"/>
        <v>575.00</v>
      </c>
      <c r="H144" s="7" t="str">
        <f t="shared" si="46"/>
        <v xml:space="preserve">   </v>
      </c>
      <c r="I144" s="8" t="str">
        <f t="shared" si="47"/>
        <v xml:space="preserve">   </v>
      </c>
      <c r="J144" s="9" t="str">
        <f t="shared" si="48"/>
        <v xml:space="preserve">   </v>
      </c>
      <c r="K144" s="10" t="str">
        <f t="shared" si="49"/>
        <v xml:space="preserve">   </v>
      </c>
    </row>
    <row r="145" spans="2:11" x14ac:dyDescent="0.25">
      <c r="B145" t="str">
        <f t="shared" si="44"/>
        <v>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</v>
      </c>
      <c r="C145" s="14" t="s">
        <v>141</v>
      </c>
      <c r="D145" s="6" t="str">
        <f t="shared" si="45"/>
        <v>215.00</v>
      </c>
      <c r="E145" s="6" t="str">
        <f t="shared" si="45"/>
        <v>220.40</v>
      </c>
      <c r="F145" s="6" t="str">
        <f t="shared" si="45"/>
        <v>213.50</v>
      </c>
      <c r="G145" s="6" t="str">
        <f t="shared" si="45"/>
        <v>218.05</v>
      </c>
      <c r="H145" s="7" t="str">
        <f t="shared" si="46"/>
        <v xml:space="preserve">   </v>
      </c>
      <c r="I145" s="8" t="str">
        <f t="shared" si="47"/>
        <v xml:space="preserve">   </v>
      </c>
      <c r="J145" s="9" t="str">
        <f t="shared" si="48"/>
        <v xml:space="preserve">   </v>
      </c>
      <c r="K145" s="10" t="str">
        <f t="shared" si="49"/>
        <v xml:space="preserve">   </v>
      </c>
    </row>
    <row r="146" spans="2:11" x14ac:dyDescent="0.25">
      <c r="B146" t="str">
        <f t="shared" si="44"/>
        <v>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</v>
      </c>
      <c r="C146" s="14" t="s">
        <v>142</v>
      </c>
      <c r="D146" s="6" t="str">
        <f t="shared" si="45"/>
        <v>60.70</v>
      </c>
      <c r="E146" s="6" t="str">
        <f t="shared" si="45"/>
        <v>62.50</v>
      </c>
      <c r="F146" s="6" t="str">
        <f t="shared" si="45"/>
        <v>60.60</v>
      </c>
      <c r="G146" s="6" t="str">
        <f t="shared" si="45"/>
        <v>61.60</v>
      </c>
      <c r="H146" s="7" t="str">
        <f t="shared" si="46"/>
        <v xml:space="preserve">   </v>
      </c>
      <c r="I146" s="8" t="str">
        <f t="shared" si="47"/>
        <v xml:space="preserve">   </v>
      </c>
      <c r="J146" s="9" t="str">
        <f t="shared" si="48"/>
        <v xml:space="preserve">   </v>
      </c>
      <c r="K146" s="10" t="str">
        <f t="shared" si="49"/>
        <v xml:space="preserve">   </v>
      </c>
    </row>
    <row r="147" spans="2:11" x14ac:dyDescent="0.25">
      <c r="B147" t="str">
        <f t="shared" si="44"/>
        <v>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</v>
      </c>
      <c r="C147" s="14" t="s">
        <v>143</v>
      </c>
      <c r="D147" s="6" t="str">
        <f t="shared" si="45"/>
        <v>68.90</v>
      </c>
      <c r="E147" s="6" t="str">
        <f t="shared" si="45"/>
        <v>72.00</v>
      </c>
      <c r="F147" s="6" t="str">
        <f t="shared" si="45"/>
        <v>68.60</v>
      </c>
      <c r="G147" s="6" t="str">
        <f t="shared" si="45"/>
        <v>71.80</v>
      </c>
      <c r="H147" s="7" t="str">
        <f t="shared" si="46"/>
        <v xml:space="preserve">   </v>
      </c>
      <c r="I147" s="8" t="str">
        <f t="shared" si="47"/>
        <v xml:space="preserve">   </v>
      </c>
      <c r="J147" s="9" t="str">
        <f t="shared" si="48"/>
        <v xml:space="preserve">   </v>
      </c>
      <c r="K147" s="10" t="str">
        <f t="shared" si="49"/>
        <v xml:space="preserve">   </v>
      </c>
    </row>
    <row r="148" spans="2:11" x14ac:dyDescent="0.25">
      <c r="B148" t="str">
        <f t="shared" si="44"/>
        <v>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</v>
      </c>
      <c r="C148" s="14" t="s">
        <v>144</v>
      </c>
      <c r="D148" s="6" t="str">
        <f t="shared" si="45"/>
        <v>1,153.00</v>
      </c>
      <c r="E148" s="6" t="str">
        <f t="shared" si="45"/>
        <v>1,172.95</v>
      </c>
      <c r="F148" s="6" t="str">
        <f t="shared" si="45"/>
        <v>1,080.00</v>
      </c>
      <c r="G148" s="6" t="str">
        <f t="shared" si="45"/>
        <v>1,101.25</v>
      </c>
      <c r="H148" s="7" t="str">
        <f t="shared" si="46"/>
        <v xml:space="preserve">   </v>
      </c>
      <c r="I148" s="8" t="str">
        <f t="shared" si="47"/>
        <v xml:space="preserve">   </v>
      </c>
      <c r="J148" s="9" t="str">
        <f t="shared" si="48"/>
        <v xml:space="preserve">   </v>
      </c>
      <c r="K148" s="10" t="str">
        <f t="shared" si="49"/>
        <v xml:space="preserve">   </v>
      </c>
    </row>
    <row r="149" spans="2:11" x14ac:dyDescent="0.25">
      <c r="B149" t="str">
        <f t="shared" si="44"/>
        <v>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</v>
      </c>
      <c r="C149" s="14" t="s">
        <v>145</v>
      </c>
      <c r="D149" s="6" t="str">
        <f t="shared" si="45"/>
        <v>663.00</v>
      </c>
      <c r="E149" s="6" t="str">
        <f t="shared" si="45"/>
        <v>669.70</v>
      </c>
      <c r="F149" s="6" t="str">
        <f t="shared" si="45"/>
        <v>650.00</v>
      </c>
      <c r="G149" s="6" t="str">
        <f t="shared" si="45"/>
        <v>652.40</v>
      </c>
      <c r="H149" s="7" t="str">
        <f t="shared" si="46"/>
        <v xml:space="preserve">   </v>
      </c>
      <c r="I149" s="8" t="str">
        <f t="shared" si="47"/>
        <v xml:space="preserve">   </v>
      </c>
      <c r="J149" s="9" t="str">
        <f t="shared" si="48"/>
        <v xml:space="preserve">   </v>
      </c>
      <c r="K149" s="10" t="str">
        <f t="shared" si="49"/>
        <v xml:space="preserve">   </v>
      </c>
    </row>
    <row r="150" spans="2:11" x14ac:dyDescent="0.25">
      <c r="B150" t="str">
        <f t="shared" si="44"/>
        <v>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</v>
      </c>
      <c r="C150" s="14" t="s">
        <v>146</v>
      </c>
      <c r="D150" s="6" t="str">
        <f t="shared" si="45"/>
        <v>74.00</v>
      </c>
      <c r="E150" s="6" t="str">
        <f t="shared" si="45"/>
        <v>74.95</v>
      </c>
      <c r="F150" s="6" t="str">
        <f t="shared" si="45"/>
        <v>73.50</v>
      </c>
      <c r="G150" s="6" t="str">
        <f t="shared" si="45"/>
        <v>73.75</v>
      </c>
      <c r="H150" s="7" t="str">
        <f t="shared" si="46"/>
        <v xml:space="preserve">   </v>
      </c>
      <c r="I150" s="8" t="str">
        <f t="shared" si="47"/>
        <v xml:space="preserve">   </v>
      </c>
      <c r="J150" s="9" t="str">
        <f t="shared" si="48"/>
        <v xml:space="preserve">   </v>
      </c>
      <c r="K150" s="10" t="str">
        <f t="shared" si="49"/>
        <v xml:space="preserve">   </v>
      </c>
    </row>
    <row r="151" spans="2:11" x14ac:dyDescent="0.25">
      <c r="B151" t="str">
        <f t="shared" si="44"/>
        <v>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</v>
      </c>
      <c r="C151" s="14" t="s">
        <v>147</v>
      </c>
      <c r="D151" s="6" t="str">
        <f t="shared" si="45"/>
        <v>321.50</v>
      </c>
      <c r="E151" s="6" t="str">
        <f t="shared" si="45"/>
        <v>328.65</v>
      </c>
      <c r="F151" s="6" t="str">
        <f t="shared" si="45"/>
        <v>320.55</v>
      </c>
      <c r="G151" s="6" t="str">
        <f t="shared" si="45"/>
        <v>324.10</v>
      </c>
      <c r="H151" s="7" t="str">
        <f t="shared" si="46"/>
        <v xml:space="preserve">   </v>
      </c>
      <c r="I151" s="8" t="str">
        <f t="shared" si="47"/>
        <v xml:space="preserve">   </v>
      </c>
      <c r="J151" s="9" t="str">
        <f t="shared" si="48"/>
        <v xml:space="preserve">   </v>
      </c>
      <c r="K151" s="10" t="str">
        <f t="shared" si="49"/>
        <v xml:space="preserve">   </v>
      </c>
    </row>
    <row r="152" spans="2:11" x14ac:dyDescent="0.25">
      <c r="B152" t="str">
        <f t="shared" si="44"/>
        <v>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</v>
      </c>
      <c r="C152" s="14" t="s">
        <v>148</v>
      </c>
      <c r="D152" s="6" t="str">
        <f t="shared" si="45"/>
        <v>664.50</v>
      </c>
      <c r="E152" s="6" t="str">
        <f t="shared" si="45"/>
        <v>674.45</v>
      </c>
      <c r="F152" s="6" t="str">
        <f t="shared" si="45"/>
        <v>656.80</v>
      </c>
      <c r="G152" s="6" t="str">
        <f t="shared" si="45"/>
        <v>666.80</v>
      </c>
      <c r="H152" s="7" t="str">
        <f t="shared" si="46"/>
        <v xml:space="preserve">   </v>
      </c>
      <c r="I152" s="8" t="str">
        <f t="shared" si="47"/>
        <v xml:space="preserve">   </v>
      </c>
      <c r="J152" s="9" t="str">
        <f t="shared" si="48"/>
        <v xml:space="preserve">   </v>
      </c>
      <c r="K152" s="10" t="str">
        <f t="shared" si="49"/>
        <v xml:space="preserve">   </v>
      </c>
    </row>
    <row r="153" spans="2:11" x14ac:dyDescent="0.25">
      <c r="B153" t="str">
        <f t="shared" si="44"/>
        <v>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</v>
      </c>
      <c r="C153" s="14" t="s">
        <v>149</v>
      </c>
      <c r="D153" s="6" t="str">
        <f t="shared" si="45"/>
        <v>32,700.00</v>
      </c>
      <c r="E153" s="6" t="str">
        <f t="shared" si="45"/>
        <v>33,725.00</v>
      </c>
      <c r="F153" s="6" t="str">
        <f t="shared" si="45"/>
        <v>32,652.05</v>
      </c>
      <c r="G153" s="6" t="str">
        <f t="shared" si="45"/>
        <v>33,430.00</v>
      </c>
      <c r="H153" s="7" t="str">
        <f t="shared" si="46"/>
        <v xml:space="preserve">   </v>
      </c>
      <c r="I153" s="8" t="str">
        <f t="shared" si="47"/>
        <v xml:space="preserve">   </v>
      </c>
      <c r="J153" s="9" t="str">
        <f t="shared" si="48"/>
        <v xml:space="preserve">   </v>
      </c>
      <c r="K153" s="10" t="str">
        <f t="shared" si="49"/>
        <v xml:space="preserve">   </v>
      </c>
    </row>
    <row r="154" spans="2:11" x14ac:dyDescent="0.25">
      <c r="B154" t="str">
        <f t="shared" si="44"/>
        <v>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</v>
      </c>
      <c r="C154" s="14" t="s">
        <v>150</v>
      </c>
      <c r="D154" s="6" t="str">
        <f t="shared" si="45"/>
        <v>13,349.95</v>
      </c>
      <c r="E154" s="6" t="str">
        <f t="shared" si="45"/>
        <v>13,572.90</v>
      </c>
      <c r="F154" s="6" t="str">
        <f t="shared" si="45"/>
        <v>13,126.85</v>
      </c>
      <c r="G154" s="6" t="str">
        <f t="shared" si="45"/>
        <v>13,441.80</v>
      </c>
      <c r="H154" s="7" t="str">
        <f t="shared" si="46"/>
        <v xml:space="preserve">   </v>
      </c>
      <c r="I154" s="8" t="str">
        <f t="shared" si="47"/>
        <v xml:space="preserve">   </v>
      </c>
      <c r="J154" s="9" t="str">
        <f t="shared" si="48"/>
        <v xml:space="preserve">   </v>
      </c>
      <c r="K154" s="10" t="str">
        <f t="shared" si="49"/>
        <v xml:space="preserve">   </v>
      </c>
    </row>
    <row r="155" spans="2:11" x14ac:dyDescent="0.25">
      <c r="B155" t="str">
        <f t="shared" si="44"/>
        <v>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</v>
      </c>
      <c r="C155" s="14" t="s">
        <v>151</v>
      </c>
      <c r="D155" s="6" t="str">
        <f t="shared" si="45"/>
        <v>371.90</v>
      </c>
      <c r="E155" s="6" t="str">
        <f t="shared" si="45"/>
        <v>371.90</v>
      </c>
      <c r="F155" s="6" t="str">
        <f t="shared" si="45"/>
        <v>365.00</v>
      </c>
      <c r="G155" s="6" t="str">
        <f t="shared" si="45"/>
        <v>368.00</v>
      </c>
      <c r="H155" s="7" t="str">
        <f t="shared" si="46"/>
        <v xml:space="preserve">SHORT </v>
      </c>
      <c r="I155" s="8">
        <f t="shared" si="47"/>
        <v>369</v>
      </c>
      <c r="J155" s="9">
        <f t="shared" si="48"/>
        <v>373.7595</v>
      </c>
      <c r="K155" s="10">
        <f t="shared" si="49"/>
        <v>2.7100271002710027E-3</v>
      </c>
    </row>
    <row r="156" spans="2:11" x14ac:dyDescent="0.25">
      <c r="B156" t="str">
        <f t="shared" si="44"/>
        <v>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</v>
      </c>
      <c r="C156" s="14" t="s">
        <v>152</v>
      </c>
      <c r="D156" s="6" t="str">
        <f t="shared" si="45"/>
        <v>269.35</v>
      </c>
      <c r="E156" s="6" t="str">
        <f t="shared" si="45"/>
        <v>276.75</v>
      </c>
      <c r="F156" s="6" t="str">
        <f t="shared" si="45"/>
        <v>268.75</v>
      </c>
      <c r="G156" s="6" t="str">
        <f t="shared" si="45"/>
        <v>272.40</v>
      </c>
      <c r="H156" s="7" t="str">
        <f t="shared" si="46"/>
        <v xml:space="preserve">   </v>
      </c>
      <c r="I156" s="8" t="str">
        <f t="shared" si="47"/>
        <v xml:space="preserve">   </v>
      </c>
      <c r="J156" s="9" t="str">
        <f t="shared" si="48"/>
        <v xml:space="preserve">   </v>
      </c>
      <c r="K156" s="10" t="str">
        <f t="shared" si="49"/>
        <v xml:space="preserve">   </v>
      </c>
    </row>
    <row r="157" spans="2:11" x14ac:dyDescent="0.25">
      <c r="B157" t="str">
        <f>MID($E$6,FIND(C157,$E$6)-1,FIND("}",$E$6,FIND(C157,$E$6))-FIND(C157,$E$6)+1)</f>
        <v>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</v>
      </c>
      <c r="C157" s="14" t="s">
        <v>153</v>
      </c>
      <c r="D157" s="6" t="str">
        <f>MID($B157,FIND(D$9,$B157)+LEN(D$9)+3,FIND(CHAR(34),$B157,FIND(D$9,$B157)+LEN(D$9)+3)-(FIND(D$9,$B157)+LEN(D$9)+3))</f>
        <v>401.50</v>
      </c>
      <c r="E157" s="6" t="str">
        <f>MID($B157,FIND(E$9,$B157)+LEN(E$9)+3,FIND(CHAR(34),$B157,FIND(E$9,$B157)+LEN(E$9)+3)-(FIND(E$9,$B157)+LEN(E$9)+3))</f>
        <v>422.00</v>
      </c>
      <c r="F157" s="6" t="str">
        <f>MID($B157,FIND(F$9,$B157)+LEN(F$9)+3,FIND(CHAR(34),$B157,FIND(F$9,$B157)+LEN(F$9)+3)-(FIND(F$9,$B157)+LEN(F$9)+3))</f>
        <v>399.35</v>
      </c>
      <c r="G157" s="6" t="str">
        <f>MID($B157,FIND(G$9,$B157)+LEN(G$9)+3,FIND(CHAR(34),$B157,FIND(G$9,$B157)+LEN(G$9)+3)-(FIND(G$9,$B157)+LEN(G$9)+3))</f>
        <v>414.00</v>
      </c>
      <c r="H157" s="7" t="str">
        <f t="shared" si="46"/>
        <v xml:space="preserve">   </v>
      </c>
      <c r="I157" s="8" t="str">
        <f t="shared" si="47"/>
        <v xml:space="preserve">   </v>
      </c>
      <c r="J157" s="9" t="str">
        <f t="shared" si="48"/>
        <v xml:space="preserve">   </v>
      </c>
      <c r="K157" s="10" t="str">
        <f t="shared" si="49"/>
        <v xml:space="preserve">   </v>
      </c>
    </row>
    <row r="158" spans="2:11" x14ac:dyDescent="0.25">
      <c r="B158" t="str">
        <f t="shared" si="44"/>
        <v>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</v>
      </c>
      <c r="C158" s="14" t="s">
        <v>154</v>
      </c>
      <c r="D158" s="6" t="str">
        <f t="shared" si="45"/>
        <v>518.40</v>
      </c>
      <c r="E158" s="6" t="str">
        <f t="shared" si="45"/>
        <v>553.50</v>
      </c>
      <c r="F158" s="6" t="str">
        <f t="shared" si="45"/>
        <v>518.10</v>
      </c>
      <c r="G158" s="6" t="str">
        <f t="shared" si="45"/>
        <v>540.95</v>
      </c>
      <c r="H158" s="7" t="str">
        <f t="shared" ref="H158:H170" si="50">IF(AND(E158=0, F158=0, D158=0),"  ",IF(E158= D158,"SHORT ",IF(F158= D158,"LONG ",IF(E158&lt;&gt; F158&lt;&gt; D158,"   "))))</f>
        <v xml:space="preserve">   </v>
      </c>
      <c r="I158" s="8" t="str">
        <f t="shared" ref="I158:I170" si="51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52">IF(AND(E158=0, F158=0, D158=0),"  ",IF(E158= D158,D158+0.005*D158,IF(F158= D158,D158-0.005*D158,IF(E158&lt;&gt; F158&lt;&gt; D158,"   "))))</f>
        <v xml:space="preserve">   </v>
      </c>
      <c r="K158" s="10" t="str">
        <f t="shared" ref="K158:K170" si="53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44"/>
        <v>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</v>
      </c>
      <c r="C159" s="14" t="s">
        <v>155</v>
      </c>
      <c r="D159" s="6" t="str">
        <f t="shared" ref="D159:G163" si="54">MID($B159,FIND(D$9,$B159)+LEN(D$9)+3,FIND(CHAR(34),$B159,FIND(D$9,$B159)+LEN(D$9)+3)-(FIND(D$9,$B159)+LEN(D$9)+3))</f>
        <v>48.70</v>
      </c>
      <c r="E159" s="6" t="str">
        <f t="shared" si="54"/>
        <v>53.90</v>
      </c>
      <c r="F159" s="6" t="str">
        <f t="shared" si="54"/>
        <v>48.65</v>
      </c>
      <c r="G159" s="6" t="str">
        <f t="shared" si="54"/>
        <v>52.20</v>
      </c>
      <c r="H159" s="7" t="str">
        <f t="shared" si="50"/>
        <v xml:space="preserve">   </v>
      </c>
      <c r="I159" s="8" t="str">
        <f t="shared" si="51"/>
        <v xml:space="preserve">   </v>
      </c>
      <c r="J159" s="9" t="str">
        <f t="shared" si="52"/>
        <v xml:space="preserve">   </v>
      </c>
      <c r="K159" s="10" t="str">
        <f t="shared" si="53"/>
        <v xml:space="preserve">   </v>
      </c>
    </row>
    <row r="160" spans="2:11" x14ac:dyDescent="0.25">
      <c r="B160" t="str">
        <f t="shared" si="44"/>
        <v>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</v>
      </c>
      <c r="C160" s="14" t="s">
        <v>156</v>
      </c>
      <c r="D160" s="6" t="str">
        <f t="shared" si="54"/>
        <v>1,239.90</v>
      </c>
      <c r="E160" s="6" t="str">
        <f t="shared" si="54"/>
        <v>1,270.00</v>
      </c>
      <c r="F160" s="6" t="str">
        <f t="shared" si="54"/>
        <v>1,229.40</v>
      </c>
      <c r="G160" s="6" t="str">
        <f t="shared" si="54"/>
        <v>1,262.00</v>
      </c>
      <c r="H160" s="7" t="str">
        <f t="shared" si="50"/>
        <v xml:space="preserve">   </v>
      </c>
      <c r="I160" s="8" t="str">
        <f t="shared" si="51"/>
        <v xml:space="preserve">   </v>
      </c>
      <c r="J160" s="9" t="str">
        <f t="shared" si="52"/>
        <v xml:space="preserve">   </v>
      </c>
      <c r="K160" s="10" t="str">
        <f t="shared" si="53"/>
        <v xml:space="preserve">   </v>
      </c>
    </row>
    <row r="161" spans="2:11" x14ac:dyDescent="0.25">
      <c r="B161" t="str">
        <f t="shared" si="44"/>
        <v>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</v>
      </c>
      <c r="C161" s="14" t="s">
        <v>157</v>
      </c>
      <c r="D161" s="6" t="str">
        <f t="shared" si="54"/>
        <v>1,112.15</v>
      </c>
      <c r="E161" s="6" t="str">
        <f t="shared" si="54"/>
        <v>1,141.75</v>
      </c>
      <c r="F161" s="6" t="str">
        <f t="shared" si="54"/>
        <v>1,109.00</v>
      </c>
      <c r="G161" s="6" t="str">
        <f t="shared" si="54"/>
        <v>1,114.55</v>
      </c>
      <c r="H161" s="7" t="str">
        <f t="shared" si="50"/>
        <v xml:space="preserve">   </v>
      </c>
      <c r="I161" s="8" t="str">
        <f t="shared" si="51"/>
        <v xml:space="preserve">   </v>
      </c>
      <c r="J161" s="9" t="str">
        <f t="shared" si="52"/>
        <v xml:space="preserve">   </v>
      </c>
      <c r="K161" s="10" t="str">
        <f t="shared" si="53"/>
        <v xml:space="preserve">   </v>
      </c>
    </row>
    <row r="162" spans="2:11" x14ac:dyDescent="0.25">
      <c r="B162" t="str">
        <f t="shared" si="44"/>
        <v>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</v>
      </c>
      <c r="C162" s="14" t="s">
        <v>158</v>
      </c>
      <c r="D162" s="6" t="str">
        <f t="shared" si="54"/>
        <v>385.10</v>
      </c>
      <c r="E162" s="6" t="str">
        <f t="shared" si="54"/>
        <v>388.00</v>
      </c>
      <c r="F162" s="6" t="str">
        <f t="shared" si="54"/>
        <v>378.10</v>
      </c>
      <c r="G162" s="6" t="str">
        <f t="shared" si="54"/>
        <v>384.00</v>
      </c>
      <c r="H162" s="7" t="str">
        <f t="shared" si="50"/>
        <v xml:space="preserve">   </v>
      </c>
      <c r="I162" s="8" t="str">
        <f t="shared" si="51"/>
        <v xml:space="preserve">   </v>
      </c>
      <c r="J162" s="9" t="str">
        <f t="shared" si="52"/>
        <v xml:space="preserve">   </v>
      </c>
      <c r="K162" s="10" t="str">
        <f t="shared" si="53"/>
        <v xml:space="preserve">   </v>
      </c>
    </row>
    <row r="163" spans="2:11" x14ac:dyDescent="0.25">
      <c r="B163" t="str">
        <f t="shared" si="44"/>
        <v>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</v>
      </c>
      <c r="C163" s="14" t="s">
        <v>159</v>
      </c>
      <c r="D163" s="6" t="str">
        <f t="shared" si="54"/>
        <v>61.90</v>
      </c>
      <c r="E163" s="6" t="str">
        <f t="shared" si="54"/>
        <v>66.20</v>
      </c>
      <c r="F163" s="6" t="str">
        <f t="shared" si="54"/>
        <v>61.80</v>
      </c>
      <c r="G163" s="6" t="str">
        <f t="shared" si="54"/>
        <v>66.15</v>
      </c>
      <c r="H163" s="7" t="str">
        <f t="shared" si="50"/>
        <v xml:space="preserve">   </v>
      </c>
      <c r="I163" s="8" t="str">
        <f t="shared" si="51"/>
        <v xml:space="preserve">   </v>
      </c>
      <c r="J163" s="9" t="str">
        <f t="shared" si="52"/>
        <v xml:space="preserve">   </v>
      </c>
      <c r="K163" s="10" t="str">
        <f t="shared" si="53"/>
        <v xml:space="preserve">   </v>
      </c>
    </row>
    <row r="164" spans="2:11" x14ac:dyDescent="0.25">
      <c r="B164" t="str">
        <f>MID($E$6,FIND(C164,$E$6)-1,FIND("}",$E$6,FIND(C164,$E$6))-FIND(C164,$E$6)+1)</f>
        <v>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</v>
      </c>
      <c r="C164" s="14" t="s">
        <v>160</v>
      </c>
      <c r="D164" s="6" t="str">
        <f t="shared" ref="D164:G170" si="55">MID($B164,FIND(D$9,$B164)+LEN(D$9)+3,FIND(CHAR(34),$B164,FIND(D$9,$B164)+LEN(D$9)+3)-(FIND(D$9,$B164)+LEN(D$9)+3))</f>
        <v>453.00</v>
      </c>
      <c r="E164" s="6" t="str">
        <f t="shared" si="55"/>
        <v>454.90</v>
      </c>
      <c r="F164" s="6" t="str">
        <f t="shared" si="55"/>
        <v>431.10</v>
      </c>
      <c r="G164" s="6" t="str">
        <f t="shared" si="55"/>
        <v>431.60</v>
      </c>
      <c r="H164" s="7" t="str">
        <f t="shared" si="50"/>
        <v xml:space="preserve">   </v>
      </c>
      <c r="I164" s="8" t="str">
        <f t="shared" si="51"/>
        <v xml:space="preserve">   </v>
      </c>
      <c r="J164" s="9" t="str">
        <f t="shared" si="52"/>
        <v xml:space="preserve">   </v>
      </c>
      <c r="K164" s="10" t="str">
        <f t="shared" si="53"/>
        <v xml:space="preserve">   </v>
      </c>
    </row>
    <row r="165" spans="2:11" x14ac:dyDescent="0.25">
      <c r="B165" t="str">
        <f t="shared" si="44"/>
        <v>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</v>
      </c>
      <c r="C165" s="14" t="s">
        <v>161</v>
      </c>
      <c r="D165" s="6" t="str">
        <f t="shared" si="55"/>
        <v>457.60</v>
      </c>
      <c r="E165" s="6" t="str">
        <f t="shared" si="55"/>
        <v>464.00</v>
      </c>
      <c r="F165" s="6" t="str">
        <f t="shared" si="55"/>
        <v>454.00</v>
      </c>
      <c r="G165" s="6" t="str">
        <f t="shared" si="55"/>
        <v>458.65</v>
      </c>
      <c r="H165" s="7" t="str">
        <f t="shared" si="50"/>
        <v xml:space="preserve">   </v>
      </c>
      <c r="I165" s="8" t="str">
        <f t="shared" si="51"/>
        <v xml:space="preserve">   </v>
      </c>
      <c r="J165" s="9" t="str">
        <f t="shared" si="52"/>
        <v xml:space="preserve">   </v>
      </c>
      <c r="K165" s="10" t="str">
        <f t="shared" si="53"/>
        <v xml:space="preserve">   </v>
      </c>
    </row>
    <row r="166" spans="2:11" x14ac:dyDescent="0.25">
      <c r="B166" t="str">
        <f t="shared" si="44"/>
        <v>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</v>
      </c>
      <c r="C166" s="14" t="s">
        <v>162</v>
      </c>
      <c r="D166" s="6" t="str">
        <f t="shared" si="55"/>
        <v>118.10</v>
      </c>
      <c r="E166" s="6" t="str">
        <f t="shared" si="55"/>
        <v>119.40</v>
      </c>
      <c r="F166" s="6" t="str">
        <f t="shared" si="55"/>
        <v>116.85</v>
      </c>
      <c r="G166" s="6" t="str">
        <f t="shared" si="55"/>
        <v>117.05</v>
      </c>
      <c r="H166" s="7" t="str">
        <f t="shared" si="50"/>
        <v xml:space="preserve">   </v>
      </c>
      <c r="I166" s="8" t="str">
        <f t="shared" si="51"/>
        <v xml:space="preserve">   </v>
      </c>
      <c r="J166" s="9" t="str">
        <f t="shared" si="52"/>
        <v xml:space="preserve">   </v>
      </c>
      <c r="K166" s="10" t="str">
        <f t="shared" si="53"/>
        <v xml:space="preserve">   </v>
      </c>
    </row>
    <row r="167" spans="2:11" x14ac:dyDescent="0.25">
      <c r="B167" t="str">
        <f t="shared" si="44"/>
        <v>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</v>
      </c>
      <c r="C167" s="14" t="s">
        <v>163</v>
      </c>
      <c r="D167" s="6" t="str">
        <f t="shared" si="55"/>
        <v>299.00</v>
      </c>
      <c r="E167" s="6" t="str">
        <f t="shared" si="55"/>
        <v>299.95</v>
      </c>
      <c r="F167" s="6" t="str">
        <f t="shared" si="55"/>
        <v>289.10</v>
      </c>
      <c r="G167" s="6" t="str">
        <f t="shared" si="55"/>
        <v>290.35</v>
      </c>
      <c r="H167" s="7" t="str">
        <f t="shared" si="50"/>
        <v xml:space="preserve">   </v>
      </c>
      <c r="I167" s="8" t="str">
        <f t="shared" si="51"/>
        <v xml:space="preserve">   </v>
      </c>
      <c r="J167" s="9" t="str">
        <f t="shared" si="52"/>
        <v xml:space="preserve">   </v>
      </c>
      <c r="K167" s="10" t="str">
        <f t="shared" si="53"/>
        <v xml:space="preserve">   </v>
      </c>
    </row>
    <row r="168" spans="2:11" x14ac:dyDescent="0.25">
      <c r="B168" t="str">
        <f t="shared" si="44"/>
        <v>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</v>
      </c>
      <c r="C168" s="14" t="s">
        <v>164</v>
      </c>
      <c r="D168" s="6" t="str">
        <f t="shared" si="55"/>
        <v>113.00</v>
      </c>
      <c r="E168" s="6" t="str">
        <f t="shared" si="55"/>
        <v>117.05</v>
      </c>
      <c r="F168" s="6" t="str">
        <f t="shared" si="55"/>
        <v>111.35</v>
      </c>
      <c r="G168" s="6" t="str">
        <f t="shared" si="55"/>
        <v>116.80</v>
      </c>
      <c r="H168" s="7" t="str">
        <f t="shared" si="50"/>
        <v xml:space="preserve">   </v>
      </c>
      <c r="I168" s="8" t="str">
        <f t="shared" si="51"/>
        <v xml:space="preserve">   </v>
      </c>
      <c r="J168" s="9" t="str">
        <f t="shared" si="52"/>
        <v xml:space="preserve">   </v>
      </c>
      <c r="K168" s="10" t="str">
        <f t="shared" si="53"/>
        <v xml:space="preserve">   </v>
      </c>
    </row>
    <row r="169" spans="2:11" x14ac:dyDescent="0.25">
      <c r="B169" t="str">
        <f t="shared" si="44"/>
        <v>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</v>
      </c>
      <c r="C169" s="14" t="s">
        <v>165</v>
      </c>
      <c r="D169" s="6" t="str">
        <f t="shared" si="55"/>
        <v>340.45</v>
      </c>
      <c r="E169" s="6" t="str">
        <f t="shared" si="55"/>
        <v>342.00</v>
      </c>
      <c r="F169" s="6" t="str">
        <f t="shared" si="55"/>
        <v>334.30</v>
      </c>
      <c r="G169" s="6" t="str">
        <f t="shared" si="55"/>
        <v>337.00</v>
      </c>
      <c r="H169" s="7" t="str">
        <f t="shared" si="50"/>
        <v xml:space="preserve">   </v>
      </c>
      <c r="I169" s="8" t="str">
        <f t="shared" si="51"/>
        <v xml:space="preserve">   </v>
      </c>
      <c r="J169" s="9" t="str">
        <f t="shared" si="52"/>
        <v xml:space="preserve">   </v>
      </c>
      <c r="K169" s="10" t="str">
        <f t="shared" si="53"/>
        <v xml:space="preserve">   </v>
      </c>
    </row>
    <row r="170" spans="2:11" x14ac:dyDescent="0.25">
      <c r="B170" t="str">
        <f t="shared" si="44"/>
        <v>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</v>
      </c>
      <c r="C170" s="14" t="s">
        <v>166</v>
      </c>
      <c r="D170" s="6" t="str">
        <f t="shared" si="55"/>
        <v>904.90</v>
      </c>
      <c r="E170" s="6" t="str">
        <f t="shared" si="55"/>
        <v>942.50</v>
      </c>
      <c r="F170" s="6" t="str">
        <f t="shared" si="55"/>
        <v>904.00</v>
      </c>
      <c r="G170" s="6" t="str">
        <f t="shared" si="55"/>
        <v>926.00</v>
      </c>
      <c r="H170" s="7" t="str">
        <f t="shared" si="50"/>
        <v xml:space="preserve">   </v>
      </c>
      <c r="I170" s="8" t="str">
        <f t="shared" si="51"/>
        <v xml:space="preserve">   </v>
      </c>
      <c r="J170" s="9" t="str">
        <f t="shared" si="52"/>
        <v xml:space="preserve">   </v>
      </c>
      <c r="K170" s="10" t="str">
        <f t="shared" si="53"/>
        <v xml:space="preserve">   </v>
      </c>
    </row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tabSelected="1" workbookViewId="0">
      <selection activeCell="C3" sqref="C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168</v>
      </c>
      <c r="C2" s="4" t="s">
        <v>2</v>
      </c>
      <c r="D2" s="4" t="s">
        <v>7</v>
      </c>
      <c r="E2" s="4" t="s">
        <v>59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</vt:lpstr>
      <vt:lpstr>Intraday_Trading_System!niftyMidcap50StockWatch</vt:lpstr>
      <vt:lpstr>Intraday_Trading_System!niftyStockWatch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2016-05-29T16:59:50Z</dcterms:modified>
</cp:coreProperties>
</file>